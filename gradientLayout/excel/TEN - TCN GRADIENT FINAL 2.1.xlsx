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ailway\projects\section\w1\TEN_TCN\dwg\midsection\ms_TEN_TCN\gradient\"/>
    </mc:Choice>
  </mc:AlternateContent>
  <xr:revisionPtr revIDLastSave="0" documentId="13_ncr:1_{46C4C148-D7E8-4556-813D-BA9D358FF069}" xr6:coauthVersionLast="47" xr6:coauthVersionMax="47" xr10:uidLastSave="{00000000-0000-0000-0000-000000000000}"/>
  <bookViews>
    <workbookView xWindow="-108" yWindow="-108" windowWidth="30936" windowHeight="18696" tabRatio="825" activeTab="2" xr2:uid="{00000000-000D-0000-FFFF-FFFF00000000}"/>
  </bookViews>
  <sheets>
    <sheet name="MID SECTION" sheetId="2" r:id="rId1"/>
    <sheet name="Sheet1" sheetId="8" r:id="rId2"/>
    <sheet name="Sheet2" sheetId="11" r:id="rId3"/>
    <sheet name="Sheet3" sheetId="10" r:id="rId4"/>
    <sheet name="SEYDUNGANALLUR (SDNR)" sheetId="3" r:id="rId5"/>
    <sheet name="SRIVAIKUNDAM (SVV)" sheetId="4" r:id="rId6"/>
    <sheet name="NAZARETH (NZT)" sheetId="5" r:id="rId7"/>
    <sheet name="ARUMUGANERI (ANY)" sheetId="6" r:id="rId8"/>
    <sheet name="TIRUCHENDUR TERMINUS (TCN)" sheetId="7" r:id="rId9"/>
  </sheets>
  <definedNames>
    <definedName name="_xlnm._FilterDatabase" localSheetId="0" hidden="1">'MID SECTION'!$R$1:$R$3387</definedName>
    <definedName name="_xlnm._FilterDatabase" localSheetId="1" hidden="1">Sheet1!$A$1:$H$259</definedName>
    <definedName name="_xlnm._FilterDatabase" localSheetId="3" hidden="1">Sheet3!$A$1:$C$130</definedName>
    <definedName name="_xlnm.Print_Area" localSheetId="4">'SEYDUNGANALLUR (SDNR)'!$1:$1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0" l="1"/>
  <c r="F3" i="10"/>
  <c r="G3" i="10"/>
  <c r="E4" i="10"/>
  <c r="F4" i="10"/>
  <c r="G4" i="10"/>
  <c r="E5" i="10"/>
  <c r="F5" i="10"/>
  <c r="G5" i="10"/>
  <c r="E6" i="10"/>
  <c r="F6" i="10"/>
  <c r="G6" i="10"/>
  <c r="E7" i="10"/>
  <c r="F7" i="10"/>
  <c r="G7" i="10"/>
  <c r="E8" i="10"/>
  <c r="F8" i="10"/>
  <c r="G8" i="10"/>
  <c r="E9" i="10"/>
  <c r="F9" i="10"/>
  <c r="G9" i="10"/>
  <c r="E10" i="10"/>
  <c r="F10" i="10"/>
  <c r="G10" i="10"/>
  <c r="E11" i="10"/>
  <c r="F11" i="10"/>
  <c r="G11" i="10"/>
  <c r="E12" i="10"/>
  <c r="F12" i="10"/>
  <c r="G12" i="10"/>
  <c r="E13" i="10"/>
  <c r="F13" i="10"/>
  <c r="G13" i="10"/>
  <c r="E14" i="10"/>
  <c r="F14" i="10"/>
  <c r="G14" i="10"/>
  <c r="E15" i="10"/>
  <c r="F15" i="10"/>
  <c r="G15" i="10"/>
  <c r="E16" i="10"/>
  <c r="F16" i="10"/>
  <c r="G16" i="10"/>
  <c r="E17" i="10"/>
  <c r="F17" i="10"/>
  <c r="G17" i="10"/>
  <c r="E18" i="10"/>
  <c r="F18" i="10"/>
  <c r="G18" i="10"/>
  <c r="E19" i="10"/>
  <c r="F19" i="10"/>
  <c r="G19" i="10"/>
  <c r="E20" i="10"/>
  <c r="F20" i="10"/>
  <c r="G20" i="10"/>
  <c r="E21" i="10"/>
  <c r="F21" i="10"/>
  <c r="G21" i="10"/>
  <c r="E22" i="10"/>
  <c r="F22" i="10"/>
  <c r="G22" i="10"/>
  <c r="E23" i="10"/>
  <c r="F23" i="10"/>
  <c r="G23" i="10"/>
  <c r="E24" i="10"/>
  <c r="F24" i="10"/>
  <c r="G24" i="10"/>
  <c r="E25" i="10"/>
  <c r="F25" i="10"/>
  <c r="G25" i="10"/>
  <c r="E26" i="10"/>
  <c r="F26" i="10"/>
  <c r="G26" i="10"/>
  <c r="E27" i="10"/>
  <c r="F27" i="10"/>
  <c r="G27" i="10"/>
  <c r="E28" i="10"/>
  <c r="F28" i="10"/>
  <c r="G28" i="10"/>
  <c r="E29" i="10"/>
  <c r="F29" i="10"/>
  <c r="G29" i="10"/>
  <c r="E30" i="10"/>
  <c r="F30" i="10"/>
  <c r="G30" i="10"/>
  <c r="E31" i="10"/>
  <c r="F31" i="10"/>
  <c r="G31" i="10"/>
  <c r="E32" i="10"/>
  <c r="F32" i="10"/>
  <c r="G32" i="10"/>
  <c r="E33" i="10"/>
  <c r="F33" i="10"/>
  <c r="G33" i="10"/>
  <c r="E34" i="10"/>
  <c r="F34" i="10"/>
  <c r="G34" i="10"/>
  <c r="E35" i="10"/>
  <c r="F35" i="10"/>
  <c r="G35" i="10"/>
  <c r="E36" i="10"/>
  <c r="F36" i="10"/>
  <c r="G36" i="10"/>
  <c r="E37" i="10"/>
  <c r="F37" i="10"/>
  <c r="G37" i="10"/>
  <c r="E38" i="10"/>
  <c r="F38" i="10"/>
  <c r="G38" i="10"/>
  <c r="E39" i="10"/>
  <c r="F39" i="10"/>
  <c r="G39" i="10"/>
  <c r="E40" i="10"/>
  <c r="F40" i="10"/>
  <c r="G40" i="10"/>
  <c r="E41" i="10"/>
  <c r="F41" i="10"/>
  <c r="G41" i="10"/>
  <c r="E42" i="10"/>
  <c r="F42" i="10"/>
  <c r="G42" i="10"/>
  <c r="E43" i="10"/>
  <c r="F43" i="10"/>
  <c r="G43" i="10"/>
  <c r="E44" i="10"/>
  <c r="F44" i="10"/>
  <c r="G44" i="10"/>
  <c r="E45" i="10"/>
  <c r="F45" i="10"/>
  <c r="G45" i="10"/>
  <c r="E46" i="10"/>
  <c r="F46" i="10"/>
  <c r="G46" i="10"/>
  <c r="E47" i="10"/>
  <c r="F47" i="10"/>
  <c r="G47" i="10"/>
  <c r="E48" i="10"/>
  <c r="F48" i="10"/>
  <c r="G48" i="10"/>
  <c r="E49" i="10"/>
  <c r="F49" i="10"/>
  <c r="G49" i="10"/>
  <c r="E50" i="10"/>
  <c r="F50" i="10"/>
  <c r="G50" i="10"/>
  <c r="E51" i="10"/>
  <c r="F51" i="10"/>
  <c r="G51" i="10"/>
  <c r="E52" i="10"/>
  <c r="F52" i="10"/>
  <c r="G52" i="10"/>
  <c r="E53" i="10"/>
  <c r="F53" i="10"/>
  <c r="G53" i="10"/>
  <c r="E54" i="10"/>
  <c r="F54" i="10"/>
  <c r="G54" i="10"/>
  <c r="E55" i="10"/>
  <c r="F55" i="10"/>
  <c r="G55" i="10"/>
  <c r="E56" i="10"/>
  <c r="F56" i="10"/>
  <c r="G56" i="10"/>
  <c r="E57" i="10"/>
  <c r="F57" i="10"/>
  <c r="G57" i="10"/>
  <c r="E58" i="10"/>
  <c r="F58" i="10"/>
  <c r="G58" i="10"/>
  <c r="E59" i="10"/>
  <c r="F59" i="10"/>
  <c r="G59" i="10"/>
  <c r="E60" i="10"/>
  <c r="F60" i="10"/>
  <c r="G60" i="10"/>
  <c r="E61" i="10"/>
  <c r="F61" i="10"/>
  <c r="G61" i="10"/>
  <c r="E62" i="10"/>
  <c r="F62" i="10"/>
  <c r="G62" i="10"/>
  <c r="E63" i="10"/>
  <c r="F63" i="10"/>
  <c r="G63" i="10"/>
  <c r="E64" i="10"/>
  <c r="F64" i="10"/>
  <c r="G64" i="10"/>
  <c r="E65" i="10"/>
  <c r="F65" i="10"/>
  <c r="G65" i="10"/>
  <c r="E66" i="10"/>
  <c r="F66" i="10"/>
  <c r="G66" i="10"/>
  <c r="E67" i="10"/>
  <c r="F67" i="10"/>
  <c r="G67" i="10"/>
  <c r="E68" i="10"/>
  <c r="F68" i="10"/>
  <c r="G68" i="10"/>
  <c r="E69" i="10"/>
  <c r="F69" i="10"/>
  <c r="G69" i="10"/>
  <c r="E70" i="10"/>
  <c r="F70" i="10"/>
  <c r="G70" i="10"/>
  <c r="E71" i="10"/>
  <c r="F71" i="10"/>
  <c r="G71" i="10"/>
  <c r="E72" i="10"/>
  <c r="F72" i="10"/>
  <c r="G72" i="10"/>
  <c r="E73" i="10"/>
  <c r="F73" i="10"/>
  <c r="G73" i="10"/>
  <c r="E74" i="10"/>
  <c r="F74" i="10"/>
  <c r="G74" i="10"/>
  <c r="E75" i="10"/>
  <c r="F75" i="10"/>
  <c r="G75" i="10"/>
  <c r="E76" i="10"/>
  <c r="F76" i="10"/>
  <c r="G76" i="10"/>
  <c r="E77" i="10"/>
  <c r="F77" i="10"/>
  <c r="G77" i="10"/>
  <c r="E78" i="10"/>
  <c r="F78" i="10"/>
  <c r="G78" i="10"/>
  <c r="E79" i="10"/>
  <c r="F79" i="10"/>
  <c r="G79" i="10"/>
  <c r="E80" i="10"/>
  <c r="F80" i="10"/>
  <c r="G80" i="10"/>
  <c r="E81" i="10"/>
  <c r="F81" i="10"/>
  <c r="G81" i="10"/>
  <c r="E82" i="10"/>
  <c r="F82" i="10"/>
  <c r="G82" i="10"/>
  <c r="E83" i="10"/>
  <c r="F83" i="10"/>
  <c r="G83" i="10"/>
  <c r="E84" i="10"/>
  <c r="F84" i="10"/>
  <c r="G84" i="10"/>
  <c r="E85" i="10"/>
  <c r="F85" i="10"/>
  <c r="G85" i="10"/>
  <c r="E86" i="10"/>
  <c r="F86" i="10"/>
  <c r="G86" i="10"/>
  <c r="E87" i="10"/>
  <c r="F87" i="10"/>
  <c r="G87" i="10"/>
  <c r="E88" i="10"/>
  <c r="F88" i="10"/>
  <c r="G88" i="10"/>
  <c r="E89" i="10"/>
  <c r="F89" i="10"/>
  <c r="G89" i="10"/>
  <c r="E90" i="10"/>
  <c r="F90" i="10"/>
  <c r="G90" i="10"/>
  <c r="E91" i="10"/>
  <c r="F91" i="10"/>
  <c r="G91" i="10"/>
  <c r="E92" i="10"/>
  <c r="F92" i="10"/>
  <c r="G92" i="10"/>
  <c r="E93" i="10"/>
  <c r="F93" i="10"/>
  <c r="G93" i="10"/>
  <c r="E94" i="10"/>
  <c r="F94" i="10"/>
  <c r="G94" i="10"/>
  <c r="E95" i="10"/>
  <c r="F95" i="10"/>
  <c r="G95" i="10"/>
  <c r="E96" i="10"/>
  <c r="F96" i="10"/>
  <c r="G96" i="10"/>
  <c r="E97" i="10"/>
  <c r="F97" i="10"/>
  <c r="G97" i="10"/>
  <c r="E98" i="10"/>
  <c r="F98" i="10"/>
  <c r="G98" i="10"/>
  <c r="E99" i="10"/>
  <c r="F99" i="10"/>
  <c r="G99" i="10"/>
  <c r="E100" i="10"/>
  <c r="F100" i="10"/>
  <c r="G100" i="10"/>
  <c r="E101" i="10"/>
  <c r="F101" i="10"/>
  <c r="G101" i="10"/>
  <c r="E102" i="10"/>
  <c r="F102" i="10"/>
  <c r="G102" i="10"/>
  <c r="E103" i="10"/>
  <c r="F103" i="10"/>
  <c r="G103" i="10"/>
  <c r="E104" i="10"/>
  <c r="F104" i="10"/>
  <c r="G104" i="10"/>
  <c r="E105" i="10"/>
  <c r="F105" i="10"/>
  <c r="G105" i="10"/>
  <c r="E106" i="10"/>
  <c r="F106" i="10"/>
  <c r="G106" i="10"/>
  <c r="E107" i="10"/>
  <c r="F107" i="10"/>
  <c r="G107" i="10"/>
  <c r="E108" i="10"/>
  <c r="F108" i="10"/>
  <c r="G108" i="10"/>
  <c r="E109" i="10"/>
  <c r="F109" i="10"/>
  <c r="G109" i="10"/>
  <c r="E110" i="10"/>
  <c r="F110" i="10"/>
  <c r="G110" i="10"/>
  <c r="E111" i="10"/>
  <c r="F111" i="10"/>
  <c r="G111" i="10"/>
  <c r="E112" i="10"/>
  <c r="F112" i="10"/>
  <c r="G112" i="10"/>
  <c r="E113" i="10"/>
  <c r="F113" i="10"/>
  <c r="G113" i="10"/>
  <c r="E114" i="10"/>
  <c r="F114" i="10"/>
  <c r="G114" i="10"/>
  <c r="E115" i="10"/>
  <c r="F115" i="10"/>
  <c r="G115" i="10"/>
  <c r="E116" i="10"/>
  <c r="F116" i="10"/>
  <c r="G116" i="10"/>
  <c r="E117" i="10"/>
  <c r="F117" i="10"/>
  <c r="G117" i="10"/>
  <c r="E118" i="10"/>
  <c r="F118" i="10"/>
  <c r="G118" i="10"/>
  <c r="E119" i="10"/>
  <c r="F119" i="10"/>
  <c r="G119" i="10"/>
  <c r="E120" i="10"/>
  <c r="F120" i="10"/>
  <c r="G120" i="10"/>
  <c r="E121" i="10"/>
  <c r="F121" i="10"/>
  <c r="G121" i="10"/>
  <c r="E122" i="10"/>
  <c r="F122" i="10"/>
  <c r="G122" i="10"/>
  <c r="E123" i="10"/>
  <c r="F123" i="10"/>
  <c r="G123" i="10"/>
  <c r="E124" i="10"/>
  <c r="F124" i="10"/>
  <c r="G124" i="10"/>
  <c r="E125" i="10"/>
  <c r="F125" i="10"/>
  <c r="G125" i="10"/>
  <c r="E126" i="10"/>
  <c r="F126" i="10"/>
  <c r="G126" i="10"/>
  <c r="E127" i="10"/>
  <c r="F127" i="10"/>
  <c r="G127" i="10"/>
  <c r="E128" i="10"/>
  <c r="F128" i="10"/>
  <c r="G128" i="10"/>
  <c r="E129" i="10"/>
  <c r="F129" i="10"/>
  <c r="G129" i="10"/>
  <c r="E130" i="10"/>
  <c r="F130" i="10"/>
  <c r="G130" i="10"/>
  <c r="E2" i="10"/>
  <c r="F2" i="10"/>
  <c r="G2" i="10"/>
  <c r="A131" i="8"/>
  <c r="A3" i="8"/>
  <c r="A132" i="8"/>
  <c r="A4" i="8"/>
  <c r="A133" i="8"/>
  <c r="A5" i="8"/>
  <c r="A134" i="8"/>
  <c r="A6" i="8"/>
  <c r="A135" i="8"/>
  <c r="A7" i="8"/>
  <c r="A136" i="8"/>
  <c r="A8" i="8"/>
  <c r="A137" i="8"/>
  <c r="A9" i="8"/>
  <c r="A138" i="8"/>
  <c r="A10" i="8"/>
  <c r="A139" i="8"/>
  <c r="A11" i="8"/>
  <c r="A140" i="8"/>
  <c r="A12" i="8"/>
  <c r="A141" i="8"/>
  <c r="A13" i="8"/>
  <c r="A142" i="8"/>
  <c r="A14" i="8"/>
  <c r="A143" i="8"/>
  <c r="A15" i="8"/>
  <c r="A144" i="8"/>
  <c r="A16" i="8"/>
  <c r="A145" i="8"/>
  <c r="A17" i="8"/>
  <c r="A146" i="8"/>
  <c r="A18" i="8"/>
  <c r="A147" i="8"/>
  <c r="A19" i="8"/>
  <c r="A148" i="8"/>
  <c r="A20" i="8"/>
  <c r="A149" i="8"/>
  <c r="A21" i="8"/>
  <c r="A150" i="8"/>
  <c r="A22" i="8"/>
  <c r="A151" i="8"/>
  <c r="A23" i="8"/>
  <c r="A152" i="8"/>
  <c r="A24" i="8"/>
  <c r="A153" i="8"/>
  <c r="A25" i="8"/>
  <c r="A154" i="8"/>
  <c r="A26" i="8"/>
  <c r="A155" i="8"/>
  <c r="A27" i="8"/>
  <c r="A156" i="8"/>
  <c r="A28" i="8"/>
  <c r="A157" i="8"/>
  <c r="A29" i="8"/>
  <c r="A158" i="8"/>
  <c r="A30" i="8"/>
  <c r="A159" i="8"/>
  <c r="A31" i="8"/>
  <c r="A160" i="8"/>
  <c r="A32" i="8"/>
  <c r="A161" i="8"/>
  <c r="A33" i="8"/>
  <c r="A162" i="8"/>
  <c r="A34" i="8"/>
  <c r="A163" i="8"/>
  <c r="A35" i="8"/>
  <c r="A164" i="8"/>
  <c r="A36" i="8"/>
  <c r="A165" i="8"/>
  <c r="A37" i="8"/>
  <c r="A166" i="8"/>
  <c r="A38" i="8"/>
  <c r="A167" i="8"/>
  <c r="A39" i="8"/>
  <c r="A168" i="8"/>
  <c r="A40" i="8"/>
  <c r="A169" i="8"/>
  <c r="A41" i="8"/>
  <c r="A170" i="8"/>
  <c r="A42" i="8"/>
  <c r="A171" i="8"/>
  <c r="A43" i="8"/>
  <c r="A172" i="8"/>
  <c r="A44" i="8"/>
  <c r="A173" i="8"/>
  <c r="A45" i="8"/>
  <c r="A174" i="8"/>
  <c r="A46" i="8"/>
  <c r="A175" i="8"/>
  <c r="A47" i="8"/>
  <c r="A176" i="8"/>
  <c r="A48" i="8"/>
  <c r="A177" i="8"/>
  <c r="A49" i="8"/>
  <c r="A178" i="8"/>
  <c r="A50" i="8"/>
  <c r="A179" i="8"/>
  <c r="A51" i="8"/>
  <c r="A180" i="8"/>
  <c r="A52" i="8"/>
  <c r="A181" i="8"/>
  <c r="A53" i="8"/>
  <c r="A182" i="8"/>
  <c r="A54" i="8"/>
  <c r="A183" i="8"/>
  <c r="A55" i="8"/>
  <c r="A184" i="8"/>
  <c r="A56" i="8"/>
  <c r="A185" i="8"/>
  <c r="A57" i="8"/>
  <c r="A186" i="8"/>
  <c r="A58" i="8"/>
  <c r="A187" i="8"/>
  <c r="A59" i="8"/>
  <c r="A188" i="8"/>
  <c r="A60" i="8"/>
  <c r="A189" i="8"/>
  <c r="A61" i="8"/>
  <c r="A190" i="8"/>
  <c r="A62" i="8"/>
  <c r="A191" i="8"/>
  <c r="A63" i="8"/>
  <c r="A192" i="8"/>
  <c r="A64" i="8"/>
  <c r="A193" i="8"/>
  <c r="A65" i="8"/>
  <c r="A194" i="8"/>
  <c r="A66" i="8"/>
  <c r="A195" i="8"/>
  <c r="A67" i="8"/>
  <c r="A196" i="8"/>
  <c r="A68" i="8"/>
  <c r="A197" i="8"/>
  <c r="A69" i="8"/>
  <c r="A198" i="8"/>
  <c r="A70" i="8"/>
  <c r="A199" i="8"/>
  <c r="A71" i="8"/>
  <c r="A200" i="8"/>
  <c r="A72" i="8"/>
  <c r="A201" i="8"/>
  <c r="A73" i="8"/>
  <c r="A202" i="8"/>
  <c r="A74" i="8"/>
  <c r="A203" i="8"/>
  <c r="A75" i="8"/>
  <c r="A204" i="8"/>
  <c r="A76" i="8"/>
  <c r="A205" i="8"/>
  <c r="A77" i="8"/>
  <c r="A206" i="8"/>
  <c r="A78" i="8"/>
  <c r="A207" i="8"/>
  <c r="A79" i="8"/>
  <c r="A208" i="8"/>
  <c r="A80" i="8"/>
  <c r="A209" i="8"/>
  <c r="A81" i="8"/>
  <c r="A210" i="8"/>
  <c r="A82" i="8"/>
  <c r="A211" i="8"/>
  <c r="A83" i="8"/>
  <c r="A212" i="8"/>
  <c r="A84" i="8"/>
  <c r="A213" i="8"/>
  <c r="A85" i="8"/>
  <c r="A214" i="8"/>
  <c r="A86" i="8"/>
  <c r="A215" i="8"/>
  <c r="A87" i="8"/>
  <c r="A216" i="8"/>
  <c r="A88" i="8"/>
  <c r="A217" i="8"/>
  <c r="A89" i="8"/>
  <c r="A218" i="8"/>
  <c r="A90" i="8"/>
  <c r="A219" i="8"/>
  <c r="A91" i="8"/>
  <c r="A220" i="8"/>
  <c r="A92" i="8"/>
  <c r="A221" i="8"/>
  <c r="A93" i="8"/>
  <c r="A222" i="8"/>
  <c r="A94" i="8"/>
  <c r="A223" i="8"/>
  <c r="A95" i="8"/>
  <c r="A224" i="8"/>
  <c r="A96" i="8"/>
  <c r="A225" i="8"/>
  <c r="A97" i="8"/>
  <c r="A226" i="8"/>
  <c r="A98" i="8"/>
  <c r="A227" i="8"/>
  <c r="A99" i="8"/>
  <c r="A228" i="8"/>
  <c r="A100" i="8"/>
  <c r="A229" i="8"/>
  <c r="A101" i="8"/>
  <c r="A230" i="8"/>
  <c r="A102" i="8"/>
  <c r="A231" i="8"/>
  <c r="A103" i="8"/>
  <c r="A232" i="8"/>
  <c r="A104" i="8"/>
  <c r="A233" i="8"/>
  <c r="A105" i="8"/>
  <c r="A234" i="8"/>
  <c r="A106" i="8"/>
  <c r="A235" i="8"/>
  <c r="A107" i="8"/>
  <c r="A236" i="8"/>
  <c r="A108" i="8"/>
  <c r="A237" i="8"/>
  <c r="A109" i="8"/>
  <c r="A238" i="8"/>
  <c r="A110" i="8"/>
  <c r="A239" i="8"/>
  <c r="A111" i="8"/>
  <c r="A240" i="8"/>
  <c r="A112" i="8"/>
  <c r="A241" i="8"/>
  <c r="A113" i="8"/>
  <c r="A242" i="8"/>
  <c r="A114" i="8"/>
  <c r="A243" i="8"/>
  <c r="A115" i="8"/>
  <c r="A244" i="8"/>
  <c r="A116" i="8"/>
  <c r="A245" i="8"/>
  <c r="A117" i="8"/>
  <c r="A246" i="8"/>
  <c r="A118" i="8"/>
  <c r="A247" i="8"/>
  <c r="A119" i="8"/>
  <c r="A248" i="8"/>
  <c r="A120" i="8"/>
  <c r="A249" i="8"/>
  <c r="A121" i="8"/>
  <c r="A250" i="8"/>
  <c r="A122" i="8"/>
  <c r="A251" i="8"/>
  <c r="A123" i="8"/>
  <c r="A252" i="8"/>
  <c r="A124" i="8"/>
  <c r="A253" i="8"/>
  <c r="A125" i="8"/>
  <c r="A254" i="8"/>
  <c r="A126" i="8"/>
  <c r="A255" i="8"/>
  <c r="A127" i="8"/>
  <c r="A256" i="8"/>
  <c r="A128" i="8"/>
  <c r="A257" i="8"/>
  <c r="A129" i="8"/>
  <c r="A258" i="8"/>
  <c r="A130" i="8"/>
  <c r="A259" i="8"/>
  <c r="A2" i="8"/>
  <c r="F2989" i="2"/>
  <c r="F2774" i="2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 s="1"/>
  <c r="F2814" i="2" s="1"/>
  <c r="F2815" i="2" s="1"/>
  <c r="F2816" i="2" s="1"/>
  <c r="F2772" i="2"/>
  <c r="K2772" i="2"/>
  <c r="H2772" i="2"/>
  <c r="L2772" i="2"/>
  <c r="I2772" i="2"/>
  <c r="E2774" i="2"/>
  <c r="E2775" i="2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8" i="2" s="1"/>
  <c r="E2772" i="2"/>
  <c r="E2678" i="2"/>
  <c r="K2678" i="2"/>
  <c r="H2678" i="2"/>
  <c r="L2652" i="2"/>
  <c r="I2652" i="2"/>
  <c r="H2195" i="2"/>
  <c r="H2184" i="2"/>
  <c r="I2132" i="2"/>
  <c r="L2132" i="2"/>
  <c r="H2132" i="2"/>
  <c r="L2106" i="2"/>
  <c r="I2106" i="2"/>
  <c r="I1873" i="2"/>
  <c r="L1671" i="2"/>
  <c r="I1671" i="2"/>
  <c r="H1330" i="2"/>
  <c r="L1310" i="2"/>
  <c r="I1310" i="2"/>
  <c r="H1234" i="2"/>
  <c r="H1200" i="2"/>
  <c r="L1179" i="2"/>
  <c r="I1179" i="2"/>
  <c r="H1179" i="2"/>
  <c r="O1178" i="2"/>
  <c r="P1178" i="2" s="1"/>
  <c r="F1179" i="2" s="1"/>
  <c r="L1164" i="2"/>
  <c r="I1164" i="2"/>
  <c r="H1164" i="2"/>
  <c r="O1163" i="2"/>
  <c r="P1163" i="2" s="1"/>
  <c r="F1164" i="2" s="1"/>
  <c r="I1151" i="2"/>
  <c r="L1151" i="2"/>
  <c r="I1107" i="2"/>
  <c r="H929" i="2"/>
  <c r="H910" i="2"/>
  <c r="I875" i="2"/>
  <c r="L855" i="2"/>
  <c r="I855" i="2"/>
  <c r="K875" i="2"/>
  <c r="H875" i="2"/>
  <c r="L875" i="2"/>
  <c r="I437" i="2"/>
  <c r="I352" i="2"/>
  <c r="H235" i="2"/>
  <c r="L213" i="2"/>
  <c r="I213" i="2"/>
  <c r="H213" i="2"/>
  <c r="L204" i="2"/>
  <c r="I204" i="2"/>
  <c r="L2184" i="2"/>
  <c r="I2184" i="2"/>
  <c r="O2183" i="2"/>
  <c r="P2183" i="2" s="1"/>
  <c r="F2184" i="2" s="1"/>
  <c r="I2171" i="2"/>
  <c r="H2171" i="2"/>
  <c r="L2171" i="2"/>
  <c r="L2151" i="2"/>
  <c r="I2151" i="2"/>
  <c r="L910" i="2"/>
  <c r="I910" i="2"/>
  <c r="O909" i="2"/>
  <c r="P909" i="2" s="1"/>
  <c r="F910" i="2" s="1"/>
  <c r="L125" i="2"/>
  <c r="I125" i="2"/>
  <c r="H125" i="2"/>
  <c r="O124" i="2"/>
  <c r="P124" i="2" s="1"/>
  <c r="F125" i="2" s="1"/>
  <c r="L100" i="2"/>
  <c r="I100" i="2"/>
  <c r="H100" i="2"/>
  <c r="L84" i="2"/>
  <c r="I84" i="2"/>
  <c r="H84" i="2"/>
  <c r="I1234" i="2"/>
  <c r="I965" i="2"/>
  <c r="H34" i="2"/>
  <c r="I34" i="2"/>
  <c r="J1164" i="2" l="1"/>
  <c r="J1179" i="2"/>
  <c r="F1180" i="2"/>
  <c r="F1165" i="2"/>
  <c r="J2184" i="2"/>
  <c r="F2185" i="2"/>
  <c r="J910" i="2"/>
  <c r="J125" i="2"/>
  <c r="H2089" i="2" l="1"/>
  <c r="I2089" i="2"/>
  <c r="L1838" i="2"/>
  <c r="I1838" i="2"/>
  <c r="H1838" i="2"/>
  <c r="H1732" i="2"/>
  <c r="H1631" i="2"/>
  <c r="L1597" i="2"/>
  <c r="I1597" i="2"/>
  <c r="H1597" i="2"/>
  <c r="L1107" i="2"/>
  <c r="H1107" i="2"/>
  <c r="L1200" i="2"/>
  <c r="I1200" i="2"/>
  <c r="H1151" i="2"/>
  <c r="H1074" i="2"/>
  <c r="I1029" i="2"/>
  <c r="L1029" i="2"/>
  <c r="H1029" i="2"/>
  <c r="L965" i="2"/>
  <c r="I364" i="2"/>
  <c r="H394" i="2"/>
  <c r="L364" i="2"/>
  <c r="O2771" i="2"/>
  <c r="H2989" i="2"/>
  <c r="O3127" i="2"/>
  <c r="L3128" i="2"/>
  <c r="I3128" i="2"/>
  <c r="O2988" i="2"/>
  <c r="I3326" i="2"/>
  <c r="L3326" i="2"/>
  <c r="L3308" i="2"/>
  <c r="I3308" i="2"/>
  <c r="H3326" i="2"/>
  <c r="I3344" i="2" l="1"/>
  <c r="H3344" i="2"/>
  <c r="H2846" i="2"/>
  <c r="L2829" i="2"/>
  <c r="I2829" i="2"/>
  <c r="H2151" i="2"/>
  <c r="H2106" i="2"/>
  <c r="L2089" i="2"/>
  <c r="L1873" i="2"/>
  <c r="L1577" i="2"/>
  <c r="H1577" i="2"/>
  <c r="L1561" i="2"/>
  <c r="I1561" i="2"/>
  <c r="H1561" i="2"/>
  <c r="H1525" i="2"/>
  <c r="L1471" i="2"/>
  <c r="I1471" i="2"/>
  <c r="H1375" i="2"/>
  <c r="I1375" i="2"/>
  <c r="L1375" i="2"/>
  <c r="I1352" i="2"/>
  <c r="L1352" i="2"/>
  <c r="I1290" i="2"/>
  <c r="L1290" i="2"/>
  <c r="H965" i="2"/>
  <c r="L948" i="2"/>
  <c r="I948" i="2"/>
  <c r="H855" i="2"/>
  <c r="I797" i="2"/>
  <c r="H797" i="2"/>
  <c r="L764" i="2"/>
  <c r="I764" i="2"/>
  <c r="H764" i="2"/>
  <c r="H437" i="2"/>
  <c r="I426" i="2"/>
  <c r="H426" i="2"/>
  <c r="L426" i="2"/>
  <c r="L406" i="2"/>
  <c r="I406" i="2"/>
  <c r="L251" i="2"/>
  <c r="I251" i="2"/>
  <c r="L34" i="2"/>
  <c r="I722" i="2"/>
  <c r="L722" i="2"/>
  <c r="L838" i="2"/>
  <c r="I838" i="2"/>
  <c r="L75" i="2" l="1"/>
  <c r="I75" i="2"/>
  <c r="H75" i="2"/>
  <c r="L3377" i="2"/>
  <c r="I3377" i="2"/>
  <c r="H3377" i="2"/>
  <c r="O3376" i="2"/>
  <c r="P3376" i="2" s="1"/>
  <c r="F3377" i="2" s="1"/>
  <c r="L3344" i="2"/>
  <c r="J3377" i="2" l="1"/>
  <c r="P3375" i="2"/>
  <c r="F3385" i="2" s="1"/>
  <c r="F3378" i="2"/>
  <c r="O3343" i="2" l="1"/>
  <c r="P3343" i="2" s="1"/>
  <c r="O3325" i="2"/>
  <c r="P3325" i="2" s="1"/>
  <c r="F3326" i="2" s="1"/>
  <c r="H3308" i="2"/>
  <c r="O3307" i="2"/>
  <c r="P3307" i="2" s="1"/>
  <c r="F3308" i="2" s="1"/>
  <c r="I3262" i="2"/>
  <c r="L3262" i="2"/>
  <c r="H3262" i="2"/>
  <c r="O3261" i="2"/>
  <c r="P3261" i="2" s="1"/>
  <c r="F3262" i="2" s="1"/>
  <c r="H3128" i="2"/>
  <c r="P3127" i="2"/>
  <c r="F3128" i="2" s="1"/>
  <c r="L3092" i="2"/>
  <c r="I3092" i="2"/>
  <c r="H3092" i="2"/>
  <c r="O3091" i="2"/>
  <c r="P3091" i="2" s="1"/>
  <c r="F3092" i="2" s="1"/>
  <c r="L2989" i="2"/>
  <c r="I2989" i="2"/>
  <c r="P2988" i="2"/>
  <c r="I2931" i="2"/>
  <c r="L2931" i="2"/>
  <c r="H2931" i="2"/>
  <c r="O2930" i="2"/>
  <c r="P2930" i="2" s="1"/>
  <c r="F2931" i="2" s="1"/>
  <c r="L2846" i="2"/>
  <c r="I2846" i="2"/>
  <c r="O2845" i="2"/>
  <c r="P2845" i="2" s="1"/>
  <c r="H2829" i="2"/>
  <c r="O2828" i="2"/>
  <c r="P2828" i="2" s="1"/>
  <c r="F2829" i="2" s="1"/>
  <c r="P2771" i="2"/>
  <c r="L2742" i="2"/>
  <c r="I2742" i="2"/>
  <c r="H2742" i="2"/>
  <c r="O2741" i="2"/>
  <c r="P2741" i="2" s="1"/>
  <c r="F2742" i="2" s="1"/>
  <c r="I2698" i="2"/>
  <c r="L2698" i="2"/>
  <c r="H2698" i="2"/>
  <c r="O2697" i="2"/>
  <c r="P2697" i="2" s="1"/>
  <c r="F2698" i="2" s="1"/>
  <c r="L2678" i="2"/>
  <c r="I2678" i="2"/>
  <c r="O2677" i="2"/>
  <c r="P2677" i="2" s="1"/>
  <c r="H2652" i="2"/>
  <c r="O2651" i="2"/>
  <c r="P2651" i="2" s="1"/>
  <c r="F2652" i="2" s="1"/>
  <c r="L2623" i="2"/>
  <c r="I2623" i="2"/>
  <c r="H2623" i="2"/>
  <c r="O2622" i="2"/>
  <c r="P2622" i="2" s="1"/>
  <c r="F2623" i="2" s="1"/>
  <c r="L2607" i="2"/>
  <c r="I2607" i="2"/>
  <c r="H2607" i="2"/>
  <c r="O2606" i="2"/>
  <c r="P2606" i="2" s="1"/>
  <c r="F2607" i="2" s="1"/>
  <c r="L2588" i="2"/>
  <c r="I2588" i="2"/>
  <c r="H2588" i="2"/>
  <c r="O2587" i="2"/>
  <c r="P2587" i="2" s="1"/>
  <c r="F2588" i="2" s="1"/>
  <c r="L2577" i="2"/>
  <c r="I2577" i="2"/>
  <c r="H2577" i="2"/>
  <c r="O2576" i="2"/>
  <c r="P2576" i="2" s="1"/>
  <c r="F2577" i="2" s="1"/>
  <c r="L2568" i="2"/>
  <c r="I2568" i="2"/>
  <c r="H2568" i="2"/>
  <c r="O2567" i="2"/>
  <c r="P2567" i="2" s="1"/>
  <c r="F2568" i="2" s="1"/>
  <c r="L2539" i="2"/>
  <c r="I2539" i="2"/>
  <c r="H2539" i="2"/>
  <c r="O2538" i="2"/>
  <c r="P2538" i="2" s="1"/>
  <c r="F2539" i="2" s="1"/>
  <c r="L2524" i="2"/>
  <c r="I2524" i="2"/>
  <c r="H2524" i="2"/>
  <c r="O2523" i="2"/>
  <c r="P2523" i="2" s="1"/>
  <c r="F2524" i="2" s="1"/>
  <c r="L2515" i="2"/>
  <c r="I2515" i="2"/>
  <c r="H2515" i="2"/>
  <c r="O2514" i="2"/>
  <c r="P2514" i="2" s="1"/>
  <c r="F2515" i="2" s="1"/>
  <c r="L2506" i="2"/>
  <c r="I2506" i="2"/>
  <c r="H2506" i="2"/>
  <c r="O2505" i="2"/>
  <c r="P2505" i="2" s="1"/>
  <c r="F2506" i="2" s="1"/>
  <c r="I2501" i="2"/>
  <c r="L2501" i="2"/>
  <c r="H2501" i="2"/>
  <c r="O2500" i="2"/>
  <c r="P2500" i="2" s="1"/>
  <c r="F2501" i="2" s="1"/>
  <c r="L2489" i="2"/>
  <c r="I2489" i="2"/>
  <c r="H2489" i="2"/>
  <c r="O2488" i="2"/>
  <c r="P2488" i="2" s="1"/>
  <c r="F2489" i="2" s="1"/>
  <c r="L2473" i="2"/>
  <c r="I2473" i="2"/>
  <c r="H2473" i="2"/>
  <c r="O2472" i="2"/>
  <c r="P2472" i="2" s="1"/>
  <c r="F2473" i="2" s="1"/>
  <c r="I2451" i="2"/>
  <c r="L2451" i="2"/>
  <c r="H2451" i="2"/>
  <c r="O2450" i="2"/>
  <c r="P2450" i="2" s="1"/>
  <c r="F2451" i="2" s="1"/>
  <c r="L2434" i="2"/>
  <c r="I2434" i="2"/>
  <c r="H2434" i="2"/>
  <c r="O2433" i="2"/>
  <c r="P2433" i="2" s="1"/>
  <c r="F2434" i="2" s="1"/>
  <c r="L2422" i="2"/>
  <c r="I2422" i="2"/>
  <c r="H2422" i="2"/>
  <c r="O2421" i="2"/>
  <c r="P2421" i="2" s="1"/>
  <c r="F2422" i="2" s="1"/>
  <c r="L2400" i="2"/>
  <c r="I2400" i="2"/>
  <c r="H2400" i="2"/>
  <c r="O2399" i="2"/>
  <c r="P2399" i="2" s="1"/>
  <c r="F2400" i="2" s="1"/>
  <c r="L2378" i="2"/>
  <c r="I2378" i="2"/>
  <c r="H2378" i="2"/>
  <c r="O2377" i="2"/>
  <c r="P2377" i="2" s="1"/>
  <c r="F2378" i="2" s="1"/>
  <c r="L2353" i="2"/>
  <c r="I2353" i="2"/>
  <c r="H2353" i="2"/>
  <c r="O2352" i="2"/>
  <c r="P2352" i="2" s="1"/>
  <c r="F2353" i="2" s="1"/>
  <c r="L2309" i="2"/>
  <c r="I2309" i="2"/>
  <c r="H2309" i="2"/>
  <c r="O2308" i="2"/>
  <c r="P2308" i="2" s="1"/>
  <c r="F2309" i="2" s="1"/>
  <c r="L2233" i="2"/>
  <c r="I2233" i="2"/>
  <c r="H2233" i="2"/>
  <c r="O2232" i="2"/>
  <c r="P2232" i="2" s="1"/>
  <c r="F2233" i="2" s="1"/>
  <c r="L2221" i="2"/>
  <c r="I2221" i="2"/>
  <c r="H2221" i="2"/>
  <c r="O2220" i="2"/>
  <c r="P2220" i="2" s="1"/>
  <c r="F2221" i="2" s="1"/>
  <c r="L2195" i="2"/>
  <c r="I2195" i="2"/>
  <c r="O2194" i="2"/>
  <c r="P2194" i="2" s="1"/>
  <c r="F2195" i="2" s="1"/>
  <c r="O2170" i="2"/>
  <c r="P2170" i="2" s="1"/>
  <c r="F2171" i="2" s="1"/>
  <c r="O2150" i="2"/>
  <c r="P2150" i="2" s="1"/>
  <c r="F2151" i="2" s="1"/>
  <c r="O2131" i="2"/>
  <c r="P2131" i="2" s="1"/>
  <c r="O2105" i="2"/>
  <c r="P2105" i="2" s="1"/>
  <c r="O2088" i="2"/>
  <c r="P2088" i="2" s="1"/>
  <c r="F2089" i="2" s="1"/>
  <c r="L2074" i="2"/>
  <c r="I2074" i="2"/>
  <c r="H2074" i="2"/>
  <c r="O2073" i="2"/>
  <c r="P2073" i="2" s="1"/>
  <c r="F2074" i="2" s="1"/>
  <c r="L2065" i="2"/>
  <c r="I2065" i="2"/>
  <c r="H2065" i="2"/>
  <c r="O2064" i="2"/>
  <c r="P2064" i="2" s="1"/>
  <c r="F2065" i="2" s="1"/>
  <c r="L2044" i="2"/>
  <c r="I2044" i="2"/>
  <c r="H2044" i="2"/>
  <c r="O2043" i="2"/>
  <c r="P2043" i="2" s="1"/>
  <c r="F2044" i="2" s="1"/>
  <c r="L2029" i="2"/>
  <c r="I2029" i="2"/>
  <c r="H2029" i="2"/>
  <c r="O2028" i="2"/>
  <c r="P2028" i="2" s="1"/>
  <c r="F2029" i="2" s="1"/>
  <c r="L2015" i="2"/>
  <c r="I2015" i="2"/>
  <c r="H2015" i="2"/>
  <c r="O2014" i="2"/>
  <c r="P2014" i="2" s="1"/>
  <c r="F2015" i="2" s="1"/>
  <c r="L2002" i="2"/>
  <c r="I2002" i="2"/>
  <c r="H2002" i="2"/>
  <c r="O2001" i="2"/>
  <c r="P2001" i="2" s="1"/>
  <c r="F2002" i="2" s="1"/>
  <c r="L1971" i="2"/>
  <c r="I1971" i="2"/>
  <c r="H1971" i="2"/>
  <c r="O1970" i="2"/>
  <c r="P1970" i="2" s="1"/>
  <c r="F1971" i="2" s="1"/>
  <c r="L1953" i="2"/>
  <c r="I1953" i="2"/>
  <c r="H1953" i="2"/>
  <c r="O1952" i="2"/>
  <c r="P1952" i="2" s="1"/>
  <c r="F1953" i="2" s="1"/>
  <c r="L1942" i="2"/>
  <c r="I1942" i="2"/>
  <c r="H1942" i="2"/>
  <c r="O1941" i="2"/>
  <c r="P1941" i="2" s="1"/>
  <c r="F1942" i="2" s="1"/>
  <c r="L1924" i="2"/>
  <c r="I1924" i="2"/>
  <c r="H1924" i="2"/>
  <c r="O1923" i="2"/>
  <c r="P1923" i="2" s="1"/>
  <c r="F1924" i="2" s="1"/>
  <c r="H1873" i="2"/>
  <c r="O1872" i="2"/>
  <c r="P1872" i="2" s="1"/>
  <c r="F1873" i="2" s="1"/>
  <c r="O1837" i="2"/>
  <c r="P1837" i="2" s="1"/>
  <c r="F1838" i="2" s="1"/>
  <c r="L1818" i="2"/>
  <c r="I1818" i="2"/>
  <c r="H1818" i="2"/>
  <c r="O1817" i="2"/>
  <c r="P1817" i="2" s="1"/>
  <c r="F1818" i="2" s="1"/>
  <c r="L1795" i="2"/>
  <c r="I1795" i="2"/>
  <c r="H1795" i="2"/>
  <c r="O1794" i="2"/>
  <c r="P1794" i="2" s="1"/>
  <c r="F1795" i="2" s="1"/>
  <c r="L1749" i="2"/>
  <c r="I1749" i="2"/>
  <c r="H1749" i="2"/>
  <c r="O1748" i="2"/>
  <c r="P1748" i="2" s="1"/>
  <c r="F1749" i="2" s="1"/>
  <c r="L1732" i="2"/>
  <c r="I1732" i="2"/>
  <c r="O1731" i="2"/>
  <c r="P1731" i="2" s="1"/>
  <c r="F1732" i="2" s="1"/>
  <c r="H1671" i="2"/>
  <c r="O1670" i="2"/>
  <c r="P1670" i="2" s="1"/>
  <c r="F1671" i="2" s="1"/>
  <c r="I1631" i="2"/>
  <c r="L1631" i="2"/>
  <c r="O1630" i="2"/>
  <c r="P1630" i="2" s="1"/>
  <c r="F1631" i="2" s="1"/>
  <c r="O1596" i="2"/>
  <c r="P1596" i="2" s="1"/>
  <c r="F1597" i="2" s="1"/>
  <c r="I1577" i="2"/>
  <c r="O1576" i="2"/>
  <c r="P1576" i="2" s="1"/>
  <c r="O1560" i="2"/>
  <c r="P1560" i="2" s="1"/>
  <c r="F1561" i="2" s="1"/>
  <c r="I1525" i="2"/>
  <c r="L1525" i="2"/>
  <c r="O1524" i="2"/>
  <c r="P1524" i="2" s="1"/>
  <c r="H1471" i="2"/>
  <c r="O1470" i="2"/>
  <c r="P1470" i="2" s="1"/>
  <c r="F1471" i="2" s="1"/>
  <c r="L1435" i="2"/>
  <c r="I1435" i="2"/>
  <c r="H1435" i="2"/>
  <c r="O1434" i="2"/>
  <c r="P1434" i="2" s="1"/>
  <c r="F1435" i="2" s="1"/>
  <c r="L1417" i="2"/>
  <c r="I1417" i="2"/>
  <c r="H1417" i="2"/>
  <c r="O1416" i="2"/>
  <c r="P1416" i="2" s="1"/>
  <c r="F1417" i="2" s="1"/>
  <c r="L1408" i="2"/>
  <c r="I1408" i="2"/>
  <c r="H1408" i="2"/>
  <c r="O1407" i="2"/>
  <c r="P1407" i="2" s="1"/>
  <c r="F1408" i="2" s="1"/>
  <c r="L1401" i="2"/>
  <c r="I1401" i="2"/>
  <c r="H1401" i="2"/>
  <c r="O1400" i="2"/>
  <c r="P1400" i="2" s="1"/>
  <c r="F1401" i="2" s="1"/>
  <c r="O1374" i="2"/>
  <c r="P1374" i="2" s="1"/>
  <c r="H1352" i="2"/>
  <c r="O1351" i="2"/>
  <c r="P1351" i="2" s="1"/>
  <c r="F1352" i="2" s="1"/>
  <c r="I1339" i="2"/>
  <c r="L1339" i="2"/>
  <c r="H1339" i="2"/>
  <c r="O1338" i="2"/>
  <c r="P1338" i="2" s="1"/>
  <c r="F1339" i="2" s="1"/>
  <c r="L1330" i="2"/>
  <c r="I1330" i="2"/>
  <c r="O1329" i="2"/>
  <c r="P1329" i="2" s="1"/>
  <c r="F1330" i="2" s="1"/>
  <c r="H1310" i="2"/>
  <c r="O1309" i="2"/>
  <c r="P1309" i="2" s="1"/>
  <c r="F1310" i="2" s="1"/>
  <c r="H1290" i="2"/>
  <c r="O1289" i="2"/>
  <c r="P1289" i="2" s="1"/>
  <c r="F1290" i="2" s="1"/>
  <c r="L1234" i="2"/>
  <c r="O1233" i="2"/>
  <c r="P1233" i="2" s="1"/>
  <c r="F1234" i="2" s="1"/>
  <c r="O1199" i="2"/>
  <c r="P1199" i="2" s="1"/>
  <c r="F1200" i="2" s="1"/>
  <c r="O1150" i="2"/>
  <c r="P1150" i="2" s="1"/>
  <c r="F1151" i="2" s="1"/>
  <c r="O1106" i="2"/>
  <c r="P1106" i="2" s="1"/>
  <c r="F1107" i="2" s="1"/>
  <c r="L1074" i="2"/>
  <c r="I1074" i="2"/>
  <c r="O1073" i="2"/>
  <c r="P1073" i="2" s="1"/>
  <c r="F1074" i="2" s="1"/>
  <c r="O1028" i="2"/>
  <c r="P1028" i="2" s="1"/>
  <c r="D985" i="2"/>
  <c r="D984" i="2"/>
  <c r="D983" i="2"/>
  <c r="O964" i="2"/>
  <c r="P964" i="2" s="1"/>
  <c r="F965" i="2" s="1"/>
  <c r="L958" i="2"/>
  <c r="I958" i="2"/>
  <c r="H958" i="2"/>
  <c r="O957" i="2"/>
  <c r="P957" i="2" s="1"/>
  <c r="F958" i="2" s="1"/>
  <c r="H948" i="2"/>
  <c r="O947" i="2"/>
  <c r="P947" i="2" s="1"/>
  <c r="F948" i="2" s="1"/>
  <c r="L929" i="2"/>
  <c r="I929" i="2"/>
  <c r="O928" i="2"/>
  <c r="P928" i="2" s="1"/>
  <c r="F929" i="2" s="1"/>
  <c r="O874" i="2"/>
  <c r="P874" i="2" s="1"/>
  <c r="O854" i="2"/>
  <c r="P854" i="2" s="1"/>
  <c r="H838" i="2"/>
  <c r="O837" i="2"/>
  <c r="P837" i="2" s="1"/>
  <c r="F838" i="2" s="1"/>
  <c r="L797" i="2"/>
  <c r="O796" i="2"/>
  <c r="P796" i="2" s="1"/>
  <c r="O763" i="2"/>
  <c r="P763" i="2" s="1"/>
  <c r="F764" i="2" s="1"/>
  <c r="H722" i="2"/>
  <c r="O721" i="2"/>
  <c r="P721" i="2" s="1"/>
  <c r="F722" i="2" s="1"/>
  <c r="L713" i="2"/>
  <c r="I713" i="2"/>
  <c r="H713" i="2"/>
  <c r="O712" i="2"/>
  <c r="P712" i="2" s="1"/>
  <c r="F713" i="2" s="1"/>
  <c r="L690" i="2"/>
  <c r="I690" i="2"/>
  <c r="H690" i="2"/>
  <c r="O689" i="2"/>
  <c r="P689" i="2" s="1"/>
  <c r="F690" i="2" s="1"/>
  <c r="L680" i="2"/>
  <c r="I680" i="2"/>
  <c r="H680" i="2"/>
  <c r="O679" i="2"/>
  <c r="P679" i="2" s="1"/>
  <c r="F680" i="2" s="1"/>
  <c r="I669" i="2"/>
  <c r="L669" i="2"/>
  <c r="H669" i="2"/>
  <c r="O668" i="2"/>
  <c r="P668" i="2" s="1"/>
  <c r="F669" i="2" s="1"/>
  <c r="L655" i="2"/>
  <c r="I655" i="2"/>
  <c r="H655" i="2"/>
  <c r="O654" i="2"/>
  <c r="P654" i="2" s="1"/>
  <c r="F655" i="2" s="1"/>
  <c r="L629" i="2"/>
  <c r="I629" i="2"/>
  <c r="H629" i="2"/>
  <c r="O628" i="2"/>
  <c r="P628" i="2" s="1"/>
  <c r="F629" i="2" s="1"/>
  <c r="L620" i="2"/>
  <c r="I620" i="2"/>
  <c r="H620" i="2"/>
  <c r="O619" i="2"/>
  <c r="P619" i="2" s="1"/>
  <c r="F620" i="2" s="1"/>
  <c r="L591" i="2"/>
  <c r="I591" i="2"/>
  <c r="H591" i="2"/>
  <c r="O590" i="2"/>
  <c r="P590" i="2" s="1"/>
  <c r="L574" i="2"/>
  <c r="I574" i="2"/>
  <c r="H574" i="2"/>
  <c r="O573" i="2"/>
  <c r="P573" i="2" s="1"/>
  <c r="F574" i="2" s="1"/>
  <c r="L557" i="2"/>
  <c r="I557" i="2"/>
  <c r="H557" i="2"/>
  <c r="O556" i="2"/>
  <c r="P556" i="2" s="1"/>
  <c r="F557" i="2" s="1"/>
  <c r="L537" i="2"/>
  <c r="I537" i="2"/>
  <c r="H537" i="2"/>
  <c r="O536" i="2"/>
  <c r="P536" i="2" s="1"/>
  <c r="F537" i="2" s="1"/>
  <c r="L523" i="2"/>
  <c r="I523" i="2"/>
  <c r="H523" i="2"/>
  <c r="O522" i="2"/>
  <c r="P522" i="2" s="1"/>
  <c r="F523" i="2" s="1"/>
  <c r="L489" i="2"/>
  <c r="I489" i="2"/>
  <c r="H489" i="2"/>
  <c r="O488" i="2"/>
  <c r="P488" i="2" s="1"/>
  <c r="F489" i="2" s="1"/>
  <c r="L478" i="2"/>
  <c r="I478" i="2"/>
  <c r="H478" i="2"/>
  <c r="O477" i="2"/>
  <c r="P477" i="2" s="1"/>
  <c r="F478" i="2" s="1"/>
  <c r="L437" i="2"/>
  <c r="O436" i="2"/>
  <c r="P436" i="2" s="1"/>
  <c r="F437" i="2" s="1"/>
  <c r="O425" i="2"/>
  <c r="P425" i="2" s="1"/>
  <c r="F426" i="2" s="1"/>
  <c r="H406" i="2"/>
  <c r="O405" i="2"/>
  <c r="P405" i="2" s="1"/>
  <c r="F406" i="2" s="1"/>
  <c r="I394" i="2"/>
  <c r="L394" i="2"/>
  <c r="O393" i="2"/>
  <c r="P393" i="2" s="1"/>
  <c r="F394" i="2" s="1"/>
  <c r="H364" i="2"/>
  <c r="O363" i="2"/>
  <c r="P363" i="2" s="1"/>
  <c r="F364" i="2" s="1"/>
  <c r="L352" i="2"/>
  <c r="H352" i="2"/>
  <c r="O351" i="2"/>
  <c r="P351" i="2" s="1"/>
  <c r="F352" i="2" s="1"/>
  <c r="L310" i="2"/>
  <c r="I310" i="2"/>
  <c r="H310" i="2"/>
  <c r="O309" i="2"/>
  <c r="P309" i="2" s="1"/>
  <c r="F310" i="2" s="1"/>
  <c r="L279" i="2"/>
  <c r="I279" i="2"/>
  <c r="H279" i="2"/>
  <c r="O278" i="2"/>
  <c r="P278" i="2" s="1"/>
  <c r="F279" i="2" s="1"/>
  <c r="H251" i="2"/>
  <c r="O250" i="2"/>
  <c r="P250" i="2" s="1"/>
  <c r="F251" i="2" s="1"/>
  <c r="L235" i="2"/>
  <c r="I235" i="2"/>
  <c r="O234" i="2"/>
  <c r="P234" i="2" s="1"/>
  <c r="J213" i="2"/>
  <c r="O212" i="2"/>
  <c r="P212" i="2" s="1"/>
  <c r="H204" i="2"/>
  <c r="O203" i="2"/>
  <c r="P203" i="2" s="1"/>
  <c r="F204" i="2" s="1"/>
  <c r="L174" i="2"/>
  <c r="I174" i="2"/>
  <c r="H174" i="2"/>
  <c r="O173" i="2"/>
  <c r="P173" i="2" s="1"/>
  <c r="F174" i="2" s="1"/>
  <c r="O99" i="2"/>
  <c r="P99" i="2" s="1"/>
  <c r="O83" i="2"/>
  <c r="P83" i="2" s="1"/>
  <c r="F84" i="2" s="1"/>
  <c r="O74" i="2"/>
  <c r="P74" i="2" s="1"/>
  <c r="F75" i="2" s="1"/>
  <c r="O33" i="2"/>
  <c r="P33" i="2" s="1"/>
  <c r="F34" i="2" s="1"/>
  <c r="I3" i="2"/>
  <c r="L3" i="2"/>
  <c r="K3" i="2"/>
  <c r="D3" i="2"/>
  <c r="H3" i="2"/>
  <c r="O2" i="2"/>
  <c r="P2" i="2" s="1"/>
  <c r="F3" i="2" s="1"/>
  <c r="E3" i="2" s="1"/>
  <c r="G3" i="2" s="1"/>
  <c r="F2682" i="2" l="1"/>
  <c r="F2678" i="2"/>
  <c r="F2132" i="2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879" i="2"/>
  <c r="F875" i="2"/>
  <c r="F235" i="2"/>
  <c r="F214" i="2"/>
  <c r="F213" i="2"/>
  <c r="F880" i="2"/>
  <c r="F112" i="2"/>
  <c r="F114" i="2" s="1"/>
  <c r="F100" i="2"/>
  <c r="F1201" i="2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029" i="2"/>
  <c r="F3347" i="2"/>
  <c r="F3348" i="2" s="1"/>
  <c r="F3344" i="2"/>
  <c r="F2852" i="2"/>
  <c r="F2853" i="2" s="1"/>
  <c r="F2846" i="2"/>
  <c r="F2106" i="2"/>
  <c r="F1578" i="2"/>
  <c r="F1580" i="2" s="1"/>
  <c r="F1577" i="2"/>
  <c r="F1525" i="2"/>
  <c r="F1376" i="2"/>
  <c r="F1377" i="2" s="1"/>
  <c r="F1375" i="2"/>
  <c r="F797" i="2"/>
  <c r="F859" i="2"/>
  <c r="F861" i="2" s="1"/>
  <c r="F855" i="2"/>
  <c r="J2989" i="2"/>
  <c r="J2652" i="2"/>
  <c r="J3326" i="2"/>
  <c r="J2772" i="2"/>
  <c r="J3344" i="2"/>
  <c r="F3327" i="2"/>
  <c r="J3308" i="2"/>
  <c r="F3309" i="2"/>
  <c r="J3262" i="2"/>
  <c r="F3263" i="2"/>
  <c r="J3128" i="2"/>
  <c r="J3092" i="2"/>
  <c r="J2931" i="2"/>
  <c r="F3129" i="2"/>
  <c r="J2607" i="2"/>
  <c r="F3093" i="2"/>
  <c r="F2990" i="2"/>
  <c r="J2829" i="2"/>
  <c r="J2846" i="2"/>
  <c r="F2932" i="2"/>
  <c r="J2742" i="2"/>
  <c r="F2830" i="2"/>
  <c r="F2773" i="2"/>
  <c r="F2743" i="2"/>
  <c r="J2698" i="2"/>
  <c r="J2678" i="2"/>
  <c r="F2699" i="2"/>
  <c r="F2683" i="2"/>
  <c r="J2623" i="2"/>
  <c r="J2588" i="2"/>
  <c r="F2653" i="2"/>
  <c r="F2624" i="2"/>
  <c r="J2539" i="2"/>
  <c r="J2568" i="2"/>
  <c r="F2608" i="2"/>
  <c r="F2589" i="2"/>
  <c r="J2577" i="2"/>
  <c r="F2578" i="2"/>
  <c r="J2515" i="2"/>
  <c r="F2569" i="2"/>
  <c r="J2506" i="2"/>
  <c r="F2540" i="2"/>
  <c r="J2524" i="2"/>
  <c r="F2525" i="2"/>
  <c r="J2501" i="2"/>
  <c r="J2489" i="2"/>
  <c r="F2516" i="2"/>
  <c r="J2451" i="2"/>
  <c r="J2473" i="2"/>
  <c r="F2507" i="2"/>
  <c r="F2502" i="2"/>
  <c r="F2490" i="2"/>
  <c r="J2434" i="2"/>
  <c r="F2474" i="2"/>
  <c r="F2452" i="2"/>
  <c r="F2435" i="2"/>
  <c r="J2378" i="2"/>
  <c r="J2422" i="2"/>
  <c r="F2423" i="2"/>
  <c r="J2400" i="2"/>
  <c r="J2309" i="2"/>
  <c r="F2401" i="2"/>
  <c r="J2353" i="2"/>
  <c r="F2379" i="2"/>
  <c r="J2221" i="2"/>
  <c r="F2354" i="2"/>
  <c r="J2233" i="2"/>
  <c r="F2310" i="2"/>
  <c r="F2234" i="2"/>
  <c r="J2195" i="2"/>
  <c r="F2222" i="2"/>
  <c r="F2196" i="2"/>
  <c r="J2171" i="2"/>
  <c r="J2151" i="2"/>
  <c r="J2132" i="2"/>
  <c r="J2029" i="2"/>
  <c r="J2089" i="2"/>
  <c r="J2044" i="2"/>
  <c r="J2074" i="2"/>
  <c r="J2106" i="2"/>
  <c r="J2065" i="2"/>
  <c r="F2091" i="2"/>
  <c r="F2075" i="2"/>
  <c r="F2066" i="2"/>
  <c r="J1924" i="2"/>
  <c r="J2002" i="2"/>
  <c r="F2045" i="2"/>
  <c r="J2015" i="2"/>
  <c r="J1971" i="2"/>
  <c r="F2030" i="2"/>
  <c r="F2016" i="2"/>
  <c r="J1953" i="2"/>
  <c r="F2003" i="2"/>
  <c r="F1972" i="2"/>
  <c r="J1942" i="2"/>
  <c r="F1954" i="2"/>
  <c r="F1943" i="2"/>
  <c r="F1925" i="2"/>
  <c r="J1873" i="2"/>
  <c r="J1818" i="2"/>
  <c r="F1874" i="2"/>
  <c r="J1749" i="2"/>
  <c r="J1838" i="2"/>
  <c r="F1839" i="2"/>
  <c r="F1819" i="2"/>
  <c r="J1795" i="2"/>
  <c r="J1597" i="2"/>
  <c r="F1796" i="2"/>
  <c r="F1750" i="2"/>
  <c r="J1732" i="2"/>
  <c r="J1631" i="2"/>
  <c r="J1671" i="2"/>
  <c r="F1672" i="2"/>
  <c r="F1598" i="2"/>
  <c r="J1577" i="2"/>
  <c r="J1561" i="2"/>
  <c r="J1417" i="2"/>
  <c r="J1471" i="2"/>
  <c r="J1525" i="2"/>
  <c r="F1562" i="2"/>
  <c r="J1435" i="2"/>
  <c r="F1472" i="2"/>
  <c r="F1436" i="2"/>
  <c r="F1418" i="2"/>
  <c r="J1401" i="2"/>
  <c r="J1408" i="2"/>
  <c r="F1409" i="2"/>
  <c r="F1402" i="2"/>
  <c r="J1375" i="2"/>
  <c r="J1352" i="2"/>
  <c r="F1353" i="2"/>
  <c r="J1290" i="2"/>
  <c r="J1339" i="2"/>
  <c r="J1330" i="2"/>
  <c r="F1340" i="2"/>
  <c r="F1331" i="2"/>
  <c r="J1310" i="2"/>
  <c r="J1200" i="2"/>
  <c r="F1311" i="2"/>
  <c r="F1291" i="2"/>
  <c r="J1234" i="2"/>
  <c r="F1235" i="2"/>
  <c r="J1151" i="2"/>
  <c r="J1107" i="2"/>
  <c r="J1074" i="2"/>
  <c r="F1108" i="2"/>
  <c r="F1075" i="2"/>
  <c r="J958" i="2"/>
  <c r="J965" i="2"/>
  <c r="J1029" i="2"/>
  <c r="F966" i="2"/>
  <c r="F959" i="2"/>
  <c r="J797" i="2"/>
  <c r="J948" i="2"/>
  <c r="F949" i="2"/>
  <c r="J929" i="2"/>
  <c r="F930" i="2"/>
  <c r="J875" i="2"/>
  <c r="J690" i="2"/>
  <c r="J855" i="2"/>
  <c r="J838" i="2"/>
  <c r="F839" i="2"/>
  <c r="J764" i="2"/>
  <c r="J713" i="2"/>
  <c r="J722" i="2"/>
  <c r="F723" i="2"/>
  <c r="J669" i="2"/>
  <c r="F714" i="2"/>
  <c r="J680" i="2"/>
  <c r="F691" i="2"/>
  <c r="F681" i="2"/>
  <c r="F670" i="2"/>
  <c r="J629" i="2"/>
  <c r="J655" i="2"/>
  <c r="F656" i="2"/>
  <c r="J437" i="2"/>
  <c r="J620" i="2"/>
  <c r="F630" i="2"/>
  <c r="J591" i="2"/>
  <c r="F621" i="2"/>
  <c r="J523" i="2"/>
  <c r="F591" i="2"/>
  <c r="F592" i="2" s="1"/>
  <c r="J574" i="2"/>
  <c r="F575" i="2"/>
  <c r="J537" i="2"/>
  <c r="J557" i="2"/>
  <c r="F558" i="2"/>
  <c r="J478" i="2"/>
  <c r="F538" i="2"/>
  <c r="J489" i="2"/>
  <c r="F524" i="2"/>
  <c r="F490" i="2"/>
  <c r="F479" i="2"/>
  <c r="J426" i="2"/>
  <c r="J394" i="2"/>
  <c r="J406" i="2"/>
  <c r="J352" i="2"/>
  <c r="F407" i="2"/>
  <c r="J279" i="2"/>
  <c r="J364" i="2"/>
  <c r="F366" i="2"/>
  <c r="F353" i="2"/>
  <c r="J310" i="2"/>
  <c r="F311" i="2"/>
  <c r="J235" i="2"/>
  <c r="F280" i="2"/>
  <c r="J251" i="2"/>
  <c r="J84" i="2"/>
  <c r="J75" i="2"/>
  <c r="J204" i="2"/>
  <c r="F252" i="2"/>
  <c r="J174" i="2"/>
  <c r="F216" i="2"/>
  <c r="F205" i="2"/>
  <c r="F175" i="2"/>
  <c r="J100" i="2"/>
  <c r="F85" i="2"/>
  <c r="J3" i="2"/>
  <c r="M3" i="2"/>
  <c r="J34" i="2"/>
  <c r="F35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E4" i="2"/>
  <c r="G4" i="2" s="1"/>
  <c r="F1232" i="2" l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3" i="2" s="1"/>
  <c r="F1264" i="2" s="1"/>
  <c r="F1265" i="2" s="1"/>
  <c r="F1266" i="2" s="1"/>
  <c r="F1267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2" i="2" s="1"/>
  <c r="F1303" i="2" s="1"/>
  <c r="F1304" i="2" s="1"/>
  <c r="F1306" i="2" s="1"/>
  <c r="F1307" i="2" s="1"/>
  <c r="F1308" i="2" s="1"/>
  <c r="F1312" i="2" s="1"/>
  <c r="F1313" i="2" s="1"/>
  <c r="F1314" i="2" s="1"/>
  <c r="F37" i="2"/>
  <c r="F38" i="2" s="1"/>
  <c r="F39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8" i="2" s="1"/>
  <c r="F59" i="2" s="1"/>
  <c r="F60" i="2" s="1"/>
  <c r="F61" i="2" s="1"/>
  <c r="F62" i="2" s="1"/>
  <c r="F63" i="2" s="1"/>
  <c r="F64" i="2" s="1"/>
  <c r="N3" i="2"/>
  <c r="E5" i="2"/>
  <c r="F1315" i="2" l="1"/>
  <c r="F1316" i="2" s="1"/>
  <c r="F1318" i="2" s="1"/>
  <c r="F1319" i="2" s="1"/>
  <c r="F1320" i="2" s="1"/>
  <c r="F1322" i="2" s="1"/>
  <c r="F1323" i="2" s="1"/>
  <c r="F1324" i="2" s="1"/>
  <c r="F1326" i="2" s="1"/>
  <c r="F1327" i="2" s="1"/>
  <c r="F1328" i="2" s="1"/>
  <c r="F1332" i="2" s="1"/>
  <c r="F1333" i="2" s="1"/>
  <c r="F1334" i="2" s="1"/>
  <c r="F1335" i="2" s="1"/>
  <c r="F1336" i="2" s="1"/>
  <c r="F1337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6" i="2" s="1"/>
  <c r="F65" i="2"/>
  <c r="F66" i="2" s="1"/>
  <c r="F67" i="2" s="1"/>
  <c r="F69" i="2" s="1"/>
  <c r="F70" i="2" s="1"/>
  <c r="F72" i="2" s="1"/>
  <c r="F73" i="2" s="1"/>
  <c r="F76" i="2" s="1"/>
  <c r="F77" i="2" s="1"/>
  <c r="F78" i="2" s="1"/>
  <c r="F79" i="2" s="1"/>
  <c r="F80" i="2" s="1"/>
  <c r="F81" i="2" s="1"/>
  <c r="F82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101" i="2" s="1"/>
  <c r="F104" i="2" s="1"/>
  <c r="F105" i="2" s="1"/>
  <c r="F106" i="2" s="1"/>
  <c r="F107" i="2" s="1"/>
  <c r="F110" i="2" s="1"/>
  <c r="F115" i="2" s="1"/>
  <c r="F117" i="2" s="1"/>
  <c r="F119" i="2" s="1"/>
  <c r="F121" i="2" s="1"/>
  <c r="F122" i="2" s="1"/>
  <c r="F123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1" i="2" s="1"/>
  <c r="F172" i="2" s="1"/>
  <c r="F176" i="2" s="1"/>
  <c r="E6" i="2"/>
  <c r="G5" i="2"/>
  <c r="F1357" i="2" l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9" i="2" s="1"/>
  <c r="F177" i="2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6" i="2" s="1"/>
  <c r="F207" i="2" s="1"/>
  <c r="F208" i="2" s="1"/>
  <c r="F209" i="2" s="1"/>
  <c r="F210" i="2" s="1"/>
  <c r="F211" i="2" s="1"/>
  <c r="F217" i="2" s="1"/>
  <c r="F218" i="2" s="1"/>
  <c r="F220" i="2" s="1"/>
  <c r="F221" i="2" s="1"/>
  <c r="F222" i="2" s="1"/>
  <c r="F223" i="2" s="1"/>
  <c r="F224" i="2" s="1"/>
  <c r="F225" i="2" s="1"/>
  <c r="F228" i="2" s="1"/>
  <c r="F229" i="2" s="1"/>
  <c r="F230" i="2" s="1"/>
  <c r="F232" i="2" s="1"/>
  <c r="G6" i="2"/>
  <c r="E7" i="2"/>
  <c r="F236" i="2" l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81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4" i="2" s="1"/>
  <c r="F355" i="2" s="1"/>
  <c r="F356" i="2" s="1"/>
  <c r="F357" i="2" s="1"/>
  <c r="F358" i="2" s="1"/>
  <c r="F359" i="2" s="1"/>
  <c r="F360" i="2" s="1"/>
  <c r="F361" i="2" s="1"/>
  <c r="F362" i="2" s="1"/>
  <c r="F367" i="2" s="1"/>
  <c r="F368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7" i="2" s="1"/>
  <c r="F388" i="2" s="1"/>
  <c r="F233" i="2"/>
  <c r="F1370" i="2"/>
  <c r="G7" i="2"/>
  <c r="E8" i="2"/>
  <c r="F395" i="2" l="1"/>
  <c r="F396" i="2" s="1"/>
  <c r="F397" i="2" s="1"/>
  <c r="F398" i="2" s="1"/>
  <c r="F399" i="2" s="1"/>
  <c r="F400" i="2" s="1"/>
  <c r="F401" i="2" s="1"/>
  <c r="F402" i="2" s="1"/>
  <c r="F403" i="2" s="1"/>
  <c r="F404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389" i="2"/>
  <c r="F392" i="2" s="1"/>
  <c r="F1371" i="2"/>
  <c r="F1372" i="2" s="1"/>
  <c r="F1373" i="2" s="1"/>
  <c r="F1378" i="2" s="1"/>
  <c r="G8" i="2"/>
  <c r="E9" i="2"/>
  <c r="F427" i="2" l="1"/>
  <c r="F428" i="2" s="1"/>
  <c r="F1379" i="2"/>
  <c r="F1380" i="2" s="1"/>
  <c r="F1381" i="2" s="1"/>
  <c r="F1382" i="2" s="1"/>
  <c r="F1384" i="2" s="1"/>
  <c r="F1386" i="2" s="1"/>
  <c r="F1387" i="2" s="1"/>
  <c r="F1389" i="2" s="1"/>
  <c r="F1390" i="2" s="1"/>
  <c r="F1391" i="2" s="1"/>
  <c r="F1392" i="2" s="1"/>
  <c r="F1394" i="2" s="1"/>
  <c r="F1395" i="2" s="1"/>
  <c r="F1396" i="2" s="1"/>
  <c r="F1398" i="2" s="1"/>
  <c r="F1399" i="2" s="1"/>
  <c r="F1403" i="2" s="1"/>
  <c r="F1404" i="2" s="1"/>
  <c r="F1405" i="2" s="1"/>
  <c r="F1406" i="2" s="1"/>
  <c r="F1410" i="2" s="1"/>
  <c r="F1411" i="2" s="1"/>
  <c r="F1412" i="2" s="1"/>
  <c r="F1413" i="2" s="1"/>
  <c r="F1414" i="2" s="1"/>
  <c r="F1415" i="2" s="1"/>
  <c r="F1419" i="2" s="1"/>
  <c r="F1420" i="2" s="1"/>
  <c r="F1421" i="2" s="1"/>
  <c r="F1422" i="2" s="1"/>
  <c r="F1423" i="2" s="1"/>
  <c r="E10" i="2"/>
  <c r="G9" i="2"/>
  <c r="F429" i="2" l="1"/>
  <c r="F430" i="2" s="1"/>
  <c r="F431" i="2" s="1"/>
  <c r="F432" i="2" s="1"/>
  <c r="F433" i="2" s="1"/>
  <c r="F434" i="2" s="1"/>
  <c r="F435" i="2" s="1"/>
  <c r="F438" i="2" s="1"/>
  <c r="F439" i="2" s="1"/>
  <c r="F440" i="2" s="1"/>
  <c r="F441" i="2" s="1"/>
  <c r="F442" i="2" s="1"/>
  <c r="F443" i="2" s="1"/>
  <c r="F444" i="2" s="1"/>
  <c r="F445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80" i="2" s="1"/>
  <c r="F481" i="2" s="1"/>
  <c r="F482" i="2" s="1"/>
  <c r="F483" i="2" s="1"/>
  <c r="F484" i="2" s="1"/>
  <c r="F485" i="2" s="1"/>
  <c r="F486" i="2" s="1"/>
  <c r="F487" i="2" s="1"/>
  <c r="F491" i="2" s="1"/>
  <c r="F492" i="2" s="1"/>
  <c r="F493" i="2" s="1"/>
  <c r="F494" i="2" s="1"/>
  <c r="F495" i="2" s="1"/>
  <c r="F496" i="2" s="1"/>
  <c r="F497" i="2" s="1"/>
  <c r="F498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3" i="2" s="1"/>
  <c r="F554" i="2" s="1"/>
  <c r="F555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1424" i="2"/>
  <c r="F1425" i="2" s="1"/>
  <c r="F1426" i="2" s="1"/>
  <c r="F1427" i="2" s="1"/>
  <c r="F1428" i="2" s="1"/>
  <c r="F1429" i="2" s="1"/>
  <c r="F1430" i="2" s="1"/>
  <c r="F1431" i="2" s="1"/>
  <c r="F1432" i="2" s="1"/>
  <c r="F1433" i="2" s="1"/>
  <c r="F1437" i="2" s="1"/>
  <c r="F1438" i="2" s="1"/>
  <c r="F1439" i="2" s="1"/>
  <c r="F1440" i="2" s="1"/>
  <c r="F1441" i="2" s="1"/>
  <c r="F1442" i="2" s="1"/>
  <c r="F1444" i="2" s="1"/>
  <c r="F1445" i="2" s="1"/>
  <c r="F1446" i="2" s="1"/>
  <c r="F1447" i="2" s="1"/>
  <c r="F1448" i="2" s="1"/>
  <c r="E11" i="2"/>
  <c r="G10" i="2"/>
  <c r="F1449" i="2" l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2" i="2" s="1"/>
  <c r="F1513" i="2" s="1"/>
  <c r="F1515" i="2" s="1"/>
  <c r="F1516" i="2" s="1"/>
  <c r="F1517" i="2" s="1"/>
  <c r="F1518" i="2" s="1"/>
  <c r="F1519" i="2" s="1"/>
  <c r="F1521" i="2" s="1"/>
  <c r="F1522" i="2" s="1"/>
  <c r="F1523" i="2" s="1"/>
  <c r="F1526" i="2" s="1"/>
  <c r="F1527" i="2" s="1"/>
  <c r="F1530" i="2" s="1"/>
  <c r="F1531" i="2" s="1"/>
  <c r="F1532" i="2" s="1"/>
  <c r="F1533" i="2" s="1"/>
  <c r="F1534" i="2" s="1"/>
  <c r="F588" i="2"/>
  <c r="F589" i="2" s="1"/>
  <c r="F593" i="2" s="1"/>
  <c r="G11" i="2"/>
  <c r="E12" i="2"/>
  <c r="F1535" i="2" l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6" i="2" s="1"/>
  <c r="F1548" i="2" s="1"/>
  <c r="F1549" i="2" s="1"/>
  <c r="F1550" i="2" s="1"/>
  <c r="F1551" i="2" s="1"/>
  <c r="F1552" i="2" s="1"/>
  <c r="F1553" i="2" s="1"/>
  <c r="F1555" i="2" s="1"/>
  <c r="F1556" i="2" s="1"/>
  <c r="F1557" i="2" s="1"/>
  <c r="F1558" i="2" s="1"/>
  <c r="F1559" i="2" s="1"/>
  <c r="F1563" i="2" s="1"/>
  <c r="F594" i="2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22" i="2" s="1"/>
  <c r="G12" i="2"/>
  <c r="E13" i="2"/>
  <c r="F1564" i="2" l="1"/>
  <c r="F1565" i="2" s="1"/>
  <c r="F1566" i="2" s="1"/>
  <c r="F1568" i="2" s="1"/>
  <c r="F1569" i="2" s="1"/>
  <c r="F1570" i="2" s="1"/>
  <c r="F1571" i="2" s="1"/>
  <c r="F1572" i="2" s="1"/>
  <c r="F1573" i="2" s="1"/>
  <c r="F1574" i="2" s="1"/>
  <c r="F1575" i="2" s="1"/>
  <c r="F1581" i="2" s="1"/>
  <c r="F1582" i="2" s="1"/>
  <c r="F1583" i="2" s="1"/>
  <c r="F1584" i="2" s="1"/>
  <c r="F1586" i="2" s="1"/>
  <c r="F1587" i="2" s="1"/>
  <c r="F1589" i="2" s="1"/>
  <c r="F1590" i="2" s="1"/>
  <c r="F1591" i="2" s="1"/>
  <c r="F1592" i="2" s="1"/>
  <c r="F1593" i="2" s="1"/>
  <c r="F1594" i="2" s="1"/>
  <c r="F1595" i="2" s="1"/>
  <c r="F1599" i="2" s="1"/>
  <c r="F623" i="2"/>
  <c r="F624" i="2" s="1"/>
  <c r="F625" i="2" s="1"/>
  <c r="F626" i="2" s="1"/>
  <c r="F627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7" i="2" s="1"/>
  <c r="F658" i="2" s="1"/>
  <c r="F659" i="2" s="1"/>
  <c r="F661" i="2" s="1"/>
  <c r="F662" i="2" s="1"/>
  <c r="F663" i="2" s="1"/>
  <c r="F664" i="2" s="1"/>
  <c r="F665" i="2" s="1"/>
  <c r="F666" i="2" s="1"/>
  <c r="F667" i="2" s="1"/>
  <c r="F671" i="2" s="1"/>
  <c r="G13" i="2"/>
  <c r="E14" i="2"/>
  <c r="G14" i="2" s="1"/>
  <c r="F1600" i="2" l="1"/>
  <c r="F1601" i="2" s="1"/>
  <c r="F1602" i="2" s="1"/>
  <c r="F1603" i="2" s="1"/>
  <c r="F1604" i="2" s="1"/>
  <c r="F1605" i="2" s="1"/>
  <c r="F1607" i="2" s="1"/>
  <c r="F1608" i="2" s="1"/>
  <c r="F1609" i="2" s="1"/>
  <c r="F1610" i="2" s="1"/>
  <c r="F1611" i="2" s="1"/>
  <c r="F1612" i="2" s="1"/>
  <c r="F1615" i="2" s="1"/>
  <c r="F1616" i="2" s="1"/>
  <c r="F1617" i="2" s="1"/>
  <c r="F1618" i="2" s="1"/>
  <c r="F1619" i="2" s="1"/>
  <c r="F1620" i="2" s="1"/>
  <c r="F672" i="2"/>
  <c r="F673" i="2" s="1"/>
  <c r="F674" i="2" s="1"/>
  <c r="F675" i="2" s="1"/>
  <c r="F676" i="2" s="1"/>
  <c r="F677" i="2" s="1"/>
  <c r="F678" i="2" s="1"/>
  <c r="F682" i="2" s="1"/>
  <c r="E15" i="2"/>
  <c r="F1621" i="2" l="1"/>
  <c r="F1623" i="2" s="1"/>
  <c r="F1624" i="2" s="1"/>
  <c r="F1625" i="2" s="1"/>
  <c r="F1626" i="2" s="1"/>
  <c r="F1627" i="2" s="1"/>
  <c r="F1629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9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683" i="2"/>
  <c r="F684" i="2" s="1"/>
  <c r="F685" i="2" s="1"/>
  <c r="F686" i="2" s="1"/>
  <c r="F687" i="2" s="1"/>
  <c r="F688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6" i="2" s="1"/>
  <c r="F717" i="2" s="1"/>
  <c r="F718" i="2" s="1"/>
  <c r="F719" i="2" s="1"/>
  <c r="F720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G15" i="2"/>
  <c r="E16" i="2"/>
  <c r="F1698" i="2" l="1"/>
  <c r="F1700" i="2" s="1"/>
  <c r="F1701" i="2" s="1"/>
  <c r="F1702" i="2" s="1"/>
  <c r="F1703" i="2" s="1"/>
  <c r="F1704" i="2" s="1"/>
  <c r="F1706" i="2" s="1"/>
  <c r="F1707" i="2" s="1"/>
  <c r="F1708" i="2" s="1"/>
  <c r="F1709" i="2" s="1"/>
  <c r="F1710" i="2" s="1"/>
  <c r="F1711" i="2" s="1"/>
  <c r="F1712" i="2" s="1"/>
  <c r="F1713" i="2" s="1"/>
  <c r="F735" i="2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G16" i="2"/>
  <c r="E17" i="2"/>
  <c r="F1714" i="2" l="1"/>
  <c r="F1715" i="2" s="1"/>
  <c r="F1716" i="2" s="1"/>
  <c r="F1717" i="2" s="1"/>
  <c r="F1718" i="2" s="1"/>
  <c r="F1719" i="2" s="1"/>
  <c r="F1720" i="2" s="1"/>
  <c r="F1723" i="2" s="1"/>
  <c r="F1724" i="2" s="1"/>
  <c r="F1725" i="2" s="1"/>
  <c r="F1726" i="2" s="1"/>
  <c r="F1727" i="2" s="1"/>
  <c r="F1729" i="2" s="1"/>
  <c r="F1730" i="2" s="1"/>
  <c r="F758" i="2"/>
  <c r="F759" i="2" s="1"/>
  <c r="F760" i="2" s="1"/>
  <c r="F761" i="2" s="1"/>
  <c r="F762" i="2" s="1"/>
  <c r="F765" i="2" s="1"/>
  <c r="F766" i="2" s="1"/>
  <c r="F767" i="2" s="1"/>
  <c r="F769" i="2" s="1"/>
  <c r="E18" i="2"/>
  <c r="G17" i="2"/>
  <c r="F770" i="2" l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1733" i="2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51" i="2" s="1"/>
  <c r="E19" i="2"/>
  <c r="G18" i="2"/>
  <c r="F793" i="2" l="1"/>
  <c r="F794" i="2" s="1"/>
  <c r="F795" i="2" s="1"/>
  <c r="F798" i="2" s="1"/>
  <c r="F1752" i="2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20" i="2" s="1"/>
  <c r="G19" i="2"/>
  <c r="E20" i="2"/>
  <c r="F799" i="2" l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7" i="2" s="1"/>
  <c r="F1821" i="2"/>
  <c r="F1822" i="2" s="1"/>
  <c r="F1823" i="2" s="1"/>
  <c r="F1824" i="2" s="1"/>
  <c r="F1825" i="2" s="1"/>
  <c r="F1826" i="2" s="1"/>
  <c r="F1827" i="2" s="1"/>
  <c r="F1828" i="2" s="1"/>
  <c r="F1830" i="2" s="1"/>
  <c r="F1831" i="2" s="1"/>
  <c r="F1832" i="2" s="1"/>
  <c r="F1833" i="2" s="1"/>
  <c r="F1834" i="2" s="1"/>
  <c r="F1835" i="2" s="1"/>
  <c r="F1836" i="2" s="1"/>
  <c r="F1840" i="2" s="1"/>
  <c r="E21" i="2"/>
  <c r="G20" i="2"/>
  <c r="F858" i="2" l="1"/>
  <c r="F862" i="2" s="1"/>
  <c r="F863" i="2" s="1"/>
  <c r="F864" i="2" s="1"/>
  <c r="F865" i="2" s="1"/>
  <c r="F1841" i="2"/>
  <c r="F1842" i="2" s="1"/>
  <c r="F1843" i="2" s="1"/>
  <c r="F1844" i="2" s="1"/>
  <c r="F1845" i="2" s="1"/>
  <c r="F1846" i="2" s="1"/>
  <c r="F1847" i="2" s="1"/>
  <c r="F1848" i="2" s="1"/>
  <c r="F1849" i="2" s="1"/>
  <c r="F1850" i="2" s="1"/>
  <c r="F1853" i="2" s="1"/>
  <c r="G21" i="2"/>
  <c r="E22" i="2"/>
  <c r="F867" i="2" l="1"/>
  <c r="F868" i="2" s="1"/>
  <c r="F869" i="2" s="1"/>
  <c r="F870" i="2" s="1"/>
  <c r="F871" i="2" s="1"/>
  <c r="F872" i="2" s="1"/>
  <c r="F1854" i="2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6" i="2" s="1"/>
  <c r="F1868" i="2" s="1"/>
  <c r="F1869" i="2" s="1"/>
  <c r="F1870" i="2" s="1"/>
  <c r="F1871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6" i="2" s="1"/>
  <c r="F881" i="2"/>
  <c r="G22" i="2"/>
  <c r="E23" i="2"/>
  <c r="F873" i="2" l="1"/>
  <c r="F876" i="2" s="1"/>
  <c r="F877" i="2" s="1"/>
  <c r="F883" i="2"/>
  <c r="F884" i="2" s="1"/>
  <c r="F885" i="2" s="1"/>
  <c r="F886" i="2" s="1"/>
  <c r="F887" i="2" s="1"/>
  <c r="F888" i="2" s="1"/>
  <c r="F889" i="2" s="1"/>
  <c r="F890" i="2" s="1"/>
  <c r="F891" i="2" s="1"/>
  <c r="F892" i="2" s="1"/>
  <c r="F894" i="2" s="1"/>
  <c r="F895" i="2" s="1"/>
  <c r="F896" i="2" s="1"/>
  <c r="F897" i="2" s="1"/>
  <c r="F899" i="2" s="1"/>
  <c r="F900" i="2" s="1"/>
  <c r="F901" i="2" s="1"/>
  <c r="F903" i="2" s="1"/>
  <c r="F904" i="2" s="1"/>
  <c r="F905" i="2" s="1"/>
  <c r="F1927" i="2"/>
  <c r="F1928" i="2" s="1"/>
  <c r="F1929" i="2" s="1"/>
  <c r="F1930" i="2" s="1"/>
  <c r="F1931" i="2" s="1"/>
  <c r="F1932" i="2" s="1"/>
  <c r="F1933" i="2" s="1"/>
  <c r="F1934" i="2" s="1"/>
  <c r="F1935" i="2" s="1"/>
  <c r="F1936" i="2" s="1"/>
  <c r="F1938" i="2" s="1"/>
  <c r="F1939" i="2" s="1"/>
  <c r="F1940" i="2" s="1"/>
  <c r="F1944" i="2" s="1"/>
  <c r="E24" i="2"/>
  <c r="G23" i="2"/>
  <c r="F908" i="2" l="1"/>
  <c r="F911" i="2" s="1"/>
  <c r="F912" i="2" s="1"/>
  <c r="F913" i="2" s="1"/>
  <c r="F914" i="2" s="1"/>
  <c r="F915" i="2" s="1"/>
  <c r="F916" i="2" s="1"/>
  <c r="F917" i="2" s="1"/>
  <c r="F918" i="2" s="1"/>
  <c r="F920" i="2" s="1"/>
  <c r="F921" i="2" s="1"/>
  <c r="F922" i="2" s="1"/>
  <c r="F923" i="2" s="1"/>
  <c r="F924" i="2" s="1"/>
  <c r="F925" i="2" s="1"/>
  <c r="F927" i="2" s="1"/>
  <c r="F931" i="2" s="1"/>
  <c r="F932" i="2" s="1"/>
  <c r="F933" i="2" s="1"/>
  <c r="F934" i="2" s="1"/>
  <c r="F935" i="2" s="1"/>
  <c r="F936" i="2" s="1"/>
  <c r="F937" i="2" s="1"/>
  <c r="F939" i="2" s="1"/>
  <c r="F940" i="2" s="1"/>
  <c r="F941" i="2" s="1"/>
  <c r="F942" i="2" s="1"/>
  <c r="F943" i="2" s="1"/>
  <c r="F944" i="2" s="1"/>
  <c r="F945" i="2" s="1"/>
  <c r="F946" i="2" s="1"/>
  <c r="F950" i="2" s="1"/>
  <c r="F951" i="2" s="1"/>
  <c r="F952" i="2" s="1"/>
  <c r="F953" i="2" s="1"/>
  <c r="F954" i="2" s="1"/>
  <c r="F955" i="2" s="1"/>
  <c r="F956" i="2" s="1"/>
  <c r="F960" i="2" s="1"/>
  <c r="F961" i="2" s="1"/>
  <c r="F962" i="2" s="1"/>
  <c r="F963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945" i="2"/>
  <c r="F1946" i="2" s="1"/>
  <c r="F1947" i="2" s="1"/>
  <c r="F1948" i="2" s="1"/>
  <c r="F1949" i="2" s="1"/>
  <c r="F1950" i="2" s="1"/>
  <c r="F1951" i="2" s="1"/>
  <c r="F1955" i="2" s="1"/>
  <c r="G24" i="2"/>
  <c r="E25" i="2"/>
  <c r="F1005" i="2" l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31" i="2" s="1"/>
  <c r="F1032" i="2" s="1"/>
  <c r="F1033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8" i="2" s="1"/>
  <c r="F1956" i="2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3" i="2" s="1"/>
  <c r="E26" i="2"/>
  <c r="G25" i="2"/>
  <c r="F1974" i="2" l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2" i="2" s="1"/>
  <c r="F1993" i="2" s="1"/>
  <c r="F1994" i="2" s="1"/>
  <c r="F1995" i="2" s="1"/>
  <c r="F1996" i="2" s="1"/>
  <c r="F1997" i="2" s="1"/>
  <c r="F1998" i="2" s="1"/>
  <c r="F1999" i="2" s="1"/>
  <c r="F1049" i="2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E27" i="2"/>
  <c r="G26" i="2"/>
  <c r="F1060" i="2" l="1"/>
  <c r="F1062" i="2" s="1"/>
  <c r="F1063" i="2" s="1"/>
  <c r="F1064" i="2" s="1"/>
  <c r="F1066" i="2" s="1"/>
  <c r="F1067" i="2" s="1"/>
  <c r="F1068" i="2" s="1"/>
  <c r="F1069" i="2" s="1"/>
  <c r="F1070" i="2" s="1"/>
  <c r="F1071" i="2" s="1"/>
  <c r="F1072" i="2" s="1"/>
  <c r="F1076" i="2" s="1"/>
  <c r="F2000" i="2"/>
  <c r="F2004" i="2" s="1"/>
  <c r="G27" i="2"/>
  <c r="E28" i="2"/>
  <c r="F2005" i="2" l="1"/>
  <c r="F2006" i="2" s="1"/>
  <c r="F2007" i="2" s="1"/>
  <c r="F2008" i="2" s="1"/>
  <c r="F2009" i="2" s="1"/>
  <c r="F2010" i="2" s="1"/>
  <c r="F2011" i="2" s="1"/>
  <c r="F2012" i="2" s="1"/>
  <c r="F2013" i="2" s="1"/>
  <c r="F2017" i="2" s="1"/>
  <c r="F1077" i="2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G28" i="2"/>
  <c r="E29" i="2"/>
  <c r="F2018" i="2" l="1"/>
  <c r="F2019" i="2" s="1"/>
  <c r="F2020" i="2" s="1"/>
  <c r="F2021" i="2" s="1"/>
  <c r="F2022" i="2" s="1"/>
  <c r="F2023" i="2" s="1"/>
  <c r="F2024" i="2" s="1"/>
  <c r="F2025" i="2" s="1"/>
  <c r="F2026" i="2" s="1"/>
  <c r="F2027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7" i="2" s="1"/>
  <c r="F1088" i="2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2" i="2" s="1"/>
  <c r="F1103" i="2" s="1"/>
  <c r="F1104" i="2" s="1"/>
  <c r="F1105" i="2" s="1"/>
  <c r="F1109" i="2" s="1"/>
  <c r="G29" i="2"/>
  <c r="E30" i="2"/>
  <c r="F2048" i="2" l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7" i="2" s="1"/>
  <c r="F2068" i="2" s="1"/>
  <c r="F2069" i="2" s="1"/>
  <c r="F2070" i="2" s="1"/>
  <c r="F2071" i="2" s="1"/>
  <c r="F2072" i="2" s="1"/>
  <c r="F1110" i="2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G30" i="2"/>
  <c r="E31" i="2"/>
  <c r="F1143" i="2" l="1"/>
  <c r="F2076" i="2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92" i="2" s="1"/>
  <c r="F2093" i="2" s="1"/>
  <c r="F2095" i="2" s="1"/>
  <c r="F2096" i="2" s="1"/>
  <c r="F2097" i="2" s="1"/>
  <c r="F2098" i="2" s="1"/>
  <c r="F2099" i="2" s="1"/>
  <c r="F2101" i="2" s="1"/>
  <c r="F2102" i="2" s="1"/>
  <c r="F2104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9" i="2" s="1"/>
  <c r="F2130" i="2" s="1"/>
  <c r="G31" i="2"/>
  <c r="E32" i="2"/>
  <c r="K34" i="2" l="1"/>
  <c r="M34" i="2" s="1"/>
  <c r="N34" i="2" s="1"/>
  <c r="E34" i="2"/>
  <c r="E35" i="2" s="1"/>
  <c r="F1144" i="2"/>
  <c r="F1145" i="2" s="1"/>
  <c r="F1146" i="2" s="1"/>
  <c r="F1147" i="2" s="1"/>
  <c r="G32" i="2"/>
  <c r="F1148" i="2" l="1"/>
  <c r="F1149" i="2" s="1"/>
  <c r="F1152" i="2" s="1"/>
  <c r="F1154" i="2" s="1"/>
  <c r="G35" i="2"/>
  <c r="G34" i="2"/>
  <c r="F1156" i="2" l="1"/>
  <c r="F1157" i="2" s="1"/>
  <c r="F1158" i="2" s="1"/>
  <c r="E37" i="2"/>
  <c r="F1159" i="2" l="1"/>
  <c r="F1161" i="2" s="1"/>
  <c r="F1162" i="2" s="1"/>
  <c r="F1166" i="2" s="1"/>
  <c r="F1167" i="2" s="1"/>
  <c r="F1168" i="2" s="1"/>
  <c r="G37" i="2"/>
  <c r="E38" i="2"/>
  <c r="F1169" i="2" l="1"/>
  <c r="F1170" i="2" s="1"/>
  <c r="F1171" i="2" s="1"/>
  <c r="F1172" i="2" s="1"/>
  <c r="F1173" i="2" s="1"/>
  <c r="F1174" i="2" s="1"/>
  <c r="F1175" i="2" s="1"/>
  <c r="F1176" i="2" s="1"/>
  <c r="F1177" i="2" s="1"/>
  <c r="F2146" i="2"/>
  <c r="F2147" i="2" s="1"/>
  <c r="F2148" i="2" s="1"/>
  <c r="F2149" i="2" s="1"/>
  <c r="F2152" i="2" s="1"/>
  <c r="F2153" i="2" s="1"/>
  <c r="F2154" i="2" s="1"/>
  <c r="F2155" i="2" s="1"/>
  <c r="F2156" i="2" s="1"/>
  <c r="F2157" i="2" s="1"/>
  <c r="F2158" i="2" s="1"/>
  <c r="E39" i="2"/>
  <c r="G38" i="2"/>
  <c r="F1181" i="2" l="1"/>
  <c r="F1182" i="2" s="1"/>
  <c r="F1183" i="2" s="1"/>
  <c r="F1184" i="2" s="1"/>
  <c r="F1185" i="2" s="1"/>
  <c r="F1186" i="2" s="1"/>
  <c r="F1187" i="2" s="1"/>
  <c r="F1188" i="2" s="1"/>
  <c r="F1189" i="2" s="1"/>
  <c r="F1191" i="2" s="1"/>
  <c r="F1192" i="2" s="1"/>
  <c r="F1193" i="2" s="1"/>
  <c r="F1194" i="2" s="1"/>
  <c r="F1195" i="2" s="1"/>
  <c r="F1197" i="2" s="1"/>
  <c r="F1198" i="2" s="1"/>
  <c r="F2159" i="2"/>
  <c r="F2161" i="2" s="1"/>
  <c r="F2163" i="2" s="1"/>
  <c r="F2164" i="2" s="1"/>
  <c r="F2166" i="2" s="1"/>
  <c r="F2167" i="2" s="1"/>
  <c r="F2169" i="2" s="1"/>
  <c r="G39" i="2"/>
  <c r="E41" i="2"/>
  <c r="F2172" i="2" l="1"/>
  <c r="F2173" i="2" s="1"/>
  <c r="F2174" i="2" s="1"/>
  <c r="F2176" i="2" s="1"/>
  <c r="F2178" i="2" s="1"/>
  <c r="F2179" i="2" s="1"/>
  <c r="F2180" i="2" s="1"/>
  <c r="F2181" i="2" s="1"/>
  <c r="F2182" i="2" s="1"/>
  <c r="F2186" i="2" s="1"/>
  <c r="G41" i="2"/>
  <c r="E42" i="2"/>
  <c r="F2187" i="2" l="1"/>
  <c r="F2188" i="2" s="1"/>
  <c r="F2191" i="2" s="1"/>
  <c r="F2192" i="2" s="1"/>
  <c r="F2193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4" i="2" s="1"/>
  <c r="F2225" i="2" s="1"/>
  <c r="F2226" i="2" s="1"/>
  <c r="F2227" i="2" s="1"/>
  <c r="F2228" i="2" s="1"/>
  <c r="F2229" i="2" s="1"/>
  <c r="F2230" i="2" s="1"/>
  <c r="F2231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5" i="2" s="1"/>
  <c r="F2476" i="2" s="1"/>
  <c r="F2477" i="2" s="1"/>
  <c r="F2478" i="2" s="1"/>
  <c r="F2479" i="2" s="1"/>
  <c r="G42" i="2"/>
  <c r="E43" i="2"/>
  <c r="F2480" i="2" l="1"/>
  <c r="F2481" i="2" s="1"/>
  <c r="F2482" i="2" s="1"/>
  <c r="F2483" i="2" s="1"/>
  <c r="F2484" i="2" s="1"/>
  <c r="F2485" i="2" s="1"/>
  <c r="F2487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3" i="2" s="1"/>
  <c r="G43" i="2"/>
  <c r="E44" i="2"/>
  <c r="F2504" i="2" l="1"/>
  <c r="F2508" i="2" s="1"/>
  <c r="F2509" i="2" s="1"/>
  <c r="F2510" i="2" s="1"/>
  <c r="F2511" i="2" s="1"/>
  <c r="F2512" i="2" s="1"/>
  <c r="F2513" i="2" s="1"/>
  <c r="F2517" i="2" s="1"/>
  <c r="F2518" i="2" s="1"/>
  <c r="F2519" i="2" s="1"/>
  <c r="F2520" i="2" s="1"/>
  <c r="F2521" i="2" s="1"/>
  <c r="F2522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41" i="2" s="1"/>
  <c r="F2542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G44" i="2"/>
  <c r="E45" i="2"/>
  <c r="F2557" i="2" l="1"/>
  <c r="F2558" i="2" s="1"/>
  <c r="F2559" i="2" s="1"/>
  <c r="F2560" i="2" s="1"/>
  <c r="F2561" i="2" s="1"/>
  <c r="F2562" i="2" s="1"/>
  <c r="F2563" i="2" s="1"/>
  <c r="F2564" i="2" s="1"/>
  <c r="F2565" i="2" s="1"/>
  <c r="F2566" i="2" s="1"/>
  <c r="F2570" i="2" s="1"/>
  <c r="G45" i="2"/>
  <c r="E46" i="2"/>
  <c r="F2571" i="2" l="1"/>
  <c r="F2573" i="2" s="1"/>
  <c r="F2575" i="2" s="1"/>
  <c r="F2579" i="2" s="1"/>
  <c r="G46" i="2"/>
  <c r="E47" i="2"/>
  <c r="F2580" i="2" l="1"/>
  <c r="F2581" i="2" s="1"/>
  <c r="F2582" i="2" s="1"/>
  <c r="F2583" i="2" s="1"/>
  <c r="F2584" i="2" s="1"/>
  <c r="F2585" i="2" s="1"/>
  <c r="F2586" i="2" s="1"/>
  <c r="F2590" i="2" s="1"/>
  <c r="F2592" i="2" s="1"/>
  <c r="F2594" i="2" s="1"/>
  <c r="F2595" i="2" s="1"/>
  <c r="F2596" i="2" s="1"/>
  <c r="F2597" i="2" s="1"/>
  <c r="F2598" i="2" s="1"/>
  <c r="F2599" i="2" s="1"/>
  <c r="F2600" i="2" s="1"/>
  <c r="F2602" i="2" s="1"/>
  <c r="F2603" i="2" s="1"/>
  <c r="F2604" i="2" s="1"/>
  <c r="F2605" i="2" s="1"/>
  <c r="F2609" i="2" s="1"/>
  <c r="G47" i="2"/>
  <c r="E48" i="2"/>
  <c r="F2610" i="2" l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5" i="2" s="1"/>
  <c r="G48" i="2"/>
  <c r="E49" i="2"/>
  <c r="F2626" i="2" l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4" i="2" s="1"/>
  <c r="F2655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9" i="2" s="1"/>
  <c r="F2670" i="2" s="1"/>
  <c r="F2671" i="2" s="1"/>
  <c r="F2672" i="2" s="1"/>
  <c r="F2674" i="2" s="1"/>
  <c r="F2675" i="2" s="1"/>
  <c r="F2676" i="2" s="1"/>
  <c r="F2679" i="2" s="1"/>
  <c r="F2680" i="2" s="1"/>
  <c r="F2684" i="2" s="1"/>
  <c r="F2685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6" i="2" s="1"/>
  <c r="F2767" i="2" s="1"/>
  <c r="G49" i="2"/>
  <c r="E50" i="2"/>
  <c r="F2768" i="2" l="1"/>
  <c r="F2769" i="2" s="1"/>
  <c r="F2770" i="2" s="1"/>
  <c r="F2818" i="2" s="1"/>
  <c r="G50" i="2"/>
  <c r="E51" i="2"/>
  <c r="F2819" i="2" l="1"/>
  <c r="F2820" i="2" s="1"/>
  <c r="F2821" i="2" s="1"/>
  <c r="F2822" i="2" s="1"/>
  <c r="F2823" i="2" s="1"/>
  <c r="F2824" i="2" s="1"/>
  <c r="F2825" i="2" s="1"/>
  <c r="F2826" i="2" s="1"/>
  <c r="F2827" i="2" s="1"/>
  <c r="F2831" i="2" s="1"/>
  <c r="E2819" i="2"/>
  <c r="E2820" i="2" s="1"/>
  <c r="E2821" i="2" s="1"/>
  <c r="E2822" i="2" s="1"/>
  <c r="E2823" i="2" s="1"/>
  <c r="E2824" i="2" s="1"/>
  <c r="E2825" i="2" s="1"/>
  <c r="E2826" i="2" s="1"/>
  <c r="E2827" i="2" s="1"/>
  <c r="F2832" i="2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7" i="2" s="1"/>
  <c r="F2848" i="2" s="1"/>
  <c r="F2850" i="2" s="1"/>
  <c r="F2854" i="2" s="1"/>
  <c r="G51" i="2"/>
  <c r="E52" i="2"/>
  <c r="F2856" i="2" l="1"/>
  <c r="F2857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5" i="2" s="1"/>
  <c r="F2876" i="2" s="1"/>
  <c r="F2877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F2889" i="2" s="1"/>
  <c r="F2890" i="2" s="1"/>
  <c r="F2892" i="2" s="1"/>
  <c r="F2893" i="2" s="1"/>
  <c r="F2894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9" i="2" s="1"/>
  <c r="F2910" i="2" s="1"/>
  <c r="F2911" i="2" s="1"/>
  <c r="F2912" i="2" s="1"/>
  <c r="F2913" i="2" s="1"/>
  <c r="F2914" i="2" s="1"/>
  <c r="F2916" i="2" s="1"/>
  <c r="F2917" i="2" s="1"/>
  <c r="F2919" i="2" s="1"/>
  <c r="F2920" i="2" s="1"/>
  <c r="F2921" i="2" s="1"/>
  <c r="F2922" i="2" s="1"/>
  <c r="F2923" i="2" s="1"/>
  <c r="F2925" i="2" s="1"/>
  <c r="F2926" i="2" s="1"/>
  <c r="F2927" i="2" s="1"/>
  <c r="F2929" i="2" s="1"/>
  <c r="F2933" i="2" s="1"/>
  <c r="E53" i="2"/>
  <c r="G52" i="2"/>
  <c r="F2934" i="2" l="1"/>
  <c r="F2935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6" i="2" s="1"/>
  <c r="F2987" i="2" s="1"/>
  <c r="F2991" i="2" s="1"/>
  <c r="G53" i="2"/>
  <c r="E54" i="2"/>
  <c r="F2992" i="2" l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9" i="2" s="1"/>
  <c r="F3090" i="2" s="1"/>
  <c r="F3094" i="2" s="1"/>
  <c r="F3095" i="2" s="1"/>
  <c r="F3096" i="2" s="1"/>
  <c r="G54" i="2"/>
  <c r="E55" i="2"/>
  <c r="F3097" i="2" l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30" i="2" s="1"/>
  <c r="G55" i="2"/>
  <c r="E56" i="2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9" i="2" s="1"/>
  <c r="E70" i="2" s="1"/>
  <c r="E72" i="2" s="1"/>
  <c r="E73" i="2" s="1"/>
  <c r="E75" i="2" s="1"/>
  <c r="F3131" i="2" l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G56" i="2"/>
  <c r="F3222" i="2" l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G58" i="2"/>
  <c r="F3241" i="2" l="1"/>
  <c r="F3242" i="2" s="1"/>
  <c r="F3244" i="2" s="1"/>
  <c r="F3245" i="2" s="1"/>
  <c r="F3246" i="2" s="1"/>
  <c r="F3247" i="2" s="1"/>
  <c r="F3248" i="2" s="1"/>
  <c r="F3249" i="2" s="1"/>
  <c r="F3250" i="2" s="1"/>
  <c r="F3251" i="2" s="1"/>
  <c r="G59" i="2"/>
  <c r="F3252" i="2" l="1"/>
  <c r="F3253" i="2" s="1"/>
  <c r="F3254" i="2" s="1"/>
  <c r="F3255" i="2" s="1"/>
  <c r="F3256" i="2" s="1"/>
  <c r="F3257" i="2" s="1"/>
  <c r="F3258" i="2" s="1"/>
  <c r="F3259" i="2" s="1"/>
  <c r="F3260" i="2" s="1"/>
  <c r="F3264" i="2" s="1"/>
  <c r="G60" i="2"/>
  <c r="F3265" i="2" l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10" i="2" s="1"/>
  <c r="G61" i="2"/>
  <c r="F3311" i="2" l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9" i="2" s="1"/>
  <c r="F3330" i="2" s="1"/>
  <c r="F3331" i="2" s="1"/>
  <c r="F3332" i="2" s="1"/>
  <c r="G62" i="2"/>
  <c r="F3333" i="2" l="1"/>
  <c r="F3335" i="2" s="1"/>
  <c r="F3336" i="2" s="1"/>
  <c r="F3337" i="2" s="1"/>
  <c r="F3338" i="2" s="1"/>
  <c r="F3339" i="2" s="1"/>
  <c r="F3340" i="2" s="1"/>
  <c r="F3341" i="2" s="1"/>
  <c r="F3342" i="2" s="1"/>
  <c r="F3345" i="2" s="1"/>
  <c r="F3349" i="2" s="1"/>
  <c r="F3350" i="2" s="1"/>
  <c r="F3352" i="2" s="1"/>
  <c r="F3353" i="2" s="1"/>
  <c r="F3354" i="2" s="1"/>
  <c r="F3355" i="2" s="1"/>
  <c r="F3357" i="2" s="1"/>
  <c r="F3358" i="2" s="1"/>
  <c r="F3359" i="2" s="1"/>
  <c r="F3360" i="2" s="1"/>
  <c r="F3362" i="2" s="1"/>
  <c r="F3363" i="2" s="1"/>
  <c r="F3364" i="2" s="1"/>
  <c r="F3365" i="2" s="1"/>
  <c r="F3366" i="2" s="1"/>
  <c r="F3367" i="2" s="1"/>
  <c r="F3368" i="2" s="1"/>
  <c r="F3370" i="2" s="1"/>
  <c r="F3371" i="2" s="1"/>
  <c r="F3372" i="2" s="1"/>
  <c r="F3373" i="2" s="1"/>
  <c r="F3374" i="2" s="1"/>
  <c r="F3375" i="2" s="1"/>
  <c r="G63" i="2"/>
  <c r="K75" i="2" l="1"/>
  <c r="E76" i="2"/>
  <c r="E77" i="2" s="1"/>
  <c r="E78" i="2" s="1"/>
  <c r="E79" i="2" s="1"/>
  <c r="E80" i="2" s="1"/>
  <c r="E81" i="2" s="1"/>
  <c r="E82" i="2" s="1"/>
  <c r="F3380" i="2"/>
  <c r="F3381" i="2" s="1"/>
  <c r="F3382" i="2" s="1"/>
  <c r="F3383" i="2" s="1"/>
  <c r="F3386" i="2" s="1"/>
  <c r="G64" i="2"/>
  <c r="G65" i="2" l="1"/>
  <c r="G66" i="2" l="1"/>
  <c r="G70" i="2" l="1"/>
  <c r="G67" i="2"/>
  <c r="G72" i="2" l="1"/>
  <c r="G69" i="2"/>
  <c r="E84" i="2" l="1"/>
  <c r="M75" i="2"/>
  <c r="N75" i="2" s="1"/>
  <c r="K84" i="2"/>
  <c r="M84" i="2" s="1"/>
  <c r="N84" i="2" s="1"/>
  <c r="E85" i="2" l="1"/>
  <c r="G84" i="2"/>
  <c r="E86" i="2" l="1"/>
  <c r="G85" i="2"/>
  <c r="G73" i="2"/>
  <c r="E87" i="2" l="1"/>
  <c r="G86" i="2"/>
  <c r="G75" i="2"/>
  <c r="E88" i="2" l="1"/>
  <c r="G87" i="2"/>
  <c r="G76" i="2"/>
  <c r="E89" i="2" l="1"/>
  <c r="G88" i="2"/>
  <c r="G77" i="2"/>
  <c r="E90" i="2" l="1"/>
  <c r="G89" i="2"/>
  <c r="G78" i="2"/>
  <c r="E91" i="2" l="1"/>
  <c r="G90" i="2"/>
  <c r="G79" i="2"/>
  <c r="E92" i="2" l="1"/>
  <c r="G91" i="2"/>
  <c r="G80" i="2"/>
  <c r="E93" i="2" l="1"/>
  <c r="G92" i="2"/>
  <c r="G81" i="2"/>
  <c r="E94" i="2" l="1"/>
  <c r="G93" i="2"/>
  <c r="G82" i="2"/>
  <c r="E95" i="2" l="1"/>
  <c r="G94" i="2"/>
  <c r="E96" i="2" l="1"/>
  <c r="G95" i="2"/>
  <c r="E97" i="2" l="1"/>
  <c r="G96" i="2"/>
  <c r="E98" i="2" l="1"/>
  <c r="E100" i="2" s="1"/>
  <c r="G97" i="2"/>
  <c r="K100" i="2" l="1"/>
  <c r="E101" i="2"/>
  <c r="G98" i="2"/>
  <c r="G100" i="2" l="1"/>
  <c r="E104" i="2"/>
  <c r="G101" i="2" l="1"/>
  <c r="G104" i="2" l="1"/>
  <c r="E105" i="2"/>
  <c r="E106" i="2" l="1"/>
  <c r="G105" i="2"/>
  <c r="E107" i="2" l="1"/>
  <c r="G106" i="2"/>
  <c r="G107" i="2" l="1"/>
  <c r="E110" i="2"/>
  <c r="E112" i="2" s="1"/>
  <c r="M100" i="2" l="1"/>
  <c r="N100" i="2" s="1"/>
  <c r="G110" i="2"/>
  <c r="E114" i="2" l="1"/>
  <c r="G114" i="2" s="1"/>
  <c r="G112" i="2"/>
  <c r="E115" i="2" l="1"/>
  <c r="G115" i="2" l="1"/>
  <c r="E117" i="2"/>
  <c r="E119" i="2" l="1"/>
  <c r="G117" i="2"/>
  <c r="G119" i="2" l="1"/>
  <c r="E121" i="2"/>
  <c r="G121" i="2" l="1"/>
  <c r="E122" i="2"/>
  <c r="G122" i="2" l="1"/>
  <c r="E123" i="2"/>
  <c r="E125" i="2" l="1"/>
  <c r="G125" i="2" s="1"/>
  <c r="K125" i="2"/>
  <c r="M125" i="2" s="1"/>
  <c r="N125" i="2" s="1"/>
  <c r="G123" i="2"/>
  <c r="E126" i="2" l="1"/>
  <c r="E127" i="2" l="1"/>
  <c r="G126" i="2"/>
  <c r="G127" i="2" l="1"/>
  <c r="E128" i="2"/>
  <c r="E129" i="2" l="1"/>
  <c r="G128" i="2"/>
  <c r="G129" i="2" l="1"/>
  <c r="E130" i="2"/>
  <c r="E131" i="2" l="1"/>
  <c r="G130" i="2"/>
  <c r="E132" i="2" l="1"/>
  <c r="G131" i="2"/>
  <c r="E133" i="2" l="1"/>
  <c r="G132" i="2"/>
  <c r="G133" i="2" l="1"/>
  <c r="E134" i="2"/>
  <c r="G134" i="2" l="1"/>
  <c r="E135" i="2"/>
  <c r="G135" i="2" l="1"/>
  <c r="E136" i="2"/>
  <c r="E137" i="2" l="1"/>
  <c r="G136" i="2"/>
  <c r="G137" i="2" l="1"/>
  <c r="E138" i="2"/>
  <c r="G138" i="2" l="1"/>
  <c r="E139" i="2"/>
  <c r="G139" i="2" l="1"/>
  <c r="E140" i="2"/>
  <c r="G140" i="2" l="1"/>
  <c r="E141" i="2"/>
  <c r="E142" i="2" l="1"/>
  <c r="G141" i="2"/>
  <c r="E143" i="2" l="1"/>
  <c r="G142" i="2"/>
  <c r="G143" i="2" l="1"/>
  <c r="E144" i="2"/>
  <c r="G144" i="2" l="1"/>
  <c r="E145" i="2"/>
  <c r="G145" i="2" l="1"/>
  <c r="E146" i="2"/>
  <c r="G146" i="2" l="1"/>
  <c r="E147" i="2"/>
  <c r="G147" i="2" l="1"/>
  <c r="E148" i="2"/>
  <c r="G148" i="2" l="1"/>
  <c r="E149" i="2"/>
  <c r="G149" i="2" l="1"/>
  <c r="E150" i="2"/>
  <c r="G150" i="2" l="1"/>
  <c r="E151" i="2"/>
  <c r="E152" i="2" l="1"/>
  <c r="G151" i="2"/>
  <c r="G152" i="2" l="1"/>
  <c r="E153" i="2"/>
  <c r="G153" i="2" l="1"/>
  <c r="E154" i="2"/>
  <c r="G154" i="2" l="1"/>
  <c r="E155" i="2"/>
  <c r="E156" i="2" l="1"/>
  <c r="G155" i="2"/>
  <c r="G156" i="2" l="1"/>
  <c r="E157" i="2"/>
  <c r="G157" i="2" l="1"/>
  <c r="E158" i="2"/>
  <c r="G158" i="2" l="1"/>
  <c r="E159" i="2"/>
  <c r="G159" i="2" l="1"/>
  <c r="E160" i="2"/>
  <c r="G160" i="2" l="1"/>
  <c r="E161" i="2"/>
  <c r="G161" i="2" l="1"/>
  <c r="E162" i="2"/>
  <c r="G162" i="2" l="1"/>
  <c r="E163" i="2"/>
  <c r="G163" i="2" l="1"/>
  <c r="E164" i="2"/>
  <c r="G164" i="2" l="1"/>
  <c r="E165" i="2"/>
  <c r="G165" i="2" l="1"/>
  <c r="E166" i="2"/>
  <c r="E167" i="2" l="1"/>
  <c r="G166" i="2"/>
  <c r="G167" i="2" l="1"/>
  <c r="E168" i="2"/>
  <c r="G168" i="2" l="1"/>
  <c r="E169" i="2"/>
  <c r="G169" i="2" l="1"/>
  <c r="E171" i="2"/>
  <c r="E172" i="2" s="1"/>
  <c r="G171" i="2" l="1"/>
  <c r="K174" i="2" l="1"/>
  <c r="M174" i="2" s="1"/>
  <c r="N174" i="2" s="1"/>
  <c r="E174" i="2"/>
  <c r="G172" i="2"/>
  <c r="E175" i="2" l="1"/>
  <c r="G174" i="2"/>
  <c r="G175" i="2" l="1"/>
  <c r="E176" i="2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l="1"/>
  <c r="K204" i="2" s="1"/>
  <c r="G176" i="2"/>
  <c r="M204" i="2" l="1"/>
  <c r="N204" i="2" s="1"/>
  <c r="E204" i="2"/>
  <c r="G177" i="2"/>
  <c r="E205" i="2" l="1"/>
  <c r="G204" i="2"/>
  <c r="G178" i="2"/>
  <c r="G205" i="2" l="1"/>
  <c r="E206" i="2"/>
  <c r="E207" i="2" s="1"/>
  <c r="E208" i="2" s="1"/>
  <c r="E209" i="2" s="1"/>
  <c r="E210" i="2" s="1"/>
  <c r="G179" i="2"/>
  <c r="G210" i="2" l="1"/>
  <c r="E211" i="2"/>
  <c r="E213" i="2" s="1"/>
  <c r="G180" i="2"/>
  <c r="K213" i="2" l="1"/>
  <c r="G211" i="2"/>
  <c r="G181" i="2"/>
  <c r="M213" i="2" l="1"/>
  <c r="N213" i="2" s="1"/>
  <c r="E214" i="2"/>
  <c r="G213" i="2"/>
  <c r="G182" i="2"/>
  <c r="E216" i="2" l="1"/>
  <c r="G216" i="2" s="1"/>
  <c r="G214" i="2"/>
  <c r="G183" i="2"/>
  <c r="E217" i="2" l="1"/>
  <c r="G184" i="2"/>
  <c r="G217" i="2" l="1"/>
  <c r="E218" i="2"/>
  <c r="G185" i="2"/>
  <c r="E220" i="2" l="1"/>
  <c r="G218" i="2"/>
  <c r="G186" i="2"/>
  <c r="E221" i="2" l="1"/>
  <c r="G220" i="2"/>
  <c r="G187" i="2"/>
  <c r="G221" i="2" l="1"/>
  <c r="E222" i="2"/>
  <c r="G188" i="2"/>
  <c r="G222" i="2" l="1"/>
  <c r="E223" i="2"/>
  <c r="G189" i="2"/>
  <c r="E224" i="2" l="1"/>
  <c r="G223" i="2"/>
  <c r="G190" i="2"/>
  <c r="G224" i="2" l="1"/>
  <c r="E225" i="2"/>
  <c r="G191" i="2"/>
  <c r="G225" i="2" l="1"/>
  <c r="E228" i="2"/>
  <c r="G192" i="2"/>
  <c r="G228" i="2" l="1"/>
  <c r="E229" i="2"/>
  <c r="G193" i="2"/>
  <c r="G229" i="2" l="1"/>
  <c r="E230" i="2"/>
  <c r="G194" i="2"/>
  <c r="E232" i="2" l="1"/>
  <c r="E233" i="2" s="1"/>
  <c r="G230" i="2"/>
  <c r="G195" i="2"/>
  <c r="K235" i="2" l="1"/>
  <c r="E235" i="2"/>
  <c r="M235" i="2"/>
  <c r="N235" i="2" s="1"/>
  <c r="G232" i="2"/>
  <c r="G196" i="2"/>
  <c r="G233" i="2" l="1"/>
  <c r="G235" i="2"/>
  <c r="G197" i="2"/>
  <c r="E236" i="2" l="1"/>
  <c r="G198" i="2"/>
  <c r="G236" i="2" l="1"/>
  <c r="E237" i="2"/>
  <c r="G199" i="2"/>
  <c r="G237" i="2" l="1"/>
  <c r="E238" i="2"/>
  <c r="G200" i="2"/>
  <c r="G238" i="2" l="1"/>
  <c r="E239" i="2"/>
  <c r="G201" i="2"/>
  <c r="G239" i="2" l="1"/>
  <c r="E240" i="2"/>
  <c r="G202" i="2"/>
  <c r="E241" i="2" l="1"/>
  <c r="G240" i="2"/>
  <c r="G241" i="2" l="1"/>
  <c r="E242" i="2"/>
  <c r="G242" i="2" l="1"/>
  <c r="E243" i="2"/>
  <c r="G206" i="2"/>
  <c r="G243" i="2" l="1"/>
  <c r="E244" i="2"/>
  <c r="G207" i="2"/>
  <c r="G244" i="2" l="1"/>
  <c r="E245" i="2"/>
  <c r="G209" i="2"/>
  <c r="G208" i="2"/>
  <c r="G245" i="2" l="1"/>
  <c r="E246" i="2"/>
  <c r="G246" i="2" l="1"/>
  <c r="E247" i="2"/>
  <c r="E248" i="2" l="1"/>
  <c r="G247" i="2"/>
  <c r="E249" i="2" l="1"/>
  <c r="G248" i="2"/>
  <c r="K251" i="2" l="1"/>
  <c r="M251" i="2" s="1"/>
  <c r="N251" i="2" s="1"/>
  <c r="E251" i="2"/>
  <c r="G249" i="2"/>
  <c r="E252" i="2" l="1"/>
  <c r="G252" i="2" s="1"/>
  <c r="G251" i="2"/>
  <c r="E253" i="2" l="1"/>
  <c r="E254" i="2" l="1"/>
  <c r="G253" i="2"/>
  <c r="G254" i="2" l="1"/>
  <c r="E255" i="2"/>
  <c r="G255" i="2" l="1"/>
  <c r="E256" i="2"/>
  <c r="G256" i="2" l="1"/>
  <c r="E257" i="2"/>
  <c r="G257" i="2" l="1"/>
  <c r="E258" i="2"/>
  <c r="G258" i="2" l="1"/>
  <c r="E259" i="2"/>
  <c r="G259" i="2" l="1"/>
  <c r="E260" i="2"/>
  <c r="G260" i="2" l="1"/>
  <c r="E261" i="2"/>
  <c r="G261" i="2" l="1"/>
  <c r="E262" i="2"/>
  <c r="G262" i="2" l="1"/>
  <c r="E263" i="2"/>
  <c r="G263" i="2" l="1"/>
  <c r="E264" i="2"/>
  <c r="G264" i="2" l="1"/>
  <c r="E265" i="2"/>
  <c r="G265" i="2" l="1"/>
  <c r="E266" i="2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G266" i="2" l="1"/>
  <c r="G268" i="2" l="1"/>
  <c r="G267" i="2"/>
  <c r="G269" i="2" l="1"/>
  <c r="G270" i="2" l="1"/>
  <c r="G271" i="2" l="1"/>
  <c r="G272" i="2" l="1"/>
  <c r="G273" i="2" l="1"/>
  <c r="G274" i="2" l="1"/>
  <c r="G275" i="2" l="1"/>
  <c r="G276" i="2" l="1"/>
  <c r="K279" i="2" l="1"/>
  <c r="M279" i="2" s="1"/>
  <c r="N279" i="2" s="1"/>
  <c r="E279" i="2"/>
  <c r="G277" i="2"/>
  <c r="E280" i="2" l="1"/>
  <c r="G280" i="2" s="1"/>
  <c r="G279" i="2"/>
  <c r="E281" i="2" l="1"/>
  <c r="G281" i="2" l="1"/>
  <c r="E283" i="2"/>
  <c r="E284" i="2" l="1"/>
  <c r="G283" i="2"/>
  <c r="E285" i="2" l="1"/>
  <c r="G284" i="2"/>
  <c r="G285" i="2" l="1"/>
  <c r="E286" i="2"/>
  <c r="G286" i="2" l="1"/>
  <c r="E287" i="2"/>
  <c r="E288" i="2" l="1"/>
  <c r="G287" i="2"/>
  <c r="G288" i="2" l="1"/>
  <c r="E289" i="2"/>
  <c r="E290" i="2" l="1"/>
  <c r="G289" i="2"/>
  <c r="G290" i="2" l="1"/>
  <c r="E291" i="2"/>
  <c r="E292" i="2" l="1"/>
  <c r="G291" i="2"/>
  <c r="E293" i="2" l="1"/>
  <c r="G292" i="2"/>
  <c r="E294" i="2" l="1"/>
  <c r="G293" i="2"/>
  <c r="E295" i="2" l="1"/>
  <c r="G294" i="2"/>
  <c r="E296" i="2" l="1"/>
  <c r="G295" i="2"/>
  <c r="G296" i="2" l="1"/>
  <c r="E297" i="2"/>
  <c r="G297" i="2" l="1"/>
  <c r="E298" i="2"/>
  <c r="G298" i="2" l="1"/>
  <c r="E299" i="2"/>
  <c r="G299" i="2" l="1"/>
  <c r="E300" i="2"/>
  <c r="E301" i="2" l="1"/>
  <c r="G300" i="2"/>
  <c r="G301" i="2" l="1"/>
  <c r="E302" i="2"/>
  <c r="G302" i="2" l="1"/>
  <c r="E303" i="2"/>
  <c r="E304" i="2" l="1"/>
  <c r="G303" i="2"/>
  <c r="E305" i="2" l="1"/>
  <c r="G304" i="2"/>
  <c r="E306" i="2" l="1"/>
  <c r="G305" i="2"/>
  <c r="G306" i="2" l="1"/>
  <c r="E307" i="2"/>
  <c r="E308" i="2" l="1"/>
  <c r="E310" i="2" s="1"/>
  <c r="G307" i="2"/>
  <c r="K310" i="2" l="1"/>
  <c r="M310" i="2" s="1"/>
  <c r="N310" i="2" s="1"/>
  <c r="G308" i="2"/>
  <c r="G310" i="2" l="1"/>
  <c r="E311" i="2"/>
  <c r="G311" i="2" s="1"/>
  <c r="E312" i="2" l="1"/>
  <c r="G312" i="2" l="1"/>
  <c r="E313" i="2"/>
  <c r="E314" i="2" l="1"/>
  <c r="G313" i="2"/>
  <c r="G314" i="2" l="1"/>
  <c r="E315" i="2"/>
  <c r="E316" i="2" l="1"/>
  <c r="G315" i="2"/>
  <c r="G316" i="2" l="1"/>
  <c r="E317" i="2"/>
  <c r="E318" i="2" l="1"/>
  <c r="G317" i="2"/>
  <c r="G318" i="2" l="1"/>
  <c r="E319" i="2"/>
  <c r="E320" i="2" l="1"/>
  <c r="G319" i="2"/>
  <c r="E321" i="2" l="1"/>
  <c r="G320" i="2"/>
  <c r="G321" i="2" l="1"/>
  <c r="E322" i="2"/>
  <c r="G322" i="2" l="1"/>
  <c r="E323" i="2"/>
  <c r="E324" i="2" l="1"/>
  <c r="G323" i="2"/>
  <c r="E325" i="2" l="1"/>
  <c r="G324" i="2"/>
  <c r="G325" i="2" l="1"/>
  <c r="E326" i="2"/>
  <c r="G326" i="2" l="1"/>
  <c r="E327" i="2"/>
  <c r="G327" i="2" l="1"/>
  <c r="E328" i="2"/>
  <c r="G328" i="2" l="1"/>
  <c r="E329" i="2"/>
  <c r="G329" i="2" l="1"/>
  <c r="E330" i="2"/>
  <c r="E331" i="2" l="1"/>
  <c r="G330" i="2"/>
  <c r="G331" i="2" l="1"/>
  <c r="E332" i="2"/>
  <c r="G332" i="2" l="1"/>
  <c r="E333" i="2"/>
  <c r="G333" i="2" l="1"/>
  <c r="E335" i="2"/>
  <c r="G335" i="2" l="1"/>
  <c r="E336" i="2"/>
  <c r="G336" i="2" l="1"/>
  <c r="E337" i="2"/>
  <c r="G337" i="2" l="1"/>
  <c r="E338" i="2"/>
  <c r="E339" i="2" l="1"/>
  <c r="G338" i="2"/>
  <c r="E340" i="2" l="1"/>
  <c r="G339" i="2"/>
  <c r="G340" i="2" l="1"/>
  <c r="E341" i="2"/>
  <c r="G341" i="2" l="1"/>
  <c r="E342" i="2"/>
  <c r="E343" i="2" l="1"/>
  <c r="G342" i="2"/>
  <c r="G343" i="2" l="1"/>
  <c r="E344" i="2"/>
  <c r="G344" i="2" l="1"/>
  <c r="E345" i="2"/>
  <c r="E346" i="2" l="1"/>
  <c r="G345" i="2"/>
  <c r="G346" i="2" l="1"/>
  <c r="E347" i="2"/>
  <c r="G347" i="2" l="1"/>
  <c r="E348" i="2"/>
  <c r="G348" i="2" l="1"/>
  <c r="E349" i="2"/>
  <c r="G349" i="2" l="1"/>
  <c r="E350" i="2"/>
  <c r="E352" i="2" s="1"/>
  <c r="K352" i="2" l="1"/>
  <c r="M352" i="2" s="1"/>
  <c r="N352" i="2" s="1"/>
  <c r="G350" i="2"/>
  <c r="G352" i="2" l="1"/>
  <c r="E353" i="2"/>
  <c r="G353" i="2" s="1"/>
  <c r="E354" i="2" l="1"/>
  <c r="E355" i="2" l="1"/>
  <c r="G354" i="2"/>
  <c r="G355" i="2" l="1"/>
  <c r="E356" i="2"/>
  <c r="G356" i="2" l="1"/>
  <c r="E357" i="2"/>
  <c r="E358" i="2" l="1"/>
  <c r="G357" i="2"/>
  <c r="G358" i="2" l="1"/>
  <c r="E359" i="2"/>
  <c r="G359" i="2" l="1"/>
  <c r="E360" i="2"/>
  <c r="E361" i="2" l="1"/>
  <c r="G360" i="2"/>
  <c r="G361" i="2" l="1"/>
  <c r="E362" i="2"/>
  <c r="K364" i="2" l="1"/>
  <c r="M364" i="2" s="1"/>
  <c r="N364" i="2" s="1"/>
  <c r="E364" i="2"/>
  <c r="G362" i="2"/>
  <c r="G364" i="2" l="1"/>
  <c r="E366" i="2"/>
  <c r="G366" i="2" l="1"/>
  <c r="E367" i="2"/>
  <c r="E368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7" i="2" s="1"/>
  <c r="E388" i="2" s="1"/>
  <c r="E389" i="2" s="1"/>
  <c r="E392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G367" i="2" l="1"/>
  <c r="G368" i="2"/>
  <c r="G370" i="2" l="1"/>
  <c r="G371" i="2" l="1"/>
  <c r="G372" i="2" l="1"/>
  <c r="G373" i="2" l="1"/>
  <c r="G374" i="2" l="1"/>
  <c r="G375" i="2" l="1"/>
  <c r="G376" i="2" l="1"/>
  <c r="G377" i="2" l="1"/>
  <c r="G378" i="2" l="1"/>
  <c r="G379" i="2" l="1"/>
  <c r="G380" i="2" l="1"/>
  <c r="G381" i="2" l="1"/>
  <c r="G382" i="2" l="1"/>
  <c r="G383" i="2" l="1"/>
  <c r="G384" i="2" l="1"/>
  <c r="G385" i="2" l="1"/>
  <c r="G387" i="2" l="1"/>
  <c r="G388" i="2" l="1"/>
  <c r="G389" i="2" l="1"/>
  <c r="K394" i="2" l="1"/>
  <c r="M394" i="2" s="1"/>
  <c r="N394" i="2" s="1"/>
  <c r="G392" i="2"/>
  <c r="K406" i="2" l="1"/>
  <c r="M406" i="2" s="1"/>
  <c r="N406" i="2" s="1"/>
  <c r="E406" i="2"/>
  <c r="G394" i="2"/>
  <c r="G406" i="2" l="1"/>
  <c r="E407" i="2"/>
  <c r="G395" i="2"/>
  <c r="G407" i="2" l="1"/>
  <c r="E408" i="2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G396" i="2"/>
  <c r="E426" i="2" l="1"/>
  <c r="E427" i="2" s="1"/>
  <c r="K426" i="2"/>
  <c r="G421" i="2"/>
  <c r="G397" i="2"/>
  <c r="G422" i="2" l="1"/>
  <c r="G398" i="2"/>
  <c r="M426" i="2" l="1"/>
  <c r="N426" i="2" s="1"/>
  <c r="G423" i="2"/>
  <c r="G399" i="2"/>
  <c r="G426" i="2" l="1"/>
  <c r="G424" i="2"/>
  <c r="G400" i="2"/>
  <c r="G401" i="2" l="1"/>
  <c r="G427" i="2" l="1"/>
  <c r="E428" i="2"/>
  <c r="E429" i="2" s="1"/>
  <c r="E430" i="2" s="1"/>
  <c r="G402" i="2"/>
  <c r="G428" i="2" l="1"/>
  <c r="G403" i="2"/>
  <c r="G429" i="2" l="1"/>
  <c r="G430" i="2"/>
  <c r="G404" i="2"/>
  <c r="E431" i="2" l="1"/>
  <c r="G431" i="2" l="1"/>
  <c r="E432" i="2"/>
  <c r="G432" i="2" l="1"/>
  <c r="E433" i="2"/>
  <c r="G408" i="2"/>
  <c r="G433" i="2" l="1"/>
  <c r="E434" i="2"/>
  <c r="G409" i="2"/>
  <c r="E435" i="2" l="1"/>
  <c r="E437" i="2" s="1"/>
  <c r="G434" i="2"/>
  <c r="G410" i="2"/>
  <c r="K437" i="2" l="1"/>
  <c r="M437" i="2" s="1"/>
  <c r="N437" i="2" s="1"/>
  <c r="G435" i="2"/>
  <c r="G411" i="2"/>
  <c r="G437" i="2" l="1"/>
  <c r="E438" i="2"/>
  <c r="G412" i="2"/>
  <c r="E439" i="2" l="1"/>
  <c r="G438" i="2"/>
  <c r="G413" i="2"/>
  <c r="G439" i="2" l="1"/>
  <c r="E440" i="2"/>
  <c r="G414" i="2"/>
  <c r="G440" i="2" l="1"/>
  <c r="E441" i="2"/>
  <c r="G415" i="2"/>
  <c r="G441" i="2" l="1"/>
  <c r="E442" i="2"/>
  <c r="G416" i="2"/>
  <c r="G442" i="2" l="1"/>
  <c r="E443" i="2"/>
  <c r="G417" i="2"/>
  <c r="G443" i="2" l="1"/>
  <c r="E444" i="2"/>
  <c r="G418" i="2"/>
  <c r="E445" i="2" l="1"/>
  <c r="G444" i="2"/>
  <c r="G419" i="2"/>
  <c r="G420" i="2"/>
  <c r="E447" i="2" l="1"/>
  <c r="G445" i="2"/>
  <c r="E448" i="2" l="1"/>
  <c r="G447" i="2"/>
  <c r="G448" i="2" l="1"/>
  <c r="E449" i="2"/>
  <c r="G449" i="2" l="1"/>
  <c r="E450" i="2"/>
  <c r="G450" i="2" l="1"/>
  <c r="E451" i="2"/>
  <c r="G451" i="2" l="1"/>
  <c r="E452" i="2"/>
  <c r="E453" i="2" l="1"/>
  <c r="G452" i="2"/>
  <c r="E454" i="2" l="1"/>
  <c r="G453" i="2"/>
  <c r="G454" i="2" l="1"/>
  <c r="E455" i="2"/>
  <c r="G455" i="2" l="1"/>
  <c r="E456" i="2"/>
  <c r="G456" i="2" l="1"/>
  <c r="E457" i="2"/>
  <c r="E458" i="2" l="1"/>
  <c r="G457" i="2"/>
  <c r="G458" i="2" l="1"/>
  <c r="E459" i="2"/>
  <c r="G459" i="2" l="1"/>
  <c r="E460" i="2"/>
  <c r="E461" i="2" l="1"/>
  <c r="G460" i="2"/>
  <c r="G461" i="2" l="1"/>
  <c r="E462" i="2"/>
  <c r="G462" i="2" l="1"/>
  <c r="E463" i="2"/>
  <c r="G463" i="2" l="1"/>
  <c r="E464" i="2"/>
  <c r="E465" i="2" l="1"/>
  <c r="G464" i="2"/>
  <c r="E466" i="2" l="1"/>
  <c r="G465" i="2"/>
  <c r="E467" i="2" l="1"/>
  <c r="G466" i="2"/>
  <c r="G467" i="2" l="1"/>
  <c r="E468" i="2"/>
  <c r="E469" i="2" l="1"/>
  <c r="G468" i="2"/>
  <c r="G469" i="2" l="1"/>
  <c r="E470" i="2"/>
  <c r="G470" i="2" l="1"/>
  <c r="E471" i="2"/>
  <c r="G471" i="2" l="1"/>
  <c r="E472" i="2"/>
  <c r="G472" i="2" l="1"/>
  <c r="E473" i="2"/>
  <c r="G473" i="2" l="1"/>
  <c r="E474" i="2"/>
  <c r="E475" i="2" l="1"/>
  <c r="G474" i="2"/>
  <c r="G475" i="2" l="1"/>
  <c r="E476" i="2"/>
  <c r="K478" i="2" l="1"/>
  <c r="M478" i="2" s="1"/>
  <c r="N478" i="2" s="1"/>
  <c r="E478" i="2"/>
  <c r="G476" i="2"/>
  <c r="G478" i="2" l="1"/>
  <c r="E479" i="2"/>
  <c r="G479" i="2" s="1"/>
  <c r="E480" i="2" l="1"/>
  <c r="G480" i="2" l="1"/>
  <c r="E481" i="2"/>
  <c r="G481" i="2" l="1"/>
  <c r="E482" i="2"/>
  <c r="G482" i="2" l="1"/>
  <c r="E483" i="2"/>
  <c r="G483" i="2" l="1"/>
  <c r="E484" i="2"/>
  <c r="G484" i="2" l="1"/>
  <c r="E485" i="2"/>
  <c r="G485" i="2" l="1"/>
  <c r="E486" i="2"/>
  <c r="G486" i="2" l="1"/>
  <c r="E487" i="2"/>
  <c r="K489" i="2" l="1"/>
  <c r="M489" i="2" s="1"/>
  <c r="N489" i="2" s="1"/>
  <c r="E489" i="2"/>
  <c r="G487" i="2"/>
  <c r="E490" i="2" l="1"/>
  <c r="G490" i="2" s="1"/>
  <c r="G489" i="2"/>
  <c r="E491" i="2" l="1"/>
  <c r="G491" i="2" l="1"/>
  <c r="E492" i="2"/>
  <c r="G492" i="2" l="1"/>
  <c r="E493" i="2"/>
  <c r="G493" i="2" l="1"/>
  <c r="E494" i="2"/>
  <c r="G494" i="2" l="1"/>
  <c r="E495" i="2"/>
  <c r="E496" i="2" l="1"/>
  <c r="G495" i="2"/>
  <c r="E497" i="2" l="1"/>
  <c r="G496" i="2"/>
  <c r="G497" i="2" l="1"/>
  <c r="E498" i="2"/>
  <c r="E500" i="2" l="1"/>
  <c r="G498" i="2"/>
  <c r="E501" i="2" l="1"/>
  <c r="G500" i="2"/>
  <c r="G501" i="2" l="1"/>
  <c r="E502" i="2"/>
  <c r="G502" i="2" l="1"/>
  <c r="E503" i="2"/>
  <c r="G503" i="2" l="1"/>
  <c r="E504" i="2"/>
  <c r="E505" i="2" l="1"/>
  <c r="G504" i="2"/>
  <c r="E506" i="2" l="1"/>
  <c r="G505" i="2"/>
  <c r="G506" i="2" l="1"/>
  <c r="E507" i="2"/>
  <c r="G507" i="2" l="1"/>
  <c r="E508" i="2"/>
  <c r="G508" i="2" l="1"/>
  <c r="E509" i="2"/>
  <c r="E510" i="2" l="1"/>
  <c r="G509" i="2"/>
  <c r="G510" i="2" l="1"/>
  <c r="E511" i="2"/>
  <c r="G511" i="2" l="1"/>
  <c r="E512" i="2"/>
  <c r="E513" i="2" l="1"/>
  <c r="G512" i="2"/>
  <c r="G513" i="2" l="1"/>
  <c r="E514" i="2"/>
  <c r="E515" i="2" l="1"/>
  <c r="G514" i="2"/>
  <c r="G515" i="2" l="1"/>
  <c r="E516" i="2"/>
  <c r="G516" i="2" l="1"/>
  <c r="E517" i="2"/>
  <c r="G517" i="2" l="1"/>
  <c r="E518" i="2"/>
  <c r="G518" i="2" l="1"/>
  <c r="E519" i="2"/>
  <c r="G519" i="2" l="1"/>
  <c r="E520" i="2"/>
  <c r="E521" i="2" l="1"/>
  <c r="G520" i="2"/>
  <c r="K523" i="2" l="1"/>
  <c r="M523" i="2" s="1"/>
  <c r="N523" i="2" s="1"/>
  <c r="E523" i="2"/>
  <c r="G521" i="2"/>
  <c r="E524" i="2" l="1"/>
  <c r="G524" i="2" s="1"/>
  <c r="G523" i="2"/>
  <c r="E525" i="2" l="1"/>
  <c r="E526" i="2" l="1"/>
  <c r="G525" i="2"/>
  <c r="G526" i="2" l="1"/>
  <c r="E527" i="2"/>
  <c r="G527" i="2" l="1"/>
  <c r="E528" i="2"/>
  <c r="G528" i="2" l="1"/>
  <c r="E529" i="2"/>
  <c r="G529" i="2" l="1"/>
  <c r="E530" i="2"/>
  <c r="E531" i="2" l="1"/>
  <c r="G530" i="2"/>
  <c r="G531" i="2" l="1"/>
  <c r="E532" i="2"/>
  <c r="G532" i="2" l="1"/>
  <c r="E533" i="2"/>
  <c r="G533" i="2" l="1"/>
  <c r="E534" i="2"/>
  <c r="G534" i="2" l="1"/>
  <c r="E535" i="2"/>
  <c r="K537" i="2" l="1"/>
  <c r="M537" i="2" s="1"/>
  <c r="N537" i="2" s="1"/>
  <c r="E537" i="2"/>
  <c r="G535" i="2"/>
  <c r="E538" i="2" l="1"/>
  <c r="E539" i="2" s="1"/>
  <c r="G537" i="2"/>
  <c r="E540" i="2" l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3" i="2" s="1"/>
  <c r="E554" i="2" s="1"/>
  <c r="E555" i="2" s="1"/>
  <c r="G538" i="2"/>
  <c r="K557" i="2" l="1"/>
  <c r="M557" i="2" s="1"/>
  <c r="N557" i="2" s="1"/>
  <c r="E557" i="2"/>
  <c r="G555" i="2"/>
  <c r="G539" i="2"/>
  <c r="E558" i="2" l="1"/>
  <c r="G557" i="2"/>
  <c r="G540" i="2"/>
  <c r="E559" i="2" l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G558" i="2"/>
  <c r="G541" i="2"/>
  <c r="K574" i="2" l="1"/>
  <c r="M574" i="2" s="1"/>
  <c r="N574" i="2" s="1"/>
  <c r="E574" i="2"/>
  <c r="G559" i="2"/>
  <c r="G542" i="2"/>
  <c r="E575" i="2" l="1"/>
  <c r="G574" i="2"/>
  <c r="G560" i="2"/>
  <c r="G543" i="2"/>
  <c r="E576" i="2" l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G575" i="2"/>
  <c r="G561" i="2"/>
  <c r="G544" i="2"/>
  <c r="E588" i="2" l="1"/>
  <c r="G587" i="2"/>
  <c r="G562" i="2"/>
  <c r="G545" i="2"/>
  <c r="E589" i="2" l="1"/>
  <c r="E591" i="2" s="1"/>
  <c r="G588" i="2"/>
  <c r="G563" i="2"/>
  <c r="G546" i="2"/>
  <c r="K591" i="2" l="1"/>
  <c r="M591" i="2" s="1"/>
  <c r="N591" i="2" s="1"/>
  <c r="G589" i="2"/>
  <c r="G564" i="2"/>
  <c r="G547" i="2"/>
  <c r="E592" i="2" l="1"/>
  <c r="G591" i="2"/>
  <c r="G565" i="2"/>
  <c r="G548" i="2"/>
  <c r="E593" i="2" l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7" i="2" s="1"/>
  <c r="E608" i="2" s="1"/>
  <c r="E609" i="2" s="1"/>
  <c r="G592" i="2"/>
  <c r="G566" i="2"/>
  <c r="G549" i="2"/>
  <c r="E610" i="2" l="1"/>
  <c r="G609" i="2"/>
  <c r="G593" i="2"/>
  <c r="G567" i="2"/>
  <c r="G550" i="2"/>
  <c r="G610" i="2" l="1"/>
  <c r="E611" i="2"/>
  <c r="G594" i="2"/>
  <c r="G568" i="2"/>
  <c r="G551" i="2"/>
  <c r="G611" i="2" l="1"/>
  <c r="E612" i="2"/>
  <c r="G595" i="2"/>
  <c r="G569" i="2"/>
  <c r="G553" i="2"/>
  <c r="G554" i="2"/>
  <c r="G612" i="2" l="1"/>
  <c r="E613" i="2"/>
  <c r="G596" i="2"/>
  <c r="G570" i="2"/>
  <c r="E614" i="2" l="1"/>
  <c r="G613" i="2"/>
  <c r="G597" i="2"/>
  <c r="G571" i="2"/>
  <c r="G614" i="2" l="1"/>
  <c r="E615" i="2"/>
  <c r="G598" i="2"/>
  <c r="G572" i="2"/>
  <c r="G615" i="2" l="1"/>
  <c r="E616" i="2"/>
  <c r="G599" i="2"/>
  <c r="G616" i="2" l="1"/>
  <c r="E617" i="2"/>
  <c r="E618" i="2" s="1"/>
  <c r="G600" i="2"/>
  <c r="K620" i="2" l="1"/>
  <c r="M620" i="2" s="1"/>
  <c r="N620" i="2" s="1"/>
  <c r="E620" i="2"/>
  <c r="G617" i="2"/>
  <c r="G601" i="2"/>
  <c r="G576" i="2"/>
  <c r="E621" i="2" l="1"/>
  <c r="G620" i="2"/>
  <c r="G618" i="2"/>
  <c r="G602" i="2"/>
  <c r="G577" i="2"/>
  <c r="E622" i="2" l="1"/>
  <c r="E623" i="2" s="1"/>
  <c r="E624" i="2" s="1"/>
  <c r="E625" i="2" s="1"/>
  <c r="E626" i="2" s="1"/>
  <c r="E627" i="2" s="1"/>
  <c r="G621" i="2"/>
  <c r="G603" i="2"/>
  <c r="G578" i="2"/>
  <c r="K629" i="2" l="1"/>
  <c r="M629" i="2" s="1"/>
  <c r="N629" i="2" s="1"/>
  <c r="E629" i="2"/>
  <c r="G604" i="2"/>
  <c r="G579" i="2"/>
  <c r="E630" i="2" l="1"/>
  <c r="G629" i="2"/>
  <c r="G622" i="2"/>
  <c r="G605" i="2"/>
  <c r="G580" i="2"/>
  <c r="G630" i="2" l="1"/>
  <c r="E631" i="2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G623" i="2"/>
  <c r="G608" i="2"/>
  <c r="G607" i="2"/>
  <c r="G581" i="2"/>
  <c r="E646" i="2" l="1"/>
  <c r="G645" i="2"/>
  <c r="G624" i="2"/>
  <c r="G582" i="2"/>
  <c r="E647" i="2" l="1"/>
  <c r="G646" i="2"/>
  <c r="G625" i="2"/>
  <c r="G583" i="2"/>
  <c r="G647" i="2" l="1"/>
  <c r="E648" i="2"/>
  <c r="G626" i="2"/>
  <c r="G584" i="2"/>
  <c r="G648" i="2" l="1"/>
  <c r="E649" i="2"/>
  <c r="G627" i="2"/>
  <c r="G586" i="2"/>
  <c r="G585" i="2"/>
  <c r="G649" i="2" l="1"/>
  <c r="E650" i="2"/>
  <c r="E651" i="2" l="1"/>
  <c r="G650" i="2"/>
  <c r="E652" i="2" l="1"/>
  <c r="G651" i="2"/>
  <c r="G631" i="2"/>
  <c r="G652" i="2" l="1"/>
  <c r="E653" i="2"/>
  <c r="G632" i="2"/>
  <c r="K655" i="2" l="1"/>
  <c r="M655" i="2" s="1"/>
  <c r="N655" i="2" s="1"/>
  <c r="E655" i="2"/>
  <c r="G653" i="2"/>
  <c r="G633" i="2"/>
  <c r="E656" i="2" l="1"/>
  <c r="G656" i="2" s="1"/>
  <c r="G655" i="2"/>
  <c r="G634" i="2"/>
  <c r="E657" i="2" l="1"/>
  <c r="G635" i="2"/>
  <c r="G657" i="2" l="1"/>
  <c r="E658" i="2"/>
  <c r="G636" i="2"/>
  <c r="E659" i="2" l="1"/>
  <c r="G658" i="2"/>
  <c r="G637" i="2"/>
  <c r="G659" i="2" l="1"/>
  <c r="E661" i="2"/>
  <c r="G638" i="2"/>
  <c r="G661" i="2" l="1"/>
  <c r="E662" i="2"/>
  <c r="G639" i="2"/>
  <c r="G662" i="2" l="1"/>
  <c r="E663" i="2"/>
  <c r="G640" i="2"/>
  <c r="G663" i="2" l="1"/>
  <c r="E664" i="2"/>
  <c r="G641" i="2"/>
  <c r="G664" i="2" l="1"/>
  <c r="E665" i="2"/>
  <c r="G642" i="2"/>
  <c r="G665" i="2" l="1"/>
  <c r="E666" i="2"/>
  <c r="G643" i="2"/>
  <c r="G644" i="2"/>
  <c r="G666" i="2" l="1"/>
  <c r="E667" i="2"/>
  <c r="E669" i="2" s="1"/>
  <c r="K669" i="2" l="1"/>
  <c r="M669" i="2" s="1"/>
  <c r="N669" i="2" s="1"/>
  <c r="G667" i="2"/>
  <c r="E670" i="2" l="1"/>
  <c r="G669" i="2"/>
  <c r="G670" i="2" l="1"/>
  <c r="E671" i="2"/>
  <c r="E672" i="2" s="1"/>
  <c r="E673" i="2" s="1"/>
  <c r="E674" i="2" s="1"/>
  <c r="E675" i="2" s="1"/>
  <c r="E676" i="2" s="1"/>
  <c r="E677" i="2" s="1"/>
  <c r="E678" i="2" s="1"/>
  <c r="K680" i="2" l="1"/>
  <c r="M680" i="2" s="1"/>
  <c r="N680" i="2" s="1"/>
  <c r="E680" i="2"/>
  <c r="G671" i="2"/>
  <c r="E681" i="2" l="1"/>
  <c r="G680" i="2"/>
  <c r="G672" i="2"/>
  <c r="E682" i="2" l="1"/>
  <c r="E683" i="2" s="1"/>
  <c r="E684" i="2" s="1"/>
  <c r="E685" i="2" s="1"/>
  <c r="E686" i="2" s="1"/>
  <c r="E687" i="2" s="1"/>
  <c r="E688" i="2" s="1"/>
  <c r="E690" i="2" s="1"/>
  <c r="G681" i="2"/>
  <c r="G673" i="2"/>
  <c r="K690" i="2" l="1"/>
  <c r="M690" i="2" s="1"/>
  <c r="N690" i="2" s="1"/>
  <c r="G674" i="2"/>
  <c r="E691" i="2" l="1"/>
  <c r="G690" i="2"/>
  <c r="G675" i="2"/>
  <c r="G691" i="2" l="1"/>
  <c r="E692" i="2"/>
  <c r="G676" i="2"/>
  <c r="G692" i="2" l="1"/>
  <c r="E693" i="2"/>
  <c r="G677" i="2"/>
  <c r="G693" i="2" l="1"/>
  <c r="E694" i="2"/>
  <c r="G678" i="2"/>
  <c r="E695" i="2" l="1"/>
  <c r="G694" i="2"/>
  <c r="E696" i="2" l="1"/>
  <c r="G695" i="2"/>
  <c r="G696" i="2" l="1"/>
  <c r="E697" i="2"/>
  <c r="G682" i="2"/>
  <c r="G697" i="2" l="1"/>
  <c r="E698" i="2"/>
  <c r="G683" i="2"/>
  <c r="G698" i="2" l="1"/>
  <c r="E699" i="2"/>
  <c r="G684" i="2"/>
  <c r="G699" i="2" l="1"/>
  <c r="E700" i="2"/>
  <c r="G685" i="2"/>
  <c r="G700" i="2" l="1"/>
  <c r="E701" i="2"/>
  <c r="G686" i="2"/>
  <c r="G701" i="2" l="1"/>
  <c r="E702" i="2"/>
  <c r="G687" i="2"/>
  <c r="G702" i="2" l="1"/>
  <c r="E703" i="2"/>
  <c r="G688" i="2"/>
  <c r="G703" i="2" l="1"/>
  <c r="E704" i="2"/>
  <c r="G704" i="2" l="1"/>
  <c r="E705" i="2"/>
  <c r="G705" i="2" l="1"/>
  <c r="E706" i="2"/>
  <c r="G706" i="2" l="1"/>
  <c r="E707" i="2"/>
  <c r="G707" i="2" l="1"/>
  <c r="E708" i="2"/>
  <c r="G708" i="2" l="1"/>
  <c r="E709" i="2"/>
  <c r="G709" i="2" l="1"/>
  <c r="E710" i="2"/>
  <c r="G710" i="2" l="1"/>
  <c r="E711" i="2"/>
  <c r="K713" i="2" l="1"/>
  <c r="M713" i="2" s="1"/>
  <c r="N713" i="2" s="1"/>
  <c r="E713" i="2"/>
  <c r="G711" i="2"/>
  <c r="E714" i="2" l="1"/>
  <c r="G714" i="2" s="1"/>
  <c r="G713" i="2"/>
  <c r="E716" i="2" l="1"/>
  <c r="G716" i="2" l="1"/>
  <c r="E717" i="2"/>
  <c r="G717" i="2" l="1"/>
  <c r="E718" i="2"/>
  <c r="E719" i="2" l="1"/>
  <c r="G718" i="2"/>
  <c r="G719" i="2" l="1"/>
  <c r="E720" i="2"/>
  <c r="E722" i="2" s="1"/>
  <c r="K722" i="2" l="1"/>
  <c r="M722" i="2" s="1"/>
  <c r="N722" i="2" s="1"/>
  <c r="G720" i="2"/>
  <c r="E723" i="2" l="1"/>
  <c r="G723" i="2" s="1"/>
  <c r="G722" i="2"/>
  <c r="E724" i="2" l="1"/>
  <c r="G724" i="2" l="1"/>
  <c r="E725" i="2"/>
  <c r="G725" i="2" l="1"/>
  <c r="E726" i="2"/>
  <c r="G726" i="2" l="1"/>
  <c r="E727" i="2"/>
  <c r="G727" i="2" l="1"/>
  <c r="E728" i="2"/>
  <c r="E729" i="2" l="1"/>
  <c r="G728" i="2"/>
  <c r="E730" i="2" l="1"/>
  <c r="G729" i="2"/>
  <c r="E731" i="2" l="1"/>
  <c r="G730" i="2"/>
  <c r="G731" i="2" l="1"/>
  <c r="E732" i="2"/>
  <c r="E733" i="2" l="1"/>
  <c r="G732" i="2"/>
  <c r="G733" i="2" l="1"/>
  <c r="E734" i="2"/>
  <c r="G734" i="2" l="1"/>
  <c r="E735" i="2"/>
  <c r="G735" i="2" l="1"/>
  <c r="E736" i="2"/>
  <c r="E737" i="2" l="1"/>
  <c r="G736" i="2"/>
  <c r="E738" i="2" l="1"/>
  <c r="G737" i="2"/>
  <c r="E739" i="2" l="1"/>
  <c r="G738" i="2"/>
  <c r="G739" i="2" l="1"/>
  <c r="E740" i="2"/>
  <c r="G740" i="2" l="1"/>
  <c r="E741" i="2"/>
  <c r="E742" i="2" l="1"/>
  <c r="G741" i="2"/>
  <c r="G742" i="2" l="1"/>
  <c r="E743" i="2"/>
  <c r="G743" i="2" l="1"/>
  <c r="E744" i="2"/>
  <c r="E745" i="2" l="1"/>
  <c r="G744" i="2"/>
  <c r="G745" i="2" l="1"/>
  <c r="E746" i="2"/>
  <c r="E747" i="2" l="1"/>
  <c r="G746" i="2"/>
  <c r="E748" i="2" l="1"/>
  <c r="G747" i="2"/>
  <c r="E749" i="2" l="1"/>
  <c r="G748" i="2"/>
  <c r="G749" i="2" l="1"/>
  <c r="E750" i="2"/>
  <c r="G750" i="2" l="1"/>
  <c r="E751" i="2"/>
  <c r="G751" i="2" l="1"/>
  <c r="E752" i="2"/>
  <c r="G752" i="2" l="1"/>
  <c r="E753" i="2"/>
  <c r="G753" i="2" l="1"/>
  <c r="E754" i="2"/>
  <c r="G754" i="2" l="1"/>
  <c r="E755" i="2"/>
  <c r="E756" i="2" l="1"/>
  <c r="E757" i="2" s="1"/>
  <c r="E758" i="2" s="1"/>
  <c r="E759" i="2" s="1"/>
  <c r="E760" i="2" s="1"/>
  <c r="E761" i="2" s="1"/>
  <c r="E762" i="2" s="1"/>
  <c r="K764" i="2" s="1"/>
  <c r="G755" i="2"/>
  <c r="E764" i="2" l="1"/>
  <c r="G756" i="2"/>
  <c r="G757" i="2" l="1"/>
  <c r="G758" i="2" l="1"/>
  <c r="G759" i="2" l="1"/>
  <c r="M764" i="2" l="1"/>
  <c r="N764" i="2" s="1"/>
  <c r="G760" i="2"/>
  <c r="G762" i="2" l="1"/>
  <c r="G761" i="2"/>
  <c r="G764" i="2" l="1"/>
  <c r="E765" i="2"/>
  <c r="E766" i="2" s="1"/>
  <c r="E767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K797" i="2" l="1"/>
  <c r="E797" i="2"/>
  <c r="G765" i="2"/>
  <c r="G766" i="2" l="1"/>
  <c r="G767" i="2" l="1"/>
  <c r="G769" i="2" l="1"/>
  <c r="G771" i="2" l="1"/>
  <c r="G770" i="2"/>
  <c r="G772" i="2" l="1"/>
  <c r="G773" i="2" l="1"/>
  <c r="G774" i="2" l="1"/>
  <c r="G775" i="2" l="1"/>
  <c r="G776" i="2" l="1"/>
  <c r="G777" i="2" l="1"/>
  <c r="G778" i="2" l="1"/>
  <c r="G779" i="2" l="1"/>
  <c r="G780" i="2" l="1"/>
  <c r="G781" i="2" l="1"/>
  <c r="G782" i="2" l="1"/>
  <c r="G783" i="2" l="1"/>
  <c r="G784" i="2" l="1"/>
  <c r="G785" i="2" l="1"/>
  <c r="G786" i="2" l="1"/>
  <c r="G787" i="2" l="1"/>
  <c r="G788" i="2" l="1"/>
  <c r="G789" i="2" l="1"/>
  <c r="G790" i="2" l="1"/>
  <c r="G792" i="2" l="1"/>
  <c r="G791" i="2"/>
  <c r="G793" i="2" l="1"/>
  <c r="G794" i="2" l="1"/>
  <c r="G795" i="2" l="1"/>
  <c r="G797" i="2" l="1"/>
  <c r="E798" i="2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M797" i="2" l="1"/>
  <c r="N797" i="2" s="1"/>
  <c r="G798" i="2"/>
  <c r="G800" i="2" l="1"/>
  <c r="G799" i="2"/>
  <c r="G801" i="2" l="1"/>
  <c r="G802" i="2" l="1"/>
  <c r="G803" i="2" l="1"/>
  <c r="G804" i="2" l="1"/>
  <c r="G805" i="2" l="1"/>
  <c r="G806" i="2" l="1"/>
  <c r="G807" i="2" l="1"/>
  <c r="G808" i="2" l="1"/>
  <c r="G809" i="2" l="1"/>
  <c r="G810" i="2" l="1"/>
  <c r="G811" i="2" l="1"/>
  <c r="G812" i="2" l="1"/>
  <c r="G813" i="2" l="1"/>
  <c r="G814" i="2" l="1"/>
  <c r="G815" i="2" l="1"/>
  <c r="G816" i="2" l="1"/>
  <c r="G817" i="2" l="1"/>
  <c r="G818" i="2" l="1"/>
  <c r="G819" i="2" l="1"/>
  <c r="E821" i="2"/>
  <c r="E822" i="2" l="1"/>
  <c r="G821" i="2"/>
  <c r="G822" i="2" l="1"/>
  <c r="E823" i="2"/>
  <c r="G823" i="2" l="1"/>
  <c r="E824" i="2"/>
  <c r="G824" i="2" l="1"/>
  <c r="E825" i="2"/>
  <c r="G825" i="2" l="1"/>
  <c r="E826" i="2"/>
  <c r="G826" i="2" l="1"/>
  <c r="E827" i="2"/>
  <c r="E828" i="2" l="1"/>
  <c r="G827" i="2"/>
  <c r="G828" i="2" l="1"/>
  <c r="E829" i="2"/>
  <c r="G829" i="2" l="1"/>
  <c r="E830" i="2"/>
  <c r="E831" i="2" l="1"/>
  <c r="G830" i="2"/>
  <c r="G831" i="2" l="1"/>
  <c r="E832" i="2"/>
  <c r="G832" i="2" l="1"/>
  <c r="E833" i="2"/>
  <c r="E834" i="2" l="1"/>
  <c r="G833" i="2"/>
  <c r="G834" i="2" l="1"/>
  <c r="E835" i="2"/>
  <c r="G835" i="2" l="1"/>
  <c r="E836" i="2"/>
  <c r="E838" i="2" l="1"/>
  <c r="K838" i="2"/>
  <c r="M838" i="2" s="1"/>
  <c r="N838" i="2" s="1"/>
  <c r="G836" i="2"/>
  <c r="G838" i="2" l="1"/>
  <c r="E839" i="2"/>
  <c r="G839" i="2" s="1"/>
  <c r="E840" i="2" l="1"/>
  <c r="G840" i="2" l="1"/>
  <c r="E841" i="2"/>
  <c r="G841" i="2" l="1"/>
  <c r="E842" i="2"/>
  <c r="E843" i="2" l="1"/>
  <c r="G842" i="2"/>
  <c r="G843" i="2" l="1"/>
  <c r="E844" i="2"/>
  <c r="E845" i="2" l="1"/>
  <c r="G844" i="2"/>
  <c r="E846" i="2" l="1"/>
  <c r="G845" i="2"/>
  <c r="G846" i="2" l="1"/>
  <c r="E847" i="2"/>
  <c r="G847" i="2" l="1"/>
  <c r="E848" i="2"/>
  <c r="G848" i="2" l="1"/>
  <c r="E849" i="2"/>
  <c r="G849" i="2" l="1"/>
  <c r="E850" i="2"/>
  <c r="E851" i="2" s="1"/>
  <c r="E852" i="2" s="1"/>
  <c r="E853" i="2" s="1"/>
  <c r="E855" i="2" s="1"/>
  <c r="E857" i="2" s="1"/>
  <c r="E858" i="2" s="1"/>
  <c r="E859" i="2" s="1"/>
  <c r="E861" i="2" s="1"/>
  <c r="E862" i="2" s="1"/>
  <c r="E863" i="2" s="1"/>
  <c r="E864" i="2" s="1"/>
  <c r="E865" i="2" s="1"/>
  <c r="E867" i="2" s="1"/>
  <c r="E868" i="2" s="1"/>
  <c r="E869" i="2" s="1"/>
  <c r="E870" i="2" s="1"/>
  <c r="E871" i="2" s="1"/>
  <c r="E872" i="2" s="1"/>
  <c r="E873" i="2" s="1"/>
  <c r="E875" i="2" l="1"/>
  <c r="E876" i="2" s="1"/>
  <c r="E877" i="2" s="1"/>
  <c r="E879" i="2" s="1"/>
  <c r="K855" i="2"/>
  <c r="G850" i="2"/>
  <c r="G852" i="2" l="1"/>
  <c r="G851" i="2"/>
  <c r="E880" i="2" l="1"/>
  <c r="E881" i="2" s="1"/>
  <c r="E883" i="2" s="1"/>
  <c r="G853" i="2"/>
  <c r="G855" i="2" l="1"/>
  <c r="G857" i="2" l="1"/>
  <c r="M855" i="2" l="1"/>
  <c r="N855" i="2" s="1"/>
  <c r="G858" i="2"/>
  <c r="G859" i="2" l="1"/>
  <c r="G861" i="2" l="1"/>
  <c r="G862" i="2" l="1"/>
  <c r="G865" i="2" l="1"/>
  <c r="G863" i="2"/>
  <c r="G867" i="2" l="1"/>
  <c r="G864" i="2"/>
  <c r="G868" i="2" l="1"/>
  <c r="G880" i="2" l="1"/>
  <c r="E884" i="2" l="1"/>
  <c r="E885" i="2" s="1"/>
  <c r="G881" i="2"/>
  <c r="G869" i="2"/>
  <c r="E886" i="2" l="1"/>
  <c r="E887" i="2" s="1"/>
  <c r="E888" i="2" s="1"/>
  <c r="E889" i="2" s="1"/>
  <c r="E890" i="2" s="1"/>
  <c r="E891" i="2" s="1"/>
  <c r="G891" i="2" s="1"/>
  <c r="M875" i="2"/>
  <c r="N875" i="2" s="1"/>
  <c r="G870" i="2"/>
  <c r="E892" i="2" l="1"/>
  <c r="E894" i="2" s="1"/>
  <c r="E895" i="2" s="1"/>
  <c r="E896" i="2" s="1"/>
  <c r="E897" i="2" s="1"/>
  <c r="G871" i="2"/>
  <c r="E899" i="2" l="1"/>
  <c r="G897" i="2"/>
  <c r="G872" i="2"/>
  <c r="E900" i="2" l="1"/>
  <c r="G899" i="2"/>
  <c r="G873" i="2"/>
  <c r="E901" i="2" l="1"/>
  <c r="G900" i="2"/>
  <c r="G875" i="2"/>
  <c r="E903" i="2" l="1"/>
  <c r="G901" i="2"/>
  <c r="G876" i="2"/>
  <c r="E904" i="2" l="1"/>
  <c r="E905" i="2" s="1"/>
  <c r="E908" i="2" s="1"/>
  <c r="G903" i="2"/>
  <c r="G877" i="2"/>
  <c r="K910" i="2" l="1"/>
  <c r="E910" i="2"/>
  <c r="M910" i="2"/>
  <c r="N910" i="2" s="1"/>
  <c r="G904" i="2"/>
  <c r="G879" i="2"/>
  <c r="G905" i="2" l="1"/>
  <c r="G908" i="2" l="1"/>
  <c r="G910" i="2" l="1"/>
  <c r="E911" i="2"/>
  <c r="E912" i="2" s="1"/>
  <c r="E913" i="2" s="1"/>
  <c r="E914" i="2" s="1"/>
  <c r="E915" i="2" s="1"/>
  <c r="E916" i="2" s="1"/>
  <c r="E917" i="2" s="1"/>
  <c r="E918" i="2" s="1"/>
  <c r="E920" i="2" s="1"/>
  <c r="G883" i="2"/>
  <c r="G911" i="2" l="1"/>
  <c r="G884" i="2"/>
  <c r="G912" i="2" l="1"/>
  <c r="G885" i="2"/>
  <c r="G913" i="2" l="1"/>
  <c r="G886" i="2"/>
  <c r="G914" i="2" l="1"/>
  <c r="G887" i="2"/>
  <c r="G915" i="2" l="1"/>
  <c r="G888" i="2"/>
  <c r="G916" i="2" l="1"/>
  <c r="G889" i="2"/>
  <c r="G917" i="2" l="1"/>
  <c r="G890" i="2"/>
  <c r="G918" i="2" l="1"/>
  <c r="G920" i="2" l="1"/>
  <c r="E921" i="2"/>
  <c r="G892" i="2"/>
  <c r="G921" i="2" l="1"/>
  <c r="E922" i="2"/>
  <c r="G894" i="2"/>
  <c r="E923" i="2" l="1"/>
  <c r="G922" i="2"/>
  <c r="G895" i="2"/>
  <c r="G896" i="2"/>
  <c r="E924" i="2" l="1"/>
  <c r="G923" i="2"/>
  <c r="G924" i="2" l="1"/>
  <c r="E925" i="2"/>
  <c r="G925" i="2" l="1"/>
  <c r="E927" i="2"/>
  <c r="E929" i="2" s="1"/>
  <c r="K929" i="2" l="1"/>
  <c r="M929" i="2" s="1"/>
  <c r="N929" i="2" s="1"/>
  <c r="G927" i="2"/>
  <c r="E930" i="2" l="1"/>
  <c r="G929" i="2"/>
  <c r="E931" i="2" l="1"/>
  <c r="G930" i="2"/>
  <c r="E932" i="2" l="1"/>
  <c r="G931" i="2"/>
  <c r="E933" i="2" l="1"/>
  <c r="G932" i="2"/>
  <c r="E934" i="2" l="1"/>
  <c r="G933" i="2"/>
  <c r="E935" i="2" l="1"/>
  <c r="G934" i="2"/>
  <c r="E936" i="2" l="1"/>
  <c r="G935" i="2"/>
  <c r="E937" i="2" l="1"/>
  <c r="G936" i="2"/>
  <c r="E939" i="2" l="1"/>
  <c r="G937" i="2"/>
  <c r="E940" i="2" l="1"/>
  <c r="G939" i="2"/>
  <c r="E941" i="2" l="1"/>
  <c r="G940" i="2"/>
  <c r="E942" i="2" l="1"/>
  <c r="G941" i="2"/>
  <c r="E943" i="2" l="1"/>
  <c r="G942" i="2"/>
  <c r="E944" i="2" l="1"/>
  <c r="G943" i="2"/>
  <c r="E945" i="2" l="1"/>
  <c r="G944" i="2"/>
  <c r="E946" i="2" l="1"/>
  <c r="G945" i="2"/>
  <c r="K948" i="2" l="1"/>
  <c r="M948" i="2" s="1"/>
  <c r="N948" i="2" s="1"/>
  <c r="E948" i="2"/>
  <c r="G946" i="2"/>
  <c r="E949" i="2" l="1"/>
  <c r="G948" i="2"/>
  <c r="G949" i="2" l="1"/>
  <c r="E950" i="2"/>
  <c r="E951" i="2" l="1"/>
  <c r="G950" i="2"/>
  <c r="E952" i="2" l="1"/>
  <c r="G951" i="2"/>
  <c r="E953" i="2" l="1"/>
  <c r="G952" i="2"/>
  <c r="E954" i="2" l="1"/>
  <c r="G953" i="2"/>
  <c r="E955" i="2" l="1"/>
  <c r="G954" i="2"/>
  <c r="E956" i="2" l="1"/>
  <c r="G955" i="2"/>
  <c r="K958" i="2" l="1"/>
  <c r="M958" i="2" s="1"/>
  <c r="N958" i="2" s="1"/>
  <c r="E958" i="2"/>
  <c r="G956" i="2"/>
  <c r="E959" i="2" l="1"/>
  <c r="G958" i="2"/>
  <c r="E960" i="2" l="1"/>
  <c r="G959" i="2"/>
  <c r="E961" i="2" l="1"/>
  <c r="G960" i="2"/>
  <c r="E962" i="2" l="1"/>
  <c r="G961" i="2"/>
  <c r="E963" i="2" l="1"/>
  <c r="E965" i="2" s="1"/>
  <c r="G962" i="2"/>
  <c r="K965" i="2" l="1"/>
  <c r="M965" i="2" s="1"/>
  <c r="N965" i="2" s="1"/>
  <c r="G963" i="2"/>
  <c r="E966" i="2" l="1"/>
  <c r="G965" i="2"/>
  <c r="E967" i="2" l="1"/>
  <c r="G966" i="2"/>
  <c r="E968" i="2" l="1"/>
  <c r="G967" i="2"/>
  <c r="E969" i="2" l="1"/>
  <c r="G968" i="2"/>
  <c r="E970" i="2" l="1"/>
  <c r="G969" i="2"/>
  <c r="E971" i="2" l="1"/>
  <c r="G970" i="2"/>
  <c r="E972" i="2" l="1"/>
  <c r="G971" i="2"/>
  <c r="E973" i="2" l="1"/>
  <c r="G972" i="2"/>
  <c r="E974" i="2" l="1"/>
  <c r="G973" i="2"/>
  <c r="E975" i="2" l="1"/>
  <c r="G974" i="2"/>
  <c r="E976" i="2" l="1"/>
  <c r="G975" i="2"/>
  <c r="E977" i="2" l="1"/>
  <c r="G976" i="2"/>
  <c r="E978" i="2" l="1"/>
  <c r="G977" i="2"/>
  <c r="E979" i="2" l="1"/>
  <c r="G978" i="2"/>
  <c r="E980" i="2" l="1"/>
  <c r="G979" i="2"/>
  <c r="E981" i="2" l="1"/>
  <c r="G980" i="2"/>
  <c r="E982" i="2" l="1"/>
  <c r="G981" i="2"/>
  <c r="E983" i="2" l="1"/>
  <c r="G982" i="2"/>
  <c r="E984" i="2" l="1"/>
  <c r="G983" i="2"/>
  <c r="E985" i="2" l="1"/>
  <c r="G984" i="2"/>
  <c r="E986" i="2" l="1"/>
  <c r="G985" i="2"/>
  <c r="E987" i="2" l="1"/>
  <c r="G986" i="2"/>
  <c r="E988" i="2" l="1"/>
  <c r="G987" i="2"/>
  <c r="E989" i="2" l="1"/>
  <c r="G988" i="2"/>
  <c r="E990" i="2" l="1"/>
  <c r="G989" i="2"/>
  <c r="E991" i="2" l="1"/>
  <c r="G990" i="2"/>
  <c r="E992" i="2" l="1"/>
  <c r="G991" i="2"/>
  <c r="E994" i="2" l="1"/>
  <c r="G992" i="2"/>
  <c r="E995" i="2" l="1"/>
  <c r="G994" i="2"/>
  <c r="E996" i="2" l="1"/>
  <c r="G995" i="2"/>
  <c r="E997" i="2" l="1"/>
  <c r="G996" i="2"/>
  <c r="E998" i="2" l="1"/>
  <c r="G997" i="2"/>
  <c r="E999" i="2" l="1"/>
  <c r="G998" i="2"/>
  <c r="E1000" i="2" l="1"/>
  <c r="G999" i="2"/>
  <c r="E1001" i="2" l="1"/>
  <c r="G1000" i="2"/>
  <c r="E1002" i="2" l="1"/>
  <c r="G1001" i="2"/>
  <c r="E1003" i="2" l="1"/>
  <c r="G1002" i="2"/>
  <c r="E1004" i="2" l="1"/>
  <c r="G1003" i="2"/>
  <c r="E1005" i="2" l="1"/>
  <c r="G1004" i="2"/>
  <c r="E1006" i="2" l="1"/>
  <c r="G1005" i="2"/>
  <c r="E1007" i="2" l="1"/>
  <c r="G1006" i="2"/>
  <c r="E1008" i="2" l="1"/>
  <c r="G1007" i="2"/>
  <c r="E1009" i="2" l="1"/>
  <c r="G1008" i="2"/>
  <c r="E1010" i="2" l="1"/>
  <c r="G1009" i="2"/>
  <c r="E1011" i="2" l="1"/>
  <c r="G1010" i="2"/>
  <c r="E1012" i="2" l="1"/>
  <c r="G1011" i="2"/>
  <c r="E1013" i="2" l="1"/>
  <c r="G1012" i="2"/>
  <c r="E1014" i="2" l="1"/>
  <c r="G1013" i="2"/>
  <c r="E1015" i="2" l="1"/>
  <c r="G1014" i="2"/>
  <c r="E1016" i="2" l="1"/>
  <c r="G1015" i="2"/>
  <c r="E1017" i="2" l="1"/>
  <c r="G1016" i="2"/>
  <c r="E1018" i="2" l="1"/>
  <c r="G1017" i="2"/>
  <c r="E1019" i="2" l="1"/>
  <c r="G1018" i="2"/>
  <c r="E1020" i="2" l="1"/>
  <c r="G1019" i="2"/>
  <c r="E1021" i="2" l="1"/>
  <c r="G1020" i="2"/>
  <c r="E1022" i="2" l="1"/>
  <c r="G1021" i="2"/>
  <c r="E1023" i="2" l="1"/>
  <c r="G1022" i="2"/>
  <c r="E1024" i="2" l="1"/>
  <c r="G1023" i="2"/>
  <c r="E1025" i="2" l="1"/>
  <c r="G1024" i="2"/>
  <c r="E1026" i="2" l="1"/>
  <c r="G1025" i="2"/>
  <c r="E1027" i="2" l="1"/>
  <c r="E1029" i="2" s="1"/>
  <c r="G1026" i="2"/>
  <c r="E1031" i="2" l="1"/>
  <c r="E1032" i="2" s="1"/>
  <c r="E1033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K1029" i="2"/>
  <c r="G1027" i="2"/>
  <c r="G1029" i="2" l="1"/>
  <c r="G1031" i="2" l="1"/>
  <c r="G1032" i="2" l="1"/>
  <c r="G1033" i="2" l="1"/>
  <c r="G1035" i="2" l="1"/>
  <c r="G1036" i="2" l="1"/>
  <c r="G1037" i="2" l="1"/>
  <c r="G1038" i="2" l="1"/>
  <c r="M1029" i="2" l="1"/>
  <c r="N1029" i="2" s="1"/>
  <c r="G1039" i="2"/>
  <c r="G1040" i="2" l="1"/>
  <c r="G1041" i="2" l="1"/>
  <c r="G1042" i="2" l="1"/>
  <c r="G1043" i="2" l="1"/>
  <c r="G1044" i="2" l="1"/>
  <c r="G1045" i="2" l="1"/>
  <c r="E1048" i="2" l="1"/>
  <c r="G1046" i="2"/>
  <c r="E1049" i="2" l="1"/>
  <c r="G1048" i="2"/>
  <c r="E1050" i="2" l="1"/>
  <c r="G1049" i="2"/>
  <c r="E1051" i="2" l="1"/>
  <c r="G1050" i="2"/>
  <c r="E1052" i="2" l="1"/>
  <c r="G1051" i="2"/>
  <c r="E1053" i="2" l="1"/>
  <c r="G1052" i="2"/>
  <c r="E1054" i="2" l="1"/>
  <c r="G1053" i="2"/>
  <c r="E1055" i="2" l="1"/>
  <c r="G1054" i="2"/>
  <c r="E1056" i="2" l="1"/>
  <c r="G1055" i="2"/>
  <c r="E1057" i="2" l="1"/>
  <c r="G1056" i="2"/>
  <c r="E1058" i="2" l="1"/>
  <c r="G1057" i="2"/>
  <c r="E1059" i="2" l="1"/>
  <c r="E1060" i="2" s="1"/>
  <c r="E1062" i="2" s="1"/>
  <c r="E1063" i="2" s="1"/>
  <c r="E1064" i="2" s="1"/>
  <c r="E1066" i="2" s="1"/>
  <c r="E1067" i="2" s="1"/>
  <c r="E1068" i="2" s="1"/>
  <c r="E1069" i="2" s="1"/>
  <c r="E1070" i="2" s="1"/>
  <c r="E1071" i="2" s="1"/>
  <c r="E1072" i="2" s="1"/>
  <c r="G1058" i="2"/>
  <c r="G1059" i="2" l="1"/>
  <c r="G1060" i="2" l="1"/>
  <c r="G1062" i="2" l="1"/>
  <c r="G1063" i="2" l="1"/>
  <c r="G1064" i="2" l="1"/>
  <c r="G1066" i="2" l="1"/>
  <c r="G1067" i="2" l="1"/>
  <c r="G1068" i="2" l="1"/>
  <c r="G1069" i="2" l="1"/>
  <c r="G1070" i="2" l="1"/>
  <c r="G1071" i="2" l="1"/>
  <c r="E1074" i="2" l="1"/>
  <c r="K1074" i="2"/>
  <c r="M1074" i="2" s="1"/>
  <c r="N1074" i="2" s="1"/>
  <c r="G1072" i="2"/>
  <c r="E1075" i="2" l="1"/>
  <c r="G1074" i="2"/>
  <c r="E1076" i="2" l="1"/>
  <c r="G1075" i="2"/>
  <c r="E1077" i="2" l="1"/>
  <c r="G1076" i="2"/>
  <c r="E1078" i="2" l="1"/>
  <c r="G1077" i="2"/>
  <c r="E1079" i="2" l="1"/>
  <c r="G1078" i="2"/>
  <c r="E1080" i="2" l="1"/>
  <c r="G1079" i="2"/>
  <c r="E1081" i="2" l="1"/>
  <c r="G1080" i="2"/>
  <c r="E1082" i="2" l="1"/>
  <c r="G1081" i="2"/>
  <c r="E1083" i="2" l="1"/>
  <c r="G1082" i="2"/>
  <c r="E1084" i="2" l="1"/>
  <c r="G1083" i="2"/>
  <c r="E1085" i="2" l="1"/>
  <c r="G1084" i="2"/>
  <c r="E1086" i="2" l="1"/>
  <c r="G1085" i="2"/>
  <c r="E1087" i="2" l="1"/>
  <c r="G1086" i="2"/>
  <c r="G1087" i="2" l="1"/>
  <c r="E1088" i="2"/>
  <c r="G1088" i="2" l="1"/>
  <c r="E1089" i="2"/>
  <c r="G1089" i="2" l="1"/>
  <c r="E1090" i="2"/>
  <c r="G1090" i="2" l="1"/>
  <c r="E1091" i="2"/>
  <c r="E1092" i="2" l="1"/>
  <c r="G1091" i="2"/>
  <c r="E1093" i="2" l="1"/>
  <c r="G1092" i="2"/>
  <c r="E1094" i="2" l="1"/>
  <c r="G1093" i="2"/>
  <c r="G1094" i="2" l="1"/>
  <c r="E1095" i="2"/>
  <c r="G1095" i="2" l="1"/>
  <c r="E1096" i="2"/>
  <c r="G1096" i="2" l="1"/>
  <c r="E1097" i="2"/>
  <c r="G1097" i="2" l="1"/>
  <c r="E1098" i="2"/>
  <c r="G1098" i="2" l="1"/>
  <c r="E1099" i="2"/>
  <c r="E1100" i="2" l="1"/>
  <c r="G1099" i="2"/>
  <c r="G1100" i="2" l="1"/>
  <c r="E1102" i="2"/>
  <c r="G1102" i="2" l="1"/>
  <c r="E1103" i="2"/>
  <c r="E1104" i="2" l="1"/>
  <c r="G1103" i="2"/>
  <c r="G1104" i="2" l="1"/>
  <c r="E1105" i="2"/>
  <c r="E1107" i="2" s="1"/>
  <c r="K1107" i="2" l="1"/>
  <c r="M1107" i="2" s="1"/>
  <c r="N1107" i="2" s="1"/>
  <c r="G1105" i="2"/>
  <c r="G1107" i="2" l="1"/>
  <c r="E1108" i="2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1" i="2" s="1"/>
  <c r="E1152" i="2" s="1"/>
  <c r="E1154" i="2" s="1"/>
  <c r="E1156" i="2" s="1"/>
  <c r="E1157" i="2" s="1"/>
  <c r="E1158" i="2" s="1"/>
  <c r="E1159" i="2" s="1"/>
  <c r="E1161" i="2" s="1"/>
  <c r="E1162" i="2" s="1"/>
  <c r="K1164" i="2" l="1"/>
  <c r="M1164" i="2" s="1"/>
  <c r="N1164" i="2" s="1"/>
  <c r="E1164" i="2"/>
  <c r="K1151" i="2"/>
  <c r="G1151" i="2"/>
  <c r="G1108" i="2"/>
  <c r="E1165" i="2" l="1"/>
  <c r="G1165" i="2" s="1"/>
  <c r="G1164" i="2"/>
  <c r="G1109" i="2"/>
  <c r="G1110" i="2" l="1"/>
  <c r="G1111" i="2" l="1"/>
  <c r="G1112" i="2" l="1"/>
  <c r="G1113" i="2" l="1"/>
  <c r="G1114" i="2" l="1"/>
  <c r="G1115" i="2" l="1"/>
  <c r="G1116" i="2" l="1"/>
  <c r="G1117" i="2" l="1"/>
  <c r="G1118" i="2" l="1"/>
  <c r="G1119" i="2" l="1"/>
  <c r="G1120" i="2" l="1"/>
  <c r="G1121" i="2" l="1"/>
  <c r="G1122" i="2" l="1"/>
  <c r="G1123" i="2" l="1"/>
  <c r="G1124" i="2" l="1"/>
  <c r="G1125" i="2" l="1"/>
  <c r="G1126" i="2" l="1"/>
  <c r="G1127" i="2" l="1"/>
  <c r="G1128" i="2" l="1"/>
  <c r="G1129" i="2" l="1"/>
  <c r="G1130" i="2" l="1"/>
  <c r="G1131" i="2" l="1"/>
  <c r="G1132" i="2" l="1"/>
  <c r="G1133" i="2" l="1"/>
  <c r="G1134" i="2" l="1"/>
  <c r="G1135" i="2" l="1"/>
  <c r="G1136" i="2" l="1"/>
  <c r="G1137" i="2" l="1"/>
  <c r="G1138" i="2" l="1"/>
  <c r="G1139" i="2" l="1"/>
  <c r="G1140" i="2" l="1"/>
  <c r="E1166" i="2" l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K1179" i="2" s="1"/>
  <c r="G1141" i="2"/>
  <c r="M1179" i="2" l="1"/>
  <c r="N1179" i="2" s="1"/>
  <c r="E1179" i="2"/>
  <c r="G1142" i="2"/>
  <c r="E1180" i="2" l="1"/>
  <c r="G1179" i="2"/>
  <c r="M1151" i="2"/>
  <c r="N1151" i="2" s="1"/>
  <c r="G1143" i="2"/>
  <c r="G1180" i="2" l="1"/>
  <c r="E1181" i="2"/>
  <c r="E1182" i="2" s="1"/>
  <c r="E1183" i="2" s="1"/>
  <c r="E1184" i="2" s="1"/>
  <c r="E1185" i="2" s="1"/>
  <c r="E1186" i="2" s="1"/>
  <c r="E1187" i="2" s="1"/>
  <c r="E1188" i="2" s="1"/>
  <c r="E1189" i="2" s="1"/>
  <c r="E1191" i="2" s="1"/>
  <c r="E1192" i="2" s="1"/>
  <c r="E1193" i="2" s="1"/>
  <c r="E1194" i="2" s="1"/>
  <c r="E1195" i="2" s="1"/>
  <c r="E1197" i="2" s="1"/>
  <c r="E1198" i="2" s="1"/>
  <c r="G1144" i="2"/>
  <c r="K1200" i="2" l="1"/>
  <c r="E1200" i="2"/>
  <c r="G1145" i="2"/>
  <c r="G1146" i="2" l="1"/>
  <c r="G1147" i="2" l="1"/>
  <c r="G1148" i="2" l="1"/>
  <c r="G1149" i="2" l="1"/>
  <c r="G1152" i="2" l="1"/>
  <c r="G1154" i="2" l="1"/>
  <c r="G1156" i="2" l="1"/>
  <c r="G1157" i="2" l="1"/>
  <c r="G1158" i="2" l="1"/>
  <c r="G1159" i="2" l="1"/>
  <c r="G1161" i="2" l="1"/>
  <c r="G1162" i="2" l="1"/>
  <c r="G1166" i="2" l="1"/>
  <c r="G1167" i="2" l="1"/>
  <c r="G1168" i="2" l="1"/>
  <c r="G1169" i="2" l="1"/>
  <c r="G1170" i="2" l="1"/>
  <c r="G1171" i="2" l="1"/>
  <c r="G1172" i="2" l="1"/>
  <c r="G1173" i="2" l="1"/>
  <c r="G1174" i="2" l="1"/>
  <c r="G1175" i="2" l="1"/>
  <c r="G1176" i="2" l="1"/>
  <c r="G1177" i="2" l="1"/>
  <c r="G1181" i="2" l="1"/>
  <c r="G1182" i="2" l="1"/>
  <c r="G1183" i="2" l="1"/>
  <c r="G1184" i="2" l="1"/>
  <c r="G1185" i="2" l="1"/>
  <c r="G1186" i="2" l="1"/>
  <c r="G1187" i="2" l="1"/>
  <c r="G1188" i="2" l="1"/>
  <c r="G1189" i="2" l="1"/>
  <c r="G1191" i="2" l="1"/>
  <c r="G1192" i="2" l="1"/>
  <c r="G1193" i="2" l="1"/>
  <c r="G1194" i="2" l="1"/>
  <c r="G1195" i="2" l="1"/>
  <c r="G1197" i="2" l="1"/>
  <c r="M1200" i="2" l="1"/>
  <c r="N1200" i="2" s="1"/>
  <c r="G1198" i="2"/>
  <c r="E1201" i="2" l="1"/>
  <c r="G1200" i="2"/>
  <c r="G1201" i="2" l="1"/>
  <c r="E1202" i="2"/>
  <c r="G1202" i="2" l="1"/>
  <c r="E1203" i="2"/>
  <c r="G1203" i="2" l="1"/>
  <c r="E1204" i="2"/>
  <c r="E1205" i="2" l="1"/>
  <c r="G1204" i="2"/>
  <c r="E1206" i="2" l="1"/>
  <c r="G1205" i="2"/>
  <c r="E1207" i="2" l="1"/>
  <c r="G1206" i="2"/>
  <c r="G1207" i="2" l="1"/>
  <c r="E1208" i="2"/>
  <c r="G1208" i="2" l="1"/>
  <c r="E1209" i="2"/>
  <c r="E1210" i="2" l="1"/>
  <c r="G1209" i="2"/>
  <c r="G1210" i="2" l="1"/>
  <c r="E1211" i="2"/>
  <c r="E1213" i="2" s="1"/>
  <c r="G1211" i="2" l="1"/>
  <c r="E1214" i="2" l="1"/>
  <c r="G1213" i="2"/>
  <c r="E1215" i="2" l="1"/>
  <c r="G1214" i="2"/>
  <c r="G1215" i="2" l="1"/>
  <c r="E1216" i="2"/>
  <c r="E1217" i="2" l="1"/>
  <c r="G1216" i="2"/>
  <c r="E1218" i="2" l="1"/>
  <c r="G1217" i="2"/>
  <c r="G1218" i="2" l="1"/>
  <c r="E1219" i="2"/>
  <c r="E1220" i="2" l="1"/>
  <c r="G1219" i="2"/>
  <c r="G1220" i="2" l="1"/>
  <c r="E1221" i="2"/>
  <c r="G1221" i="2" l="1"/>
  <c r="E1222" i="2"/>
  <c r="G1222" i="2" l="1"/>
  <c r="E1223" i="2"/>
  <c r="G1223" i="2" l="1"/>
  <c r="E1224" i="2"/>
  <c r="E1225" i="2" l="1"/>
  <c r="G1224" i="2"/>
  <c r="G1225" i="2" l="1"/>
  <c r="E1226" i="2"/>
  <c r="E1227" i="2" l="1"/>
  <c r="G1226" i="2"/>
  <c r="E1228" i="2" l="1"/>
  <c r="G1227" i="2"/>
  <c r="G1228" i="2" l="1"/>
  <c r="E1229" i="2"/>
  <c r="G1229" i="2" l="1"/>
  <c r="E1230" i="2"/>
  <c r="G1230" i="2" l="1"/>
  <c r="E1231" i="2"/>
  <c r="E1232" i="2" l="1"/>
  <c r="G1231" i="2"/>
  <c r="E1234" i="2" l="1"/>
  <c r="K1234" i="2"/>
  <c r="M1234" i="2" s="1"/>
  <c r="N1234" i="2" s="1"/>
  <c r="G1232" i="2"/>
  <c r="E1235" i="2" l="1"/>
  <c r="G1234" i="2"/>
  <c r="E1236" i="2" l="1"/>
  <c r="G1235" i="2"/>
  <c r="E1237" i="2" l="1"/>
  <c r="G1236" i="2"/>
  <c r="E1238" i="2" l="1"/>
  <c r="G1237" i="2"/>
  <c r="E1239" i="2" l="1"/>
  <c r="G1238" i="2"/>
  <c r="E1240" i="2" l="1"/>
  <c r="G1239" i="2"/>
  <c r="E1241" i="2" l="1"/>
  <c r="G1240" i="2"/>
  <c r="E1242" i="2" l="1"/>
  <c r="G1241" i="2"/>
  <c r="E1243" i="2" l="1"/>
  <c r="G1242" i="2"/>
  <c r="E1244" i="2" l="1"/>
  <c r="G1243" i="2"/>
  <c r="E1245" i="2" l="1"/>
  <c r="G1244" i="2"/>
  <c r="E1248" i="2" l="1"/>
  <c r="G1245" i="2"/>
  <c r="E1249" i="2" l="1"/>
  <c r="G1248" i="2"/>
  <c r="E1250" i="2" l="1"/>
  <c r="G1249" i="2"/>
  <c r="E1251" i="2" l="1"/>
  <c r="G1250" i="2"/>
  <c r="E1252" i="2" l="1"/>
  <c r="G1251" i="2"/>
  <c r="E1253" i="2" l="1"/>
  <c r="G1252" i="2"/>
  <c r="E1254" i="2" l="1"/>
  <c r="G1253" i="2"/>
  <c r="E1255" i="2" l="1"/>
  <c r="G1254" i="2"/>
  <c r="E1256" i="2" l="1"/>
  <c r="G1255" i="2"/>
  <c r="E1257" i="2" l="1"/>
  <c r="G1256" i="2"/>
  <c r="E1258" i="2" l="1"/>
  <c r="G1257" i="2"/>
  <c r="E1259" i="2" l="1"/>
  <c r="G1258" i="2"/>
  <c r="E1260" i="2" l="1"/>
  <c r="G1259" i="2"/>
  <c r="E1263" i="2" l="1"/>
  <c r="G1260" i="2"/>
  <c r="E1264" i="2" l="1"/>
  <c r="G1263" i="2"/>
  <c r="E1265" i="2" l="1"/>
  <c r="G1264" i="2"/>
  <c r="E1266" i="2" l="1"/>
  <c r="G1265" i="2"/>
  <c r="E1267" i="2" l="1"/>
  <c r="G1266" i="2"/>
  <c r="E1269" i="2" l="1"/>
  <c r="G1267" i="2"/>
  <c r="E1270" i="2" l="1"/>
  <c r="G1269" i="2"/>
  <c r="E1271" i="2" l="1"/>
  <c r="G1270" i="2"/>
  <c r="E1272" i="2" l="1"/>
  <c r="G1271" i="2"/>
  <c r="E1273" i="2" l="1"/>
  <c r="G1272" i="2"/>
  <c r="E1274" i="2" l="1"/>
  <c r="G1273" i="2"/>
  <c r="E1275" i="2" l="1"/>
  <c r="G1274" i="2"/>
  <c r="G1275" i="2" l="1"/>
  <c r="E1276" i="2"/>
  <c r="G1276" i="2" l="1"/>
  <c r="E1277" i="2"/>
  <c r="G1277" i="2" l="1"/>
  <c r="E1278" i="2"/>
  <c r="E1279" i="2" l="1"/>
  <c r="G1278" i="2"/>
  <c r="G1279" i="2" l="1"/>
  <c r="E1280" i="2"/>
  <c r="G1280" i="2" l="1"/>
  <c r="E1281" i="2"/>
  <c r="G1281" i="2" l="1"/>
  <c r="E1282" i="2"/>
  <c r="E1283" i="2" l="1"/>
  <c r="G1282" i="2"/>
  <c r="G1283" i="2" l="1"/>
  <c r="E1284" i="2"/>
  <c r="E1285" i="2" l="1"/>
  <c r="G1284" i="2"/>
  <c r="E1286" i="2" l="1"/>
  <c r="G1285" i="2"/>
  <c r="G1286" i="2" l="1"/>
  <c r="E1287" i="2"/>
  <c r="G1287" i="2" l="1"/>
  <c r="E1288" i="2"/>
  <c r="E1290" i="2" l="1"/>
  <c r="K1290" i="2"/>
  <c r="M1290" i="2" s="1"/>
  <c r="N1290" i="2" s="1"/>
  <c r="G1288" i="2"/>
  <c r="E1291" i="2" l="1"/>
  <c r="G1290" i="2"/>
  <c r="E1292" i="2" l="1"/>
  <c r="G1291" i="2"/>
  <c r="E1293" i="2" l="1"/>
  <c r="G1292" i="2"/>
  <c r="E1294" i="2" l="1"/>
  <c r="G1293" i="2"/>
  <c r="E1295" i="2" l="1"/>
  <c r="G1294" i="2"/>
  <c r="E1296" i="2" l="1"/>
  <c r="G1295" i="2"/>
  <c r="E1297" i="2" l="1"/>
  <c r="G1296" i="2"/>
  <c r="E1298" i="2" l="1"/>
  <c r="G1297" i="2"/>
  <c r="E1299" i="2" l="1"/>
  <c r="G1298" i="2"/>
  <c r="E1300" i="2" l="1"/>
  <c r="G1299" i="2"/>
  <c r="E1302" i="2" l="1"/>
  <c r="G1300" i="2"/>
  <c r="E1303" i="2" l="1"/>
  <c r="G1302" i="2"/>
  <c r="E1304" i="2" l="1"/>
  <c r="G1303" i="2"/>
  <c r="E1306" i="2" l="1"/>
  <c r="G1304" i="2"/>
  <c r="E1307" i="2" l="1"/>
  <c r="G1306" i="2"/>
  <c r="E1308" i="2" l="1"/>
  <c r="G1307" i="2"/>
  <c r="K1310" i="2" l="1"/>
  <c r="M1310" i="2" s="1"/>
  <c r="N1310" i="2" s="1"/>
  <c r="E1310" i="2"/>
  <c r="G1308" i="2"/>
  <c r="E1311" i="2" l="1"/>
  <c r="G1310" i="2"/>
  <c r="E1312" i="2" l="1"/>
  <c r="G1311" i="2"/>
  <c r="E1313" i="2" l="1"/>
  <c r="G1312" i="2"/>
  <c r="E1314" i="2" l="1"/>
  <c r="E1315" i="2" s="1"/>
  <c r="E1316" i="2" s="1"/>
  <c r="G1313" i="2"/>
  <c r="G1314" i="2" l="1"/>
  <c r="G1315" i="2" l="1"/>
  <c r="G1316" i="2" l="1"/>
  <c r="E1318" i="2"/>
  <c r="E1319" i="2" l="1"/>
  <c r="G1318" i="2"/>
  <c r="E1320" i="2" l="1"/>
  <c r="G1319" i="2"/>
  <c r="E1322" i="2" l="1"/>
  <c r="G1320" i="2"/>
  <c r="E1323" i="2" l="1"/>
  <c r="G1322" i="2"/>
  <c r="G1323" i="2" l="1"/>
  <c r="E1324" i="2"/>
  <c r="G1324" i="2" l="1"/>
  <c r="E1326" i="2"/>
  <c r="E1327" i="2" l="1"/>
  <c r="G1326" i="2"/>
  <c r="E1328" i="2" l="1"/>
  <c r="G1327" i="2"/>
  <c r="K1330" i="2" l="1"/>
  <c r="M1330" i="2" s="1"/>
  <c r="N1330" i="2" s="1"/>
  <c r="E1330" i="2"/>
  <c r="G1328" i="2"/>
  <c r="E1331" i="2" l="1"/>
  <c r="G1330" i="2"/>
  <c r="G1331" i="2" l="1"/>
  <c r="E1332" i="2"/>
  <c r="G1332" i="2" l="1"/>
  <c r="E1333" i="2"/>
  <c r="E1334" i="2" l="1"/>
  <c r="G1333" i="2"/>
  <c r="E1335" i="2" l="1"/>
  <c r="G1334" i="2"/>
  <c r="G1335" i="2" l="1"/>
  <c r="E1336" i="2"/>
  <c r="G1336" i="2" l="1"/>
  <c r="E1337" i="2"/>
  <c r="K1339" i="2" l="1"/>
  <c r="M1339" i="2" s="1"/>
  <c r="N1339" i="2" s="1"/>
  <c r="E1339" i="2"/>
  <c r="G1337" i="2"/>
  <c r="G1339" i="2" l="1"/>
  <c r="E1340" i="2"/>
  <c r="G1340" i="2" l="1"/>
  <c r="E1341" i="2"/>
  <c r="E1342" i="2" l="1"/>
  <c r="G1341" i="2"/>
  <c r="G1342" i="2" l="1"/>
  <c r="E1343" i="2"/>
  <c r="G1343" i="2" l="1"/>
  <c r="E1344" i="2"/>
  <c r="G1344" i="2" l="1"/>
  <c r="E1345" i="2"/>
  <c r="G1345" i="2" l="1"/>
  <c r="E1346" i="2"/>
  <c r="E1347" i="2" l="1"/>
  <c r="G1346" i="2"/>
  <c r="G1347" i="2" l="1"/>
  <c r="E1348" i="2"/>
  <c r="E1349" i="2" l="1"/>
  <c r="G1348" i="2"/>
  <c r="E1350" i="2" l="1"/>
  <c r="G1349" i="2"/>
  <c r="E1352" i="2" l="1"/>
  <c r="K1352" i="2"/>
  <c r="M1352" i="2" s="1"/>
  <c r="N1352" i="2" s="1"/>
  <c r="G1350" i="2"/>
  <c r="E1353" i="2" l="1"/>
  <c r="G1352" i="2"/>
  <c r="E1356" i="2" l="1"/>
  <c r="G1353" i="2"/>
  <c r="E1357" i="2" l="1"/>
  <c r="G1356" i="2"/>
  <c r="E1358" i="2" l="1"/>
  <c r="G1357" i="2"/>
  <c r="E1359" i="2" l="1"/>
  <c r="G1358" i="2"/>
  <c r="E1360" i="2" l="1"/>
  <c r="G1359" i="2"/>
  <c r="E1361" i="2" l="1"/>
  <c r="G1360" i="2"/>
  <c r="E1362" i="2" l="1"/>
  <c r="G1361" i="2"/>
  <c r="E1363" i="2" l="1"/>
  <c r="G1362" i="2"/>
  <c r="E1364" i="2" l="1"/>
  <c r="G1363" i="2"/>
  <c r="E1365" i="2" l="1"/>
  <c r="G1364" i="2"/>
  <c r="E1366" i="2" l="1"/>
  <c r="G1365" i="2"/>
  <c r="E1369" i="2" l="1"/>
  <c r="G1366" i="2"/>
  <c r="E1370" i="2" l="1"/>
  <c r="G1369" i="2"/>
  <c r="E1371" i="2" l="1"/>
  <c r="G1370" i="2"/>
  <c r="E1372" i="2" l="1"/>
  <c r="G1371" i="2"/>
  <c r="E1373" i="2" l="1"/>
  <c r="G1372" i="2"/>
  <c r="E1375" i="2" l="1"/>
  <c r="K1375" i="2"/>
  <c r="M1375" i="2" s="1"/>
  <c r="N1375" i="2" s="1"/>
  <c r="G1373" i="2"/>
  <c r="E1376" i="2" l="1"/>
  <c r="G1375" i="2"/>
  <c r="E1377" i="2" l="1"/>
  <c r="G1376" i="2"/>
  <c r="E1378" i="2" l="1"/>
  <c r="G1377" i="2"/>
  <c r="E1379" i="2" l="1"/>
  <c r="G1378" i="2"/>
  <c r="E1380" i="2" l="1"/>
  <c r="G1379" i="2"/>
  <c r="E1381" i="2" l="1"/>
  <c r="G1380" i="2"/>
  <c r="E1382" i="2" l="1"/>
  <c r="G1381" i="2"/>
  <c r="E1384" i="2" l="1"/>
  <c r="G1382" i="2"/>
  <c r="E1386" i="2" l="1"/>
  <c r="G1384" i="2"/>
  <c r="E1387" i="2" l="1"/>
  <c r="G1386" i="2"/>
  <c r="E1389" i="2" l="1"/>
  <c r="G1387" i="2"/>
  <c r="E1390" i="2" l="1"/>
  <c r="G1389" i="2"/>
  <c r="E1391" i="2" l="1"/>
  <c r="G1390" i="2"/>
  <c r="E1392" i="2" l="1"/>
  <c r="G1391" i="2"/>
  <c r="E1394" i="2" l="1"/>
  <c r="G1392" i="2"/>
  <c r="E1395" i="2" l="1"/>
  <c r="G1394" i="2"/>
  <c r="G1395" i="2" l="1"/>
  <c r="E1396" i="2"/>
  <c r="G1396" i="2" l="1"/>
  <c r="E1398" i="2"/>
  <c r="G1398" i="2" l="1"/>
  <c r="E1399" i="2"/>
  <c r="K1401" i="2" l="1"/>
  <c r="M1401" i="2" s="1"/>
  <c r="N1401" i="2" s="1"/>
  <c r="E1401" i="2"/>
  <c r="G1399" i="2"/>
  <c r="E1402" i="2" l="1"/>
  <c r="G1401" i="2"/>
  <c r="G1402" i="2" l="1"/>
  <c r="E1403" i="2"/>
  <c r="G1403" i="2" l="1"/>
  <c r="E1404" i="2"/>
  <c r="E1405" i="2" l="1"/>
  <c r="G1404" i="2"/>
  <c r="E1406" i="2" l="1"/>
  <c r="G1405" i="2"/>
  <c r="K1408" i="2" l="1"/>
  <c r="M1408" i="2" s="1"/>
  <c r="N1408" i="2" s="1"/>
  <c r="E1408" i="2"/>
  <c r="G1406" i="2"/>
  <c r="G1408" i="2" l="1"/>
  <c r="E1409" i="2"/>
  <c r="G1409" i="2" l="1"/>
  <c r="E1410" i="2"/>
  <c r="E1411" i="2" l="1"/>
  <c r="G1410" i="2"/>
  <c r="G1411" i="2" l="1"/>
  <c r="E1412" i="2"/>
  <c r="G1412" i="2" l="1"/>
  <c r="E1413" i="2"/>
  <c r="G1413" i="2" l="1"/>
  <c r="E1414" i="2"/>
  <c r="E1415" i="2" l="1"/>
  <c r="G1414" i="2"/>
  <c r="K1417" i="2" l="1"/>
  <c r="M1417" i="2" s="1"/>
  <c r="N1417" i="2" s="1"/>
  <c r="E1417" i="2"/>
  <c r="G1415" i="2"/>
  <c r="G1417" i="2" l="1"/>
  <c r="E1418" i="2"/>
  <c r="G1418" i="2" l="1"/>
  <c r="E1419" i="2"/>
  <c r="G1419" i="2" l="1"/>
  <c r="E1420" i="2"/>
  <c r="E1421" i="2" l="1"/>
  <c r="G1420" i="2"/>
  <c r="G1421" i="2" l="1"/>
  <c r="E1422" i="2"/>
  <c r="G1422" i="2" l="1"/>
  <c r="E1423" i="2"/>
  <c r="G1423" i="2" l="1"/>
  <c r="E1424" i="2"/>
  <c r="G1424" i="2" l="1"/>
  <c r="E1425" i="2"/>
  <c r="G1425" i="2" l="1"/>
  <c r="E1426" i="2"/>
  <c r="G1426" i="2" l="1"/>
  <c r="E1427" i="2"/>
  <c r="E1428" i="2" l="1"/>
  <c r="G1427" i="2"/>
  <c r="G1428" i="2" l="1"/>
  <c r="E1429" i="2"/>
  <c r="E1430" i="2" l="1"/>
  <c r="G1429" i="2"/>
  <c r="E1431" i="2" l="1"/>
  <c r="G1430" i="2"/>
  <c r="G1431" i="2" l="1"/>
  <c r="E1432" i="2"/>
  <c r="E1433" i="2" l="1"/>
  <c r="G1432" i="2"/>
  <c r="K1435" i="2" l="1"/>
  <c r="M1435" i="2" s="1"/>
  <c r="N1435" i="2" s="1"/>
  <c r="E1435" i="2"/>
  <c r="G1433" i="2"/>
  <c r="E1436" i="2" l="1"/>
  <c r="G1435" i="2"/>
  <c r="G1436" i="2" l="1"/>
  <c r="E1437" i="2"/>
  <c r="G1437" i="2" l="1"/>
  <c r="E1438" i="2"/>
  <c r="G1438" i="2" l="1"/>
  <c r="E1439" i="2"/>
  <c r="G1439" i="2" l="1"/>
  <c r="E1440" i="2"/>
  <c r="E1441" i="2" l="1"/>
  <c r="G1440" i="2"/>
  <c r="G1441" i="2" l="1"/>
  <c r="E1442" i="2"/>
  <c r="G1442" i="2" l="1"/>
  <c r="E1444" i="2"/>
  <c r="E1445" i="2" l="1"/>
  <c r="G1444" i="2"/>
  <c r="G1445" i="2" l="1"/>
  <c r="E1446" i="2"/>
  <c r="E1447" i="2" l="1"/>
  <c r="G1446" i="2"/>
  <c r="G1447" i="2" l="1"/>
  <c r="E1448" i="2"/>
  <c r="G1448" i="2" l="1"/>
  <c r="E1449" i="2"/>
  <c r="G1449" i="2" l="1"/>
  <c r="E1450" i="2"/>
  <c r="E1451" i="2" l="1"/>
  <c r="G1450" i="2"/>
  <c r="E1452" i="2" l="1"/>
  <c r="G1451" i="2"/>
  <c r="G1452" i="2" l="1"/>
  <c r="E1453" i="2"/>
  <c r="E1454" i="2" l="1"/>
  <c r="G1453" i="2"/>
  <c r="G1454" i="2" l="1"/>
  <c r="E1455" i="2"/>
  <c r="E1456" i="2" l="1"/>
  <c r="G1455" i="2"/>
  <c r="G1456" i="2" l="1"/>
  <c r="E1457" i="2"/>
  <c r="G1457" i="2" l="1"/>
  <c r="E1458" i="2"/>
  <c r="E1459" i="2" l="1"/>
  <c r="G1458" i="2"/>
  <c r="E1460" i="2" l="1"/>
  <c r="G1459" i="2"/>
  <c r="E1461" i="2" l="1"/>
  <c r="G1460" i="2"/>
  <c r="E1462" i="2" l="1"/>
  <c r="G1461" i="2"/>
  <c r="G1462" i="2" l="1"/>
  <c r="E1463" i="2"/>
  <c r="E1464" i="2" l="1"/>
  <c r="G1463" i="2"/>
  <c r="G1464" i="2" l="1"/>
  <c r="E1465" i="2"/>
  <c r="E1466" i="2" l="1"/>
  <c r="G1465" i="2"/>
  <c r="E1467" i="2" l="1"/>
  <c r="G1466" i="2"/>
  <c r="G1467" i="2" l="1"/>
  <c r="E1468" i="2"/>
  <c r="E1469" i="2" l="1"/>
  <c r="G1468" i="2"/>
  <c r="E1471" i="2" l="1"/>
  <c r="K1471" i="2"/>
  <c r="M1471" i="2" s="1"/>
  <c r="N1471" i="2" s="1"/>
  <c r="G1469" i="2"/>
  <c r="E1472" i="2" l="1"/>
  <c r="G1471" i="2"/>
  <c r="G1472" i="2" l="1"/>
  <c r="E1473" i="2"/>
  <c r="E1474" i="2" l="1"/>
  <c r="G1473" i="2"/>
  <c r="G1474" i="2" l="1"/>
  <c r="E1475" i="2"/>
  <c r="E1476" i="2" l="1"/>
  <c r="G1475" i="2"/>
  <c r="G1476" i="2" l="1"/>
  <c r="E1477" i="2"/>
  <c r="G1477" i="2" l="1"/>
  <c r="E1478" i="2"/>
  <c r="G1478" i="2" l="1"/>
  <c r="E1479" i="2"/>
  <c r="E1480" i="2" l="1"/>
  <c r="G1479" i="2"/>
  <c r="E1481" i="2" l="1"/>
  <c r="G1480" i="2"/>
  <c r="G1481" i="2" l="1"/>
  <c r="E1482" i="2"/>
  <c r="E1483" i="2" l="1"/>
  <c r="G1482" i="2"/>
  <c r="E1484" i="2" l="1"/>
  <c r="G1483" i="2"/>
  <c r="E1485" i="2" l="1"/>
  <c r="G1484" i="2"/>
  <c r="E1486" i="2" l="1"/>
  <c r="G1485" i="2"/>
  <c r="E1487" i="2" l="1"/>
  <c r="G1486" i="2"/>
  <c r="G1487" i="2" l="1"/>
  <c r="E1488" i="2"/>
  <c r="G1488" i="2" l="1"/>
  <c r="E1489" i="2"/>
  <c r="E1490" i="2" l="1"/>
  <c r="G1489" i="2"/>
  <c r="G1490" i="2" l="1"/>
  <c r="E1491" i="2"/>
  <c r="G1491" i="2" l="1"/>
  <c r="E1492" i="2"/>
  <c r="E1493" i="2" l="1"/>
  <c r="G1492" i="2"/>
  <c r="E1494" i="2" l="1"/>
  <c r="G1493" i="2"/>
  <c r="G1494" i="2" l="1"/>
  <c r="E1496" i="2"/>
  <c r="G1496" i="2" l="1"/>
  <c r="E1497" i="2"/>
  <c r="G1497" i="2" l="1"/>
  <c r="E1498" i="2"/>
  <c r="E1499" i="2" l="1"/>
  <c r="G1498" i="2"/>
  <c r="G1499" i="2" l="1"/>
  <c r="E1500" i="2"/>
  <c r="G1500" i="2" l="1"/>
  <c r="E1501" i="2"/>
  <c r="G1501" i="2" l="1"/>
  <c r="E1502" i="2"/>
  <c r="G1502" i="2" l="1"/>
  <c r="E1503" i="2"/>
  <c r="G1503" i="2" l="1"/>
  <c r="E1504" i="2"/>
  <c r="G1504" i="2" l="1"/>
  <c r="E1505" i="2"/>
  <c r="G1505" i="2" l="1"/>
  <c r="E1506" i="2"/>
  <c r="G1506" i="2" l="1"/>
  <c r="E1507" i="2"/>
  <c r="E1508" i="2" l="1"/>
  <c r="G1507" i="2"/>
  <c r="G1508" i="2" l="1"/>
  <c r="E1509" i="2"/>
  <c r="G1509" i="2" l="1"/>
  <c r="E1510" i="2"/>
  <c r="G1510" i="2" l="1"/>
  <c r="E1512" i="2"/>
  <c r="G1512" i="2" l="1"/>
  <c r="E1513" i="2"/>
  <c r="G1513" i="2" l="1"/>
  <c r="E1515" i="2"/>
  <c r="G1515" i="2" l="1"/>
  <c r="E1516" i="2"/>
  <c r="G1516" i="2" l="1"/>
  <c r="E1517" i="2"/>
  <c r="G1517" i="2" l="1"/>
  <c r="E1518" i="2"/>
  <c r="G1518" i="2" l="1"/>
  <c r="E1519" i="2"/>
  <c r="G1519" i="2" l="1"/>
  <c r="E1521" i="2"/>
  <c r="G1521" i="2" l="1"/>
  <c r="E1522" i="2"/>
  <c r="G1522" i="2" l="1"/>
  <c r="E1523" i="2"/>
  <c r="K1525" i="2" l="1"/>
  <c r="M1525" i="2" s="1"/>
  <c r="N1525" i="2" s="1"/>
  <c r="E1525" i="2"/>
  <c r="G1523" i="2"/>
  <c r="E1526" i="2" l="1"/>
  <c r="G1525" i="2"/>
  <c r="G1526" i="2" l="1"/>
  <c r="E1527" i="2"/>
  <c r="E1530" i="2" l="1"/>
  <c r="G1527" i="2"/>
  <c r="G1530" i="2" l="1"/>
  <c r="E1531" i="2"/>
  <c r="E1532" i="2" l="1"/>
  <c r="G1531" i="2"/>
  <c r="G1532" i="2" l="1"/>
  <c r="E1533" i="2"/>
  <c r="E1534" i="2" l="1"/>
  <c r="G1533" i="2"/>
  <c r="E1535" i="2" l="1"/>
  <c r="G1534" i="2"/>
  <c r="E1536" i="2" l="1"/>
  <c r="G1535" i="2"/>
  <c r="E1537" i="2" l="1"/>
  <c r="G1536" i="2"/>
  <c r="E1538" i="2" l="1"/>
  <c r="G1537" i="2"/>
  <c r="E1539" i="2" l="1"/>
  <c r="G1538" i="2"/>
  <c r="E1540" i="2" l="1"/>
  <c r="G1539" i="2"/>
  <c r="E1541" i="2" l="1"/>
  <c r="G1540" i="2"/>
  <c r="E1542" i="2" l="1"/>
  <c r="G1541" i="2"/>
  <c r="E1543" i="2" l="1"/>
  <c r="G1542" i="2"/>
  <c r="E1544" i="2" l="1"/>
  <c r="G1543" i="2"/>
  <c r="E1546" i="2" l="1"/>
  <c r="G1544" i="2"/>
  <c r="E1548" i="2" l="1"/>
  <c r="G1546" i="2"/>
  <c r="E1549" i="2" l="1"/>
  <c r="G1548" i="2"/>
  <c r="E1550" i="2" l="1"/>
  <c r="G1549" i="2"/>
  <c r="E1551" i="2" l="1"/>
  <c r="G1550" i="2"/>
  <c r="E1552" i="2" l="1"/>
  <c r="G1551" i="2"/>
  <c r="E1553" i="2" l="1"/>
  <c r="G1552" i="2"/>
  <c r="E1555" i="2" l="1"/>
  <c r="G1553" i="2"/>
  <c r="G1555" i="2" l="1"/>
  <c r="E1556" i="2"/>
  <c r="E1557" i="2" l="1"/>
  <c r="G1556" i="2"/>
  <c r="G1557" i="2" l="1"/>
  <c r="E1558" i="2"/>
  <c r="G1558" i="2" l="1"/>
  <c r="E1559" i="2"/>
  <c r="K1561" i="2" l="1"/>
  <c r="M1561" i="2" s="1"/>
  <c r="N1561" i="2" s="1"/>
  <c r="E1561" i="2"/>
  <c r="G1559" i="2"/>
  <c r="E1562" i="2" l="1"/>
  <c r="G1561" i="2"/>
  <c r="E1563" i="2" l="1"/>
  <c r="G1562" i="2"/>
  <c r="E1564" i="2" l="1"/>
  <c r="G1563" i="2"/>
  <c r="E1565" i="2" l="1"/>
  <c r="G1564" i="2"/>
  <c r="E1566" i="2" l="1"/>
  <c r="G1565" i="2"/>
  <c r="E1568" i="2" l="1"/>
  <c r="G1566" i="2"/>
  <c r="E1569" i="2" l="1"/>
  <c r="G1568" i="2"/>
  <c r="E1570" i="2" l="1"/>
  <c r="G1569" i="2"/>
  <c r="E1571" i="2" l="1"/>
  <c r="G1570" i="2"/>
  <c r="E1572" i="2" l="1"/>
  <c r="G1571" i="2"/>
  <c r="E1573" i="2" l="1"/>
  <c r="G1572" i="2"/>
  <c r="E1574" i="2" l="1"/>
  <c r="G1573" i="2"/>
  <c r="E1575" i="2" l="1"/>
  <c r="G1574" i="2"/>
  <c r="E1577" i="2" l="1"/>
  <c r="K1577" i="2"/>
  <c r="M1577" i="2" s="1"/>
  <c r="N1577" i="2" s="1"/>
  <c r="G1575" i="2"/>
  <c r="E1578" i="2" l="1"/>
  <c r="G1577" i="2"/>
  <c r="E1580" i="2" l="1"/>
  <c r="G1578" i="2"/>
  <c r="E1581" i="2" l="1"/>
  <c r="G1580" i="2"/>
  <c r="E1582" i="2" l="1"/>
  <c r="G1581" i="2"/>
  <c r="E1583" i="2" l="1"/>
  <c r="G1582" i="2"/>
  <c r="E1584" i="2" l="1"/>
  <c r="G1583" i="2"/>
  <c r="E1586" i="2" l="1"/>
  <c r="G1584" i="2"/>
  <c r="E1587" i="2" l="1"/>
  <c r="G1586" i="2"/>
  <c r="E1589" i="2" l="1"/>
  <c r="G1587" i="2"/>
  <c r="E1590" i="2" l="1"/>
  <c r="G1589" i="2"/>
  <c r="E1591" i="2" l="1"/>
  <c r="G1590" i="2"/>
  <c r="E1592" i="2" l="1"/>
  <c r="G1591" i="2"/>
  <c r="E1593" i="2" l="1"/>
  <c r="G1592" i="2"/>
  <c r="E1594" i="2" l="1"/>
  <c r="G1593" i="2"/>
  <c r="E1595" i="2" l="1"/>
  <c r="G1594" i="2"/>
  <c r="E1597" i="2" l="1"/>
  <c r="K1597" i="2"/>
  <c r="M1597" i="2" s="1"/>
  <c r="N1597" i="2" s="1"/>
  <c r="G1595" i="2"/>
  <c r="E1598" i="2" l="1"/>
  <c r="E1599" i="2" s="1"/>
  <c r="E1600" i="2" s="1"/>
  <c r="E1601" i="2" s="1"/>
  <c r="E1602" i="2" s="1"/>
  <c r="E1603" i="2" s="1"/>
  <c r="E1604" i="2" s="1"/>
  <c r="E1605" i="2" s="1"/>
  <c r="E1607" i="2" s="1"/>
  <c r="E1608" i="2" s="1"/>
  <c r="E1609" i="2" s="1"/>
  <c r="E1610" i="2" s="1"/>
  <c r="E1611" i="2" s="1"/>
  <c r="E1612" i="2" s="1"/>
  <c r="E1615" i="2" s="1"/>
  <c r="G1597" i="2"/>
  <c r="G1598" i="2" l="1"/>
  <c r="G1599" i="2" l="1"/>
  <c r="G1600" i="2" l="1"/>
  <c r="G1601" i="2" l="1"/>
  <c r="G1602" i="2" l="1"/>
  <c r="G1603" i="2" l="1"/>
  <c r="G1604" i="2" l="1"/>
  <c r="G1605" i="2" l="1"/>
  <c r="G1607" i="2" l="1"/>
  <c r="G1608" i="2" l="1"/>
  <c r="G1609" i="2" l="1"/>
  <c r="G1610" i="2" l="1"/>
  <c r="G1611" i="2" l="1"/>
  <c r="G1612" i="2" l="1"/>
  <c r="E1616" i="2" l="1"/>
  <c r="G1615" i="2"/>
  <c r="E1617" i="2" l="1"/>
  <c r="G1616" i="2"/>
  <c r="E1618" i="2" l="1"/>
  <c r="G1617" i="2"/>
  <c r="E1619" i="2" l="1"/>
  <c r="G1618" i="2"/>
  <c r="E1620" i="2" l="1"/>
  <c r="G1619" i="2"/>
  <c r="E1621" i="2" l="1"/>
  <c r="E1623" i="2" s="1"/>
  <c r="E1624" i="2" s="1"/>
  <c r="E1625" i="2" s="1"/>
  <c r="E1626" i="2" s="1"/>
  <c r="E1627" i="2" s="1"/>
  <c r="E1629" i="2" s="1"/>
  <c r="G1620" i="2"/>
  <c r="E1631" i="2" l="1"/>
  <c r="K1631" i="2"/>
  <c r="M1631" i="2" s="1"/>
  <c r="N1631" i="2" s="1"/>
  <c r="G1621" i="2"/>
  <c r="G1623" i="2" l="1"/>
  <c r="G1624" i="2" l="1"/>
  <c r="G1625" i="2" l="1"/>
  <c r="G1626" i="2" l="1"/>
  <c r="G1627" i="2" l="1"/>
  <c r="G1629" i="2" l="1"/>
  <c r="E1632" i="2" l="1"/>
  <c r="G1631" i="2"/>
  <c r="E1633" i="2" l="1"/>
  <c r="G1632" i="2"/>
  <c r="E1634" i="2" l="1"/>
  <c r="G1633" i="2"/>
  <c r="E1635" i="2" l="1"/>
  <c r="G1634" i="2"/>
  <c r="E1636" i="2" l="1"/>
  <c r="G1635" i="2"/>
  <c r="E1637" i="2" l="1"/>
  <c r="G1636" i="2"/>
  <c r="E1638" i="2" l="1"/>
  <c r="G1637" i="2"/>
  <c r="E1639" i="2" l="1"/>
  <c r="G1638" i="2"/>
  <c r="E1640" i="2" l="1"/>
  <c r="G1639" i="2"/>
  <c r="E1641" i="2" l="1"/>
  <c r="G1640" i="2"/>
  <c r="E1642" i="2" l="1"/>
  <c r="G1641" i="2"/>
  <c r="E1643" i="2" l="1"/>
  <c r="G1642" i="2"/>
  <c r="E1644" i="2" l="1"/>
  <c r="G1643" i="2"/>
  <c r="E1645" i="2" l="1"/>
  <c r="G1644" i="2"/>
  <c r="E1646" i="2" l="1"/>
  <c r="G1645" i="2"/>
  <c r="G1646" i="2" l="1"/>
  <c r="E1647" i="2"/>
  <c r="E1648" i="2" l="1"/>
  <c r="G1647" i="2"/>
  <c r="E1649" i="2" l="1"/>
  <c r="G1648" i="2"/>
  <c r="E1650" i="2" l="1"/>
  <c r="G1649" i="2"/>
  <c r="E1651" i="2" l="1"/>
  <c r="G1650" i="2"/>
  <c r="G1651" i="2" l="1"/>
  <c r="E1652" i="2"/>
  <c r="G1652" i="2" l="1"/>
  <c r="E1653" i="2"/>
  <c r="E1654" i="2" l="1"/>
  <c r="G1653" i="2"/>
  <c r="G1654" i="2" l="1"/>
  <c r="E1655" i="2"/>
  <c r="E1656" i="2" l="1"/>
  <c r="G1655" i="2"/>
  <c r="G1656" i="2" l="1"/>
  <c r="E1657" i="2"/>
  <c r="G1657" i="2" l="1"/>
  <c r="E1658" i="2"/>
  <c r="G1658" i="2" l="1"/>
  <c r="E1659" i="2"/>
  <c r="G1659" i="2" l="1"/>
  <c r="E1660" i="2"/>
  <c r="G1660" i="2" l="1"/>
  <c r="E1661" i="2"/>
  <c r="G1661" i="2" l="1"/>
  <c r="E1662" i="2"/>
  <c r="G1662" i="2" l="1"/>
  <c r="E1663" i="2"/>
  <c r="G1663" i="2" l="1"/>
  <c r="E1664" i="2"/>
  <c r="G1664" i="2" l="1"/>
  <c r="E1665" i="2"/>
  <c r="E1666" i="2" l="1"/>
  <c r="G1665" i="2"/>
  <c r="G1666" i="2" l="1"/>
  <c r="E1667" i="2"/>
  <c r="G1667" i="2" l="1"/>
  <c r="E1669" i="2"/>
  <c r="K1671" i="2" l="1"/>
  <c r="M1671" i="2" s="1"/>
  <c r="N1671" i="2" s="1"/>
  <c r="E1671" i="2"/>
  <c r="G1669" i="2"/>
  <c r="G1671" i="2" l="1"/>
  <c r="E1672" i="2"/>
  <c r="G1672" i="2" l="1"/>
  <c r="E1673" i="2"/>
  <c r="G1673" i="2" l="1"/>
  <c r="E1674" i="2"/>
  <c r="G1674" i="2" l="1"/>
  <c r="E1675" i="2"/>
  <c r="G1675" i="2" l="1"/>
  <c r="E1676" i="2"/>
  <c r="E1677" i="2" l="1"/>
  <c r="G1676" i="2"/>
  <c r="G1677" i="2" l="1"/>
  <c r="E1678" i="2"/>
  <c r="E1679" i="2" l="1"/>
  <c r="G1678" i="2"/>
  <c r="G1679" i="2" l="1"/>
  <c r="E1680" i="2"/>
  <c r="E1681" i="2" l="1"/>
  <c r="G1680" i="2"/>
  <c r="E1682" i="2" l="1"/>
  <c r="G1681" i="2"/>
  <c r="G1682" i="2" l="1"/>
  <c r="E1683" i="2"/>
  <c r="G1683" i="2" l="1"/>
  <c r="E1684" i="2"/>
  <c r="G1684" i="2" l="1"/>
  <c r="E1685" i="2"/>
  <c r="E1686" i="2" l="1"/>
  <c r="G1685" i="2"/>
  <c r="E1687" i="2" l="1"/>
  <c r="G1686" i="2"/>
  <c r="G1687" i="2" l="1"/>
  <c r="E1688" i="2"/>
  <c r="G1688" i="2" l="1"/>
  <c r="E1689" i="2"/>
  <c r="E1690" i="2" l="1"/>
  <c r="G1689" i="2"/>
  <c r="G1690" i="2" l="1"/>
  <c r="E1691" i="2"/>
  <c r="G1691" i="2" l="1"/>
  <c r="E1692" i="2"/>
  <c r="E1693" i="2" l="1"/>
  <c r="G1692" i="2"/>
  <c r="G1693" i="2" l="1"/>
  <c r="E1694" i="2"/>
  <c r="G1694" i="2" l="1"/>
  <c r="E1695" i="2"/>
  <c r="G1695" i="2" l="1"/>
  <c r="E1696" i="2"/>
  <c r="G1696" i="2" l="1"/>
  <c r="E1697" i="2"/>
  <c r="E1698" i="2" s="1"/>
  <c r="E1700" i="2" l="1"/>
  <c r="G1697" i="2"/>
  <c r="E1701" i="2" l="1"/>
  <c r="E1702" i="2" s="1"/>
  <c r="E1703" i="2" s="1"/>
  <c r="E1704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3" i="2" s="1"/>
  <c r="G1698" i="2"/>
  <c r="G1700" i="2" l="1"/>
  <c r="G1701" i="2" l="1"/>
  <c r="G1702" i="2" l="1"/>
  <c r="G1703" i="2" l="1"/>
  <c r="G1704" i="2" l="1"/>
  <c r="G1706" i="2" l="1"/>
  <c r="G1707" i="2" l="1"/>
  <c r="G1708" i="2" l="1"/>
  <c r="G1709" i="2" l="1"/>
  <c r="G1710" i="2" l="1"/>
  <c r="G1711" i="2" l="1"/>
  <c r="G1712" i="2" l="1"/>
  <c r="G1713" i="2" l="1"/>
  <c r="G1714" i="2" l="1"/>
  <c r="G1715" i="2" l="1"/>
  <c r="G1716" i="2" l="1"/>
  <c r="G1717" i="2" l="1"/>
  <c r="G1718" i="2" l="1"/>
  <c r="G1719" i="2" l="1"/>
  <c r="G1720" i="2" l="1"/>
  <c r="E1724" i="2" l="1"/>
  <c r="E1725" i="2" s="1"/>
  <c r="E1726" i="2" s="1"/>
  <c r="E1727" i="2" s="1"/>
  <c r="E1729" i="2" s="1"/>
  <c r="E1730" i="2" s="1"/>
  <c r="E1732" i="2" s="1"/>
  <c r="G1723" i="2"/>
  <c r="K1732" i="2" l="1"/>
  <c r="G1724" i="2"/>
  <c r="G1725" i="2" l="1"/>
  <c r="M1732" i="2" l="1"/>
  <c r="N1732" i="2" s="1"/>
  <c r="G1726" i="2"/>
  <c r="G1727" i="2" l="1"/>
  <c r="G1729" i="2" l="1"/>
  <c r="G1730" i="2" l="1"/>
  <c r="E1733" i="2" l="1"/>
  <c r="G1732" i="2"/>
  <c r="E1734" i="2" l="1"/>
  <c r="G1733" i="2"/>
  <c r="E1735" i="2" l="1"/>
  <c r="G1734" i="2"/>
  <c r="E1736" i="2" l="1"/>
  <c r="G1735" i="2"/>
  <c r="E1737" i="2" l="1"/>
  <c r="G1736" i="2"/>
  <c r="E1738" i="2" l="1"/>
  <c r="G1737" i="2"/>
  <c r="E1739" i="2" l="1"/>
  <c r="G1738" i="2"/>
  <c r="E1740" i="2" l="1"/>
  <c r="G1739" i="2"/>
  <c r="E1741" i="2" l="1"/>
  <c r="G1740" i="2"/>
  <c r="E1742" i="2" l="1"/>
  <c r="G1741" i="2"/>
  <c r="E1743" i="2" l="1"/>
  <c r="G1742" i="2"/>
  <c r="E1744" i="2" l="1"/>
  <c r="G1743" i="2"/>
  <c r="E1745" i="2" l="1"/>
  <c r="G1744" i="2"/>
  <c r="E1746" i="2" l="1"/>
  <c r="G1745" i="2"/>
  <c r="E1747" i="2" l="1"/>
  <c r="E1749" i="2" s="1"/>
  <c r="G1746" i="2"/>
  <c r="K1749" i="2" l="1"/>
  <c r="M1749" i="2" s="1"/>
  <c r="N1749" i="2" s="1"/>
  <c r="G1747" i="2"/>
  <c r="E1750" i="2" l="1"/>
  <c r="G1749" i="2"/>
  <c r="G1750" i="2" l="1"/>
  <c r="E1751" i="2"/>
  <c r="E1752" i="2" l="1"/>
  <c r="G1751" i="2"/>
  <c r="E1753" i="2" l="1"/>
  <c r="G1752" i="2"/>
  <c r="E1754" i="2" l="1"/>
  <c r="G1753" i="2"/>
  <c r="E1755" i="2" l="1"/>
  <c r="G1754" i="2"/>
  <c r="E1756" i="2" l="1"/>
  <c r="G1755" i="2"/>
  <c r="E1757" i="2" l="1"/>
  <c r="G1756" i="2"/>
  <c r="E1758" i="2" l="1"/>
  <c r="G1757" i="2"/>
  <c r="G1758" i="2" l="1"/>
  <c r="E1759" i="2"/>
  <c r="G1759" i="2" l="1"/>
  <c r="E1760" i="2"/>
  <c r="E1761" i="2" l="1"/>
  <c r="G1760" i="2"/>
  <c r="G1761" i="2" l="1"/>
  <c r="E1762" i="2"/>
  <c r="G1762" i="2" l="1"/>
  <c r="E1763" i="2"/>
  <c r="G1763" i="2" l="1"/>
  <c r="E1764" i="2"/>
  <c r="E1765" i="2" l="1"/>
  <c r="G1764" i="2"/>
  <c r="G1765" i="2" l="1"/>
  <c r="E1766" i="2"/>
  <c r="G1766" i="2" l="1"/>
  <c r="E1767" i="2"/>
  <c r="G1767" i="2" l="1"/>
  <c r="E1768" i="2"/>
  <c r="E1769" i="2" l="1"/>
  <c r="G1768" i="2"/>
  <c r="E1770" i="2" l="1"/>
  <c r="G1769" i="2"/>
  <c r="G1770" i="2" l="1"/>
  <c r="E1771" i="2"/>
  <c r="G1771" i="2" l="1"/>
  <c r="E1772" i="2"/>
  <c r="G1772" i="2" l="1"/>
  <c r="E1773" i="2"/>
  <c r="E1774" i="2" l="1"/>
  <c r="G1773" i="2"/>
  <c r="G1774" i="2" l="1"/>
  <c r="E1775" i="2"/>
  <c r="E1777" i="2" l="1"/>
  <c r="G1775" i="2"/>
  <c r="G1777" i="2" l="1"/>
  <c r="E1778" i="2"/>
  <c r="G1778" i="2" l="1"/>
  <c r="E1779" i="2"/>
  <c r="G1779" i="2" l="1"/>
  <c r="E1780" i="2"/>
  <c r="G1780" i="2" l="1"/>
  <c r="E1781" i="2"/>
  <c r="E1782" i="2" l="1"/>
  <c r="G1781" i="2"/>
  <c r="G1782" i="2" l="1"/>
  <c r="E1783" i="2"/>
  <c r="E1784" i="2" l="1"/>
  <c r="G1783" i="2"/>
  <c r="E1785" i="2" l="1"/>
  <c r="G1784" i="2"/>
  <c r="E1786" i="2" l="1"/>
  <c r="G1785" i="2"/>
  <c r="E1787" i="2" l="1"/>
  <c r="G1786" i="2"/>
  <c r="E1788" i="2" l="1"/>
  <c r="G1787" i="2"/>
  <c r="G1788" i="2" l="1"/>
  <c r="E1789" i="2"/>
  <c r="E1790" i="2" l="1"/>
  <c r="G1789" i="2"/>
  <c r="E1791" i="2" l="1"/>
  <c r="G1790" i="2"/>
  <c r="G1791" i="2" l="1"/>
  <c r="E1792" i="2"/>
  <c r="E1793" i="2" l="1"/>
  <c r="E1795" i="2" s="1"/>
  <c r="G1792" i="2"/>
  <c r="K1795" i="2" l="1"/>
  <c r="M1795" i="2" s="1"/>
  <c r="N1795" i="2" s="1"/>
  <c r="G1793" i="2"/>
  <c r="E1796" i="2" l="1"/>
  <c r="G1795" i="2"/>
  <c r="G1796" i="2" l="1"/>
  <c r="E1797" i="2"/>
  <c r="E1798" i="2" l="1"/>
  <c r="G1797" i="2"/>
  <c r="G1798" i="2" l="1"/>
  <c r="E1799" i="2"/>
  <c r="G1799" i="2" l="1"/>
  <c r="E1800" i="2"/>
  <c r="G1800" i="2" l="1"/>
  <c r="E1801" i="2"/>
  <c r="G1801" i="2" l="1"/>
  <c r="E1802" i="2"/>
  <c r="G1802" i="2" l="1"/>
  <c r="E1803" i="2"/>
  <c r="G1803" i="2" l="1"/>
  <c r="E1804" i="2"/>
  <c r="G1804" i="2" l="1"/>
  <c r="E1805" i="2"/>
  <c r="G1805" i="2" l="1"/>
  <c r="E1806" i="2"/>
  <c r="G1806" i="2" l="1"/>
  <c r="E1807" i="2"/>
  <c r="E1808" i="2" l="1"/>
  <c r="G1807" i="2"/>
  <c r="G1808" i="2" l="1"/>
  <c r="E1809" i="2"/>
  <c r="G1809" i="2" l="1"/>
  <c r="E1810" i="2"/>
  <c r="G1810" i="2" l="1"/>
  <c r="E1811" i="2"/>
  <c r="E1812" i="2" l="1"/>
  <c r="G1811" i="2"/>
  <c r="G1812" i="2" l="1"/>
  <c r="E1813" i="2"/>
  <c r="G1813" i="2" l="1"/>
  <c r="E1814" i="2"/>
  <c r="G1814" i="2" l="1"/>
  <c r="E1815" i="2"/>
  <c r="G1815" i="2" l="1"/>
  <c r="E1816" i="2"/>
  <c r="K1818" i="2" l="1"/>
  <c r="M1818" i="2" s="1"/>
  <c r="N1818" i="2" s="1"/>
  <c r="E1818" i="2"/>
  <c r="G1816" i="2"/>
  <c r="E1819" i="2" l="1"/>
  <c r="G1818" i="2"/>
  <c r="E1820" i="2" l="1"/>
  <c r="G1819" i="2"/>
  <c r="E1821" i="2" l="1"/>
  <c r="G1820" i="2"/>
  <c r="E1822" i="2" l="1"/>
  <c r="G1821" i="2"/>
  <c r="E1823" i="2" l="1"/>
  <c r="G1822" i="2"/>
  <c r="E1824" i="2" l="1"/>
  <c r="G1823" i="2"/>
  <c r="E1825" i="2" l="1"/>
  <c r="G1824" i="2"/>
  <c r="E1826" i="2" l="1"/>
  <c r="G1825" i="2"/>
  <c r="E1827" i="2" l="1"/>
  <c r="G1826" i="2"/>
  <c r="E1828" i="2" l="1"/>
  <c r="G1827" i="2"/>
  <c r="E1830" i="2" l="1"/>
  <c r="G1828" i="2"/>
  <c r="E1831" i="2" l="1"/>
  <c r="G1830" i="2"/>
  <c r="E1832" i="2" l="1"/>
  <c r="G1831" i="2"/>
  <c r="E1833" i="2" l="1"/>
  <c r="G1832" i="2"/>
  <c r="E1834" i="2" l="1"/>
  <c r="G1833" i="2"/>
  <c r="E1835" i="2" l="1"/>
  <c r="G1834" i="2"/>
  <c r="E1836" i="2" l="1"/>
  <c r="E1838" i="2" s="1"/>
  <c r="G1835" i="2"/>
  <c r="K1838" i="2" l="1"/>
  <c r="M1838" i="2" s="1"/>
  <c r="N1838" i="2" s="1"/>
  <c r="G1836" i="2"/>
  <c r="E1839" i="2" l="1"/>
  <c r="G1838" i="2"/>
  <c r="G1839" i="2" l="1"/>
  <c r="E1840" i="2"/>
  <c r="E1841" i="2" l="1"/>
  <c r="G1840" i="2"/>
  <c r="E1842" i="2" l="1"/>
  <c r="G1841" i="2"/>
  <c r="E1843" i="2" l="1"/>
  <c r="G1842" i="2"/>
  <c r="E1844" i="2" l="1"/>
  <c r="G1843" i="2"/>
  <c r="E1845" i="2" l="1"/>
  <c r="G1844" i="2"/>
  <c r="E1846" i="2" l="1"/>
  <c r="G1845" i="2"/>
  <c r="E1847" i="2" l="1"/>
  <c r="G1846" i="2"/>
  <c r="E1848" i="2" l="1"/>
  <c r="G1847" i="2"/>
  <c r="E1849" i="2" l="1"/>
  <c r="G1848" i="2"/>
  <c r="E1850" i="2" l="1"/>
  <c r="G1849" i="2"/>
  <c r="E1853" i="2" l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6" i="2" s="1"/>
  <c r="E1868" i="2" s="1"/>
  <c r="E1869" i="2" s="1"/>
  <c r="E1870" i="2" s="1"/>
  <c r="E1871" i="2" s="1"/>
  <c r="G1850" i="2"/>
  <c r="G1853" i="2" l="1"/>
  <c r="G1854" i="2" l="1"/>
  <c r="G1855" i="2" l="1"/>
  <c r="G1856" i="2" l="1"/>
  <c r="G1857" i="2" l="1"/>
  <c r="G1858" i="2" l="1"/>
  <c r="G1859" i="2" l="1"/>
  <c r="G1860" i="2" l="1"/>
  <c r="G1861" i="2" l="1"/>
  <c r="G1862" i="2" l="1"/>
  <c r="G1863" i="2" l="1"/>
  <c r="G1864" i="2" l="1"/>
  <c r="G1866" i="2" l="1"/>
  <c r="G1868" i="2" l="1"/>
  <c r="G1869" i="2" l="1"/>
  <c r="G1870" i="2" l="1"/>
  <c r="E1873" i="2" l="1"/>
  <c r="K1873" i="2"/>
  <c r="M1873" i="2" s="1"/>
  <c r="N1873" i="2" s="1"/>
  <c r="G1871" i="2"/>
  <c r="E1874" i="2" l="1"/>
  <c r="G1873" i="2"/>
  <c r="E1875" i="2" l="1"/>
  <c r="G1874" i="2"/>
  <c r="E1876" i="2" l="1"/>
  <c r="G1875" i="2"/>
  <c r="E1877" i="2" l="1"/>
  <c r="G1876" i="2"/>
  <c r="E1878" i="2" l="1"/>
  <c r="G1877" i="2"/>
  <c r="E1879" i="2" l="1"/>
  <c r="G1878" i="2"/>
  <c r="E1880" i="2" l="1"/>
  <c r="G1879" i="2"/>
  <c r="E1881" i="2" l="1"/>
  <c r="G1880" i="2"/>
  <c r="E1882" i="2" l="1"/>
  <c r="G1881" i="2"/>
  <c r="E1883" i="2" l="1"/>
  <c r="G1882" i="2"/>
  <c r="E1884" i="2" l="1"/>
  <c r="G1883" i="2"/>
  <c r="E1885" i="2" l="1"/>
  <c r="G1884" i="2"/>
  <c r="E1887" i="2" l="1"/>
  <c r="G1885" i="2"/>
  <c r="E1888" i="2" l="1"/>
  <c r="G1887" i="2"/>
  <c r="E1889" i="2" l="1"/>
  <c r="G1888" i="2"/>
  <c r="E1890" i="2" l="1"/>
  <c r="G1889" i="2"/>
  <c r="E1891" i="2" l="1"/>
  <c r="G1890" i="2"/>
  <c r="E1892" i="2" l="1"/>
  <c r="G1891" i="2"/>
  <c r="E1893" i="2" l="1"/>
  <c r="G1892" i="2"/>
  <c r="E1894" i="2" l="1"/>
  <c r="G1893" i="2"/>
  <c r="E1895" i="2" l="1"/>
  <c r="G1894" i="2"/>
  <c r="E1896" i="2" l="1"/>
  <c r="G1895" i="2"/>
  <c r="E1897" i="2" l="1"/>
  <c r="G1896" i="2"/>
  <c r="E1898" i="2" l="1"/>
  <c r="G1897" i="2"/>
  <c r="E1899" i="2" l="1"/>
  <c r="G1898" i="2"/>
  <c r="E1900" i="2" l="1"/>
  <c r="G1899" i="2"/>
  <c r="E1901" i="2" l="1"/>
  <c r="G1900" i="2"/>
  <c r="E1902" i="2" l="1"/>
  <c r="G1901" i="2"/>
  <c r="E1903" i="2" l="1"/>
  <c r="G1902" i="2"/>
  <c r="E1904" i="2" l="1"/>
  <c r="G1903" i="2"/>
  <c r="E1905" i="2" l="1"/>
  <c r="G1904" i="2"/>
  <c r="E1906" i="2" l="1"/>
  <c r="G1905" i="2"/>
  <c r="E1907" i="2" l="1"/>
  <c r="G1906" i="2"/>
  <c r="E1908" i="2" l="1"/>
  <c r="G1907" i="2"/>
  <c r="E1909" i="2" l="1"/>
  <c r="G1908" i="2"/>
  <c r="E1910" i="2" l="1"/>
  <c r="G1909" i="2"/>
  <c r="E1911" i="2" l="1"/>
  <c r="G1910" i="2"/>
  <c r="E1912" i="2" l="1"/>
  <c r="G1911" i="2"/>
  <c r="E1913" i="2" l="1"/>
  <c r="G1912" i="2"/>
  <c r="E1914" i="2" l="1"/>
  <c r="G1913" i="2"/>
  <c r="E1915" i="2" l="1"/>
  <c r="G1914" i="2"/>
  <c r="E1916" i="2" l="1"/>
  <c r="G1915" i="2"/>
  <c r="E1917" i="2" l="1"/>
  <c r="G1916" i="2"/>
  <c r="E1918" i="2" l="1"/>
  <c r="G1917" i="2"/>
  <c r="E1919" i="2" l="1"/>
  <c r="G1918" i="2"/>
  <c r="E1920" i="2" l="1"/>
  <c r="G1919" i="2"/>
  <c r="E1921" i="2" l="1"/>
  <c r="G1920" i="2"/>
  <c r="E1922" i="2" l="1"/>
  <c r="G1921" i="2"/>
  <c r="K1924" i="2" l="1"/>
  <c r="M1924" i="2" s="1"/>
  <c r="N1924" i="2" s="1"/>
  <c r="E1924" i="2"/>
  <c r="G1922" i="2"/>
  <c r="E1925" i="2" l="1"/>
  <c r="G1924" i="2"/>
  <c r="G1925" i="2" l="1"/>
  <c r="E1926" i="2"/>
  <c r="E1927" i="2" l="1"/>
  <c r="G1926" i="2"/>
  <c r="E1928" i="2" l="1"/>
  <c r="G1927" i="2"/>
  <c r="E1929" i="2" l="1"/>
  <c r="G1928" i="2"/>
  <c r="E1930" i="2" l="1"/>
  <c r="G1929" i="2"/>
  <c r="E1931" i="2" l="1"/>
  <c r="G1930" i="2"/>
  <c r="E1932" i="2" l="1"/>
  <c r="G1931" i="2"/>
  <c r="E1933" i="2" l="1"/>
  <c r="G1932" i="2"/>
  <c r="E1934" i="2" l="1"/>
  <c r="G1933" i="2"/>
  <c r="E1935" i="2" l="1"/>
  <c r="G1934" i="2"/>
  <c r="E1936" i="2" l="1"/>
  <c r="G1935" i="2"/>
  <c r="E1938" i="2" l="1"/>
  <c r="G1936" i="2"/>
  <c r="E1939" i="2" l="1"/>
  <c r="G1938" i="2"/>
  <c r="E1940" i="2" l="1"/>
  <c r="G1939" i="2"/>
  <c r="K1942" i="2" l="1"/>
  <c r="M1942" i="2" s="1"/>
  <c r="N1942" i="2" s="1"/>
  <c r="E1942" i="2"/>
  <c r="G1940" i="2"/>
  <c r="E1943" i="2" l="1"/>
  <c r="G1942" i="2"/>
  <c r="E1944" i="2" l="1"/>
  <c r="G1943" i="2"/>
  <c r="E1945" i="2" l="1"/>
  <c r="G1944" i="2"/>
  <c r="E1946" i="2" l="1"/>
  <c r="G1945" i="2"/>
  <c r="E1947" i="2" l="1"/>
  <c r="G1946" i="2"/>
  <c r="E1948" i="2" l="1"/>
  <c r="G1947" i="2"/>
  <c r="E1949" i="2" l="1"/>
  <c r="G1948" i="2"/>
  <c r="E1950" i="2" l="1"/>
  <c r="G1949" i="2"/>
  <c r="E1951" i="2" l="1"/>
  <c r="G1950" i="2"/>
  <c r="K1953" i="2" l="1"/>
  <c r="M1953" i="2" s="1"/>
  <c r="N1953" i="2" s="1"/>
  <c r="E1953" i="2"/>
  <c r="G1951" i="2"/>
  <c r="E1954" i="2" l="1"/>
  <c r="G1953" i="2"/>
  <c r="E1955" i="2" l="1"/>
  <c r="G1954" i="2"/>
  <c r="E1956" i="2" l="1"/>
  <c r="G1955" i="2"/>
  <c r="E1957" i="2" l="1"/>
  <c r="G1956" i="2"/>
  <c r="E1958" i="2" l="1"/>
  <c r="G1957" i="2"/>
  <c r="E1959" i="2" l="1"/>
  <c r="G1958" i="2"/>
  <c r="E1960" i="2" l="1"/>
  <c r="G1959" i="2"/>
  <c r="E1961" i="2" l="1"/>
  <c r="G1960" i="2"/>
  <c r="E1962" i="2" l="1"/>
  <c r="G1961" i="2"/>
  <c r="G1962" i="2" l="1"/>
  <c r="E1963" i="2"/>
  <c r="G1963" i="2" l="1"/>
  <c r="E1964" i="2"/>
  <c r="G1964" i="2" l="1"/>
  <c r="E1965" i="2"/>
  <c r="E1966" i="2" l="1"/>
  <c r="G1965" i="2"/>
  <c r="G1966" i="2" l="1"/>
  <c r="E1967" i="2"/>
  <c r="G1967" i="2" l="1"/>
  <c r="E1968" i="2"/>
  <c r="E1969" i="2" l="1"/>
  <c r="G1968" i="2"/>
  <c r="K1971" i="2" l="1"/>
  <c r="M1971" i="2" s="1"/>
  <c r="N1971" i="2" s="1"/>
  <c r="E1971" i="2"/>
  <c r="G1969" i="2"/>
  <c r="E1972" i="2" l="1"/>
  <c r="G1971" i="2"/>
  <c r="E1973" i="2" l="1"/>
  <c r="G1972" i="2"/>
  <c r="E1974" i="2" l="1"/>
  <c r="G1973" i="2"/>
  <c r="E1975" i="2" l="1"/>
  <c r="G1974" i="2"/>
  <c r="E1976" i="2" l="1"/>
  <c r="G1975" i="2"/>
  <c r="E1977" i="2" l="1"/>
  <c r="G1976" i="2"/>
  <c r="E1978" i="2" l="1"/>
  <c r="G1977" i="2"/>
  <c r="E1979" i="2" l="1"/>
  <c r="G1978" i="2"/>
  <c r="E1980" i="2" l="1"/>
  <c r="G1979" i="2"/>
  <c r="E1981" i="2" l="1"/>
  <c r="G1980" i="2"/>
  <c r="E1982" i="2" l="1"/>
  <c r="G1981" i="2"/>
  <c r="G1982" i="2" l="1"/>
  <c r="E1983" i="2"/>
  <c r="G1983" i="2" l="1"/>
  <c r="E1984" i="2"/>
  <c r="E1985" i="2" l="1"/>
  <c r="G1984" i="2"/>
  <c r="G1985" i="2" l="1"/>
  <c r="E1986" i="2"/>
  <c r="E1987" i="2" l="1"/>
  <c r="G1986" i="2"/>
  <c r="G1987" i="2" l="1"/>
  <c r="E1988" i="2"/>
  <c r="G1988" i="2" l="1"/>
  <c r="E1989" i="2"/>
  <c r="E1990" i="2" l="1"/>
  <c r="G1989" i="2"/>
  <c r="G1990" i="2" l="1"/>
  <c r="E1992" i="2"/>
  <c r="E1993" i="2" l="1"/>
  <c r="G1992" i="2"/>
  <c r="G1993" i="2" l="1"/>
  <c r="E1994" i="2"/>
  <c r="E1995" i="2" l="1"/>
  <c r="G1994" i="2"/>
  <c r="G1995" i="2" l="1"/>
  <c r="E1996" i="2"/>
  <c r="G1996" i="2" l="1"/>
  <c r="E1997" i="2"/>
  <c r="G1997" i="2" l="1"/>
  <c r="E1998" i="2"/>
  <c r="G1998" i="2" l="1"/>
  <c r="E1999" i="2"/>
  <c r="G1999" i="2" l="1"/>
  <c r="E2000" i="2"/>
  <c r="K2002" i="2" l="1"/>
  <c r="M2002" i="2" s="1"/>
  <c r="N2002" i="2" s="1"/>
  <c r="E2002" i="2"/>
  <c r="G2000" i="2"/>
  <c r="E2003" i="2" l="1"/>
  <c r="G2002" i="2"/>
  <c r="E2004" i="2" l="1"/>
  <c r="G2003" i="2"/>
  <c r="E2005" i="2" l="1"/>
  <c r="G2004" i="2"/>
  <c r="E2006" i="2" l="1"/>
  <c r="G2005" i="2"/>
  <c r="E2007" i="2" l="1"/>
  <c r="G2006" i="2"/>
  <c r="E2008" i="2" l="1"/>
  <c r="G2007" i="2"/>
  <c r="E2009" i="2" l="1"/>
  <c r="G2008" i="2"/>
  <c r="E2010" i="2" l="1"/>
  <c r="G2009" i="2"/>
  <c r="E2011" i="2" l="1"/>
  <c r="G2010" i="2"/>
  <c r="E2012" i="2" l="1"/>
  <c r="G2011" i="2"/>
  <c r="E2013" i="2" l="1"/>
  <c r="G2012" i="2"/>
  <c r="K2015" i="2" l="1"/>
  <c r="M2015" i="2" s="1"/>
  <c r="N2015" i="2" s="1"/>
  <c r="E2015" i="2"/>
  <c r="G2013" i="2"/>
  <c r="E2016" i="2" l="1"/>
  <c r="G2015" i="2"/>
  <c r="E2017" i="2" l="1"/>
  <c r="G2016" i="2"/>
  <c r="E2018" i="2" l="1"/>
  <c r="G2017" i="2"/>
  <c r="E2019" i="2" l="1"/>
  <c r="G2018" i="2"/>
  <c r="E2020" i="2" l="1"/>
  <c r="G2019" i="2"/>
  <c r="E2021" i="2" l="1"/>
  <c r="G2020" i="2"/>
  <c r="E2022" i="2" l="1"/>
  <c r="G2021" i="2"/>
  <c r="E2023" i="2" l="1"/>
  <c r="G2022" i="2"/>
  <c r="E2024" i="2" l="1"/>
  <c r="G2023" i="2"/>
  <c r="E2025" i="2" l="1"/>
  <c r="G2024" i="2"/>
  <c r="E2026" i="2" l="1"/>
  <c r="G2025" i="2"/>
  <c r="E2027" i="2" l="1"/>
  <c r="G2026" i="2"/>
  <c r="K2029" i="2" l="1"/>
  <c r="M2029" i="2" s="1"/>
  <c r="N2029" i="2" s="1"/>
  <c r="E2029" i="2"/>
  <c r="G2027" i="2"/>
  <c r="E2030" i="2" l="1"/>
  <c r="G2029" i="2"/>
  <c r="G2030" i="2" l="1"/>
  <c r="E2031" i="2"/>
  <c r="E2032" i="2" l="1"/>
  <c r="G2031" i="2"/>
  <c r="E2033" i="2" l="1"/>
  <c r="G2032" i="2"/>
  <c r="E2034" i="2" l="1"/>
  <c r="G2033" i="2"/>
  <c r="E2035" i="2" l="1"/>
  <c r="G2034" i="2"/>
  <c r="G2035" i="2" l="1"/>
  <c r="E2036" i="2"/>
  <c r="E2037" i="2" l="1"/>
  <c r="G2036" i="2"/>
  <c r="G2037" i="2" l="1"/>
  <c r="E2038" i="2"/>
  <c r="G2038" i="2" l="1"/>
  <c r="E2039" i="2"/>
  <c r="G2039" i="2" l="1"/>
  <c r="E2040" i="2"/>
  <c r="E2041" i="2" l="1"/>
  <c r="G2040" i="2"/>
  <c r="G2041" i="2" l="1"/>
  <c r="E2042" i="2"/>
  <c r="E2044" i="2" l="1"/>
  <c r="K2044" i="2"/>
  <c r="M2044" i="2" s="1"/>
  <c r="N2044" i="2" s="1"/>
  <c r="G2042" i="2"/>
  <c r="E2045" i="2" l="1"/>
  <c r="G2044" i="2"/>
  <c r="E2047" i="2" l="1"/>
  <c r="G2045" i="2"/>
  <c r="E2048" i="2" l="1"/>
  <c r="G2047" i="2"/>
  <c r="E2049" i="2" l="1"/>
  <c r="G2048" i="2"/>
  <c r="E2050" i="2" l="1"/>
  <c r="G2049" i="2"/>
  <c r="E2051" i="2" l="1"/>
  <c r="G2050" i="2"/>
  <c r="E2052" i="2" l="1"/>
  <c r="G2051" i="2"/>
  <c r="E2053" i="2" l="1"/>
  <c r="G2052" i="2"/>
  <c r="E2054" i="2" l="1"/>
  <c r="G2053" i="2"/>
  <c r="E2055" i="2" l="1"/>
  <c r="G2054" i="2"/>
  <c r="E2056" i="2" l="1"/>
  <c r="G2055" i="2"/>
  <c r="E2057" i="2" l="1"/>
  <c r="G2056" i="2"/>
  <c r="E2058" i="2" l="1"/>
  <c r="G2057" i="2"/>
  <c r="E2059" i="2" l="1"/>
  <c r="G2058" i="2"/>
  <c r="E2060" i="2" l="1"/>
  <c r="G2059" i="2"/>
  <c r="E2061" i="2" l="1"/>
  <c r="G2060" i="2"/>
  <c r="E2062" i="2" l="1"/>
  <c r="G2061" i="2"/>
  <c r="E2063" i="2" l="1"/>
  <c r="G2062" i="2"/>
  <c r="K2065" i="2" l="1"/>
  <c r="M2065" i="2" s="1"/>
  <c r="N2065" i="2" s="1"/>
  <c r="E2065" i="2"/>
  <c r="G2063" i="2"/>
  <c r="E2066" i="2" l="1"/>
  <c r="G2065" i="2"/>
  <c r="G2066" i="2" l="1"/>
  <c r="E2067" i="2"/>
  <c r="E2068" i="2" l="1"/>
  <c r="G2067" i="2"/>
  <c r="G2068" i="2" l="1"/>
  <c r="E2069" i="2"/>
  <c r="G2069" i="2" l="1"/>
  <c r="E2070" i="2"/>
  <c r="E2071" i="2" l="1"/>
  <c r="G2070" i="2"/>
  <c r="E2072" i="2" l="1"/>
  <c r="G2071" i="2"/>
  <c r="K2074" i="2" l="1"/>
  <c r="M2074" i="2" s="1"/>
  <c r="N2074" i="2" s="1"/>
  <c r="E2074" i="2"/>
  <c r="G2072" i="2"/>
  <c r="E2075" i="2" l="1"/>
  <c r="G2074" i="2"/>
  <c r="G2075" i="2" l="1"/>
  <c r="E2076" i="2"/>
  <c r="E2077" i="2" l="1"/>
  <c r="G2076" i="2"/>
  <c r="E2078" i="2" l="1"/>
  <c r="G2077" i="2"/>
  <c r="G2078" i="2" l="1"/>
  <c r="E2079" i="2"/>
  <c r="G2079" i="2" l="1"/>
  <c r="E2080" i="2"/>
  <c r="G2080" i="2" l="1"/>
  <c r="E2081" i="2"/>
  <c r="G2081" i="2" l="1"/>
  <c r="E2082" i="2"/>
  <c r="G2082" i="2" l="1"/>
  <c r="E2083" i="2"/>
  <c r="G2083" i="2" l="1"/>
  <c r="E2084" i="2"/>
  <c r="G2084" i="2" l="1"/>
  <c r="E2085" i="2"/>
  <c r="G2085" i="2" l="1"/>
  <c r="E2086" i="2"/>
  <c r="G2086" i="2" l="1"/>
  <c r="E2087" i="2"/>
  <c r="E2089" i="2" l="1"/>
  <c r="E2091" i="2" s="1"/>
  <c r="E2092" i="2" s="1"/>
  <c r="E2093" i="2" s="1"/>
  <c r="E2095" i="2" s="1"/>
  <c r="E2096" i="2" s="1"/>
  <c r="E2097" i="2" s="1"/>
  <c r="E2098" i="2" s="1"/>
  <c r="E2099" i="2" s="1"/>
  <c r="E2101" i="2" s="1"/>
  <c r="E2102" i="2" s="1"/>
  <c r="E2104" i="2" s="1"/>
  <c r="E2106" i="2" s="1"/>
  <c r="K2089" i="2"/>
  <c r="M2089" i="2" s="1"/>
  <c r="N2089" i="2" s="1"/>
  <c r="G2087" i="2"/>
  <c r="G2089" i="2" l="1"/>
  <c r="G2091" i="2" l="1"/>
  <c r="G2092" i="2" l="1"/>
  <c r="G2093" i="2" l="1"/>
  <c r="G2095" i="2" l="1"/>
  <c r="G2096" i="2" l="1"/>
  <c r="G2097" i="2" l="1"/>
  <c r="G2098" i="2" l="1"/>
  <c r="G2099" i="2" l="1"/>
  <c r="G2101" i="2" l="1"/>
  <c r="G2102" i="2" l="1"/>
  <c r="K2106" i="2" l="1"/>
  <c r="M2106" i="2" s="1"/>
  <c r="N2106" i="2" s="1"/>
  <c r="G2104" i="2"/>
  <c r="G2106" i="2" l="1"/>
  <c r="E2108" i="2"/>
  <c r="E2109" i="2" s="1"/>
  <c r="E2110" i="2" s="1"/>
  <c r="E2111" i="2" s="1"/>
  <c r="E2112" i="2" s="1"/>
  <c r="E2113" i="2" s="1"/>
  <c r="E2114" i="2" s="1"/>
  <c r="E2115" i="2" s="1"/>
  <c r="E2116" i="2" s="1"/>
  <c r="E2117" i="2" s="1"/>
  <c r="E2118" i="2" s="1"/>
  <c r="E2119" i="2" s="1"/>
  <c r="E2120" i="2" s="1"/>
  <c r="E2121" i="2" s="1"/>
  <c r="E2122" i="2" s="1"/>
  <c r="E2123" i="2" s="1"/>
  <c r="E2124" i="2" s="1"/>
  <c r="E2125" i="2" s="1"/>
  <c r="E2126" i="2" s="1"/>
  <c r="E2129" i="2" s="1"/>
  <c r="E2130" i="2" s="1"/>
  <c r="K2132" i="2" l="1"/>
  <c r="E2132" i="2"/>
  <c r="E2133" i="2" s="1"/>
  <c r="E2134" i="2" s="1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G2108" i="2"/>
  <c r="G2109" i="2" l="1"/>
  <c r="G2110" i="2" l="1"/>
  <c r="G2111" i="2" l="1"/>
  <c r="G2112" i="2" l="1"/>
  <c r="G2113" i="2" l="1"/>
  <c r="G2114" i="2" l="1"/>
  <c r="G2115" i="2" l="1"/>
  <c r="G2116" i="2" l="1"/>
  <c r="G2117" i="2" l="1"/>
  <c r="G2118" i="2" l="1"/>
  <c r="G2119" i="2" l="1"/>
  <c r="G2120" i="2" l="1"/>
  <c r="G2121" i="2" l="1"/>
  <c r="G2122" i="2" l="1"/>
  <c r="G2123" i="2" l="1"/>
  <c r="G2124" i="2" l="1"/>
  <c r="G2125" i="2" l="1"/>
  <c r="G2126" i="2" l="1"/>
  <c r="G2129" i="2" l="1"/>
  <c r="G2130" i="2" l="1"/>
  <c r="G2132" i="2" l="1"/>
  <c r="G2133" i="2" l="1"/>
  <c r="M2132" i="2"/>
  <c r="N2132" i="2" s="1"/>
  <c r="G2134" i="2" l="1"/>
  <c r="G2135" i="2" l="1"/>
  <c r="G2136" i="2" l="1"/>
  <c r="G2137" i="2" l="1"/>
  <c r="G2138" i="2" l="1"/>
  <c r="G2139" i="2" l="1"/>
  <c r="G2140" i="2" l="1"/>
  <c r="G2141" i="2" l="1"/>
  <c r="G2142" i="2" l="1"/>
  <c r="G2143" i="2" l="1"/>
  <c r="E2146" i="2" l="1"/>
  <c r="G2144" i="2"/>
  <c r="E2147" i="2" l="1"/>
  <c r="G2146" i="2"/>
  <c r="E2148" i="2" l="1"/>
  <c r="G2147" i="2"/>
  <c r="E2149" i="2" l="1"/>
  <c r="E2151" i="2" s="1"/>
  <c r="G2148" i="2"/>
  <c r="K2151" i="2" l="1"/>
  <c r="M2151" i="2" s="1"/>
  <c r="N2151" i="2" s="1"/>
  <c r="G2149" i="2"/>
  <c r="E2152" i="2" l="1"/>
  <c r="G2151" i="2"/>
  <c r="E2153" i="2" l="1"/>
  <c r="G2152" i="2"/>
  <c r="E2154" i="2" l="1"/>
  <c r="G2153" i="2"/>
  <c r="E2155" i="2" l="1"/>
  <c r="G2154" i="2"/>
  <c r="E2156" i="2" l="1"/>
  <c r="G2155" i="2"/>
  <c r="E2157" i="2" l="1"/>
  <c r="G2156" i="2"/>
  <c r="E2158" i="2" l="1"/>
  <c r="G2157" i="2"/>
  <c r="E2159" i="2" l="1"/>
  <c r="G2158" i="2"/>
  <c r="G2159" i="2" l="1"/>
  <c r="E2161" i="2"/>
  <c r="G2161" i="2" l="1"/>
  <c r="E2163" i="2"/>
  <c r="E2164" i="2" l="1"/>
  <c r="G2163" i="2"/>
  <c r="G2164" i="2" l="1"/>
  <c r="E2166" i="2"/>
  <c r="G2166" i="2" l="1"/>
  <c r="E2167" i="2"/>
  <c r="E2169" i="2" l="1"/>
  <c r="E2171" i="2" s="1"/>
  <c r="G2167" i="2"/>
  <c r="E2172" i="2" l="1"/>
  <c r="E2173" i="2" s="1"/>
  <c r="E2174" i="2" s="1"/>
  <c r="E2176" i="2" s="1"/>
  <c r="K2171" i="2"/>
  <c r="M2171" i="2" s="1"/>
  <c r="N2171" i="2" s="1"/>
  <c r="G2169" i="2"/>
  <c r="G2171" i="2" l="1"/>
  <c r="G2172" i="2" l="1"/>
  <c r="G2173" i="2" l="1"/>
  <c r="E2178" i="2"/>
  <c r="E2179" i="2" s="1"/>
  <c r="E2180" i="2" s="1"/>
  <c r="E2181" i="2" s="1"/>
  <c r="E2182" i="2" s="1"/>
  <c r="E2184" i="2" s="1"/>
  <c r="K2184" i="2" l="1"/>
  <c r="M2184" i="2" s="1"/>
  <c r="N2184" i="2" s="1"/>
  <c r="G2174" i="2"/>
  <c r="E2185" i="2" l="1"/>
  <c r="G2184" i="2"/>
  <c r="G2176" i="2"/>
  <c r="E2186" i="2" l="1"/>
  <c r="E2187" i="2" s="1"/>
  <c r="E2188" i="2" s="1"/>
  <c r="E2191" i="2" s="1"/>
  <c r="E2192" i="2" s="1"/>
  <c r="E2193" i="2" s="1"/>
  <c r="G2185" i="2"/>
  <c r="G2178" i="2"/>
  <c r="G2179" i="2" l="1"/>
  <c r="G2180" i="2" l="1"/>
  <c r="G2181" i="2" l="1"/>
  <c r="G2182" i="2" l="1"/>
  <c r="G2186" i="2" l="1"/>
  <c r="G2187" i="2" l="1"/>
  <c r="G2188" i="2" l="1"/>
  <c r="G2191" i="2" l="1"/>
  <c r="G2192" i="2" l="1"/>
  <c r="K2195" i="2" l="1"/>
  <c r="M2195" i="2" s="1"/>
  <c r="N2195" i="2" s="1"/>
  <c r="E2195" i="2"/>
  <c r="G2193" i="2"/>
  <c r="E2196" i="2" l="1"/>
  <c r="G2195" i="2"/>
  <c r="G2196" i="2" l="1"/>
  <c r="E2197" i="2"/>
  <c r="E2198" i="2" l="1"/>
  <c r="G2197" i="2"/>
  <c r="E2199" i="2" l="1"/>
  <c r="G2198" i="2"/>
  <c r="E2200" i="2" l="1"/>
  <c r="G2199" i="2"/>
  <c r="E2201" i="2" l="1"/>
  <c r="G2200" i="2"/>
  <c r="G2201" i="2" l="1"/>
  <c r="E2202" i="2"/>
  <c r="G2202" i="2" l="1"/>
  <c r="E2203" i="2"/>
  <c r="E2204" i="2" l="1"/>
  <c r="G2203" i="2"/>
  <c r="G2204" i="2" l="1"/>
  <c r="E2205" i="2"/>
  <c r="E2206" i="2" l="1"/>
  <c r="G2205" i="2"/>
  <c r="G2206" i="2" l="1"/>
  <c r="E2207" i="2"/>
  <c r="G2207" i="2" l="1"/>
  <c r="E2208" i="2"/>
  <c r="G2208" i="2" l="1"/>
  <c r="E2209" i="2"/>
  <c r="G2209" i="2" l="1"/>
  <c r="E2210" i="2"/>
  <c r="G2210" i="2" l="1"/>
  <c r="E2211" i="2"/>
  <c r="E2212" i="2" l="1"/>
  <c r="G2211" i="2"/>
  <c r="G2212" i="2" l="1"/>
  <c r="E2213" i="2"/>
  <c r="G2213" i="2" l="1"/>
  <c r="E2214" i="2"/>
  <c r="G2214" i="2" l="1"/>
  <c r="E2215" i="2"/>
  <c r="E2216" i="2" l="1"/>
  <c r="G2215" i="2"/>
  <c r="G2216" i="2" l="1"/>
  <c r="E2217" i="2"/>
  <c r="G2217" i="2" l="1"/>
  <c r="E2218" i="2"/>
  <c r="G2218" i="2" l="1"/>
  <c r="E2219" i="2"/>
  <c r="E2221" i="2" s="1"/>
  <c r="K2221" i="2" l="1"/>
  <c r="M2221" i="2" s="1"/>
  <c r="N2221" i="2" s="1"/>
  <c r="G2219" i="2"/>
  <c r="E2222" i="2" l="1"/>
  <c r="G2221" i="2"/>
  <c r="G2222" i="2" l="1"/>
  <c r="E2224" i="2"/>
  <c r="G2224" i="2" l="1"/>
  <c r="E2225" i="2"/>
  <c r="G2225" i="2" l="1"/>
  <c r="E2226" i="2"/>
  <c r="G2226" i="2" l="1"/>
  <c r="E2227" i="2"/>
  <c r="G2227" i="2" l="1"/>
  <c r="E2228" i="2"/>
  <c r="E2229" i="2" l="1"/>
  <c r="G2228" i="2"/>
  <c r="G2229" i="2" l="1"/>
  <c r="E2230" i="2"/>
  <c r="E2231" i="2" l="1"/>
  <c r="E2233" i="2" s="1"/>
  <c r="G2230" i="2"/>
  <c r="K2233" i="2" l="1"/>
  <c r="M2233" i="2" s="1"/>
  <c r="N2233" i="2" s="1"/>
  <c r="G2231" i="2"/>
  <c r="G2233" i="2" l="1"/>
  <c r="E2234" i="2"/>
  <c r="G2234" i="2" l="1"/>
  <c r="E2235" i="2"/>
  <c r="E2236" i="2" l="1"/>
  <c r="G2235" i="2"/>
  <c r="E2237" i="2" l="1"/>
  <c r="G2236" i="2"/>
  <c r="E2238" i="2" l="1"/>
  <c r="G2237" i="2"/>
  <c r="G2238" i="2" l="1"/>
  <c r="E2239" i="2"/>
  <c r="G2239" i="2" l="1"/>
  <c r="E2240" i="2"/>
  <c r="G2240" i="2" l="1"/>
  <c r="E2241" i="2"/>
  <c r="E2242" i="2" l="1"/>
  <c r="G2241" i="2"/>
  <c r="G2242" i="2" l="1"/>
  <c r="E2243" i="2"/>
  <c r="G2243" i="2" l="1"/>
  <c r="E2244" i="2"/>
  <c r="E2245" i="2" l="1"/>
  <c r="G2244" i="2"/>
  <c r="G2245" i="2" l="1"/>
  <c r="E2246" i="2"/>
  <c r="G2246" i="2" l="1"/>
  <c r="E2247" i="2"/>
  <c r="E2248" i="2" l="1"/>
  <c r="G2247" i="2"/>
  <c r="G2248" i="2" l="1"/>
  <c r="E2249" i="2"/>
  <c r="G2249" i="2" l="1"/>
  <c r="E2250" i="2"/>
  <c r="G2250" i="2" l="1"/>
  <c r="E2251" i="2"/>
  <c r="G2251" i="2" l="1"/>
  <c r="E2252" i="2"/>
  <c r="G2252" i="2" l="1"/>
  <c r="E2253" i="2"/>
  <c r="G2253" i="2" l="1"/>
  <c r="E2254" i="2"/>
  <c r="G2254" i="2" l="1"/>
  <c r="E2255" i="2"/>
  <c r="E2256" i="2" l="1"/>
  <c r="G2255" i="2"/>
  <c r="G2256" i="2" l="1"/>
  <c r="E2257" i="2"/>
  <c r="G2257" i="2" l="1"/>
  <c r="E2258" i="2"/>
  <c r="E2259" i="2" l="1"/>
  <c r="G2258" i="2"/>
  <c r="E2260" i="2" l="1"/>
  <c r="G2259" i="2"/>
  <c r="G2260" i="2" l="1"/>
  <c r="E2261" i="2"/>
  <c r="G2261" i="2" l="1"/>
  <c r="E2262" i="2"/>
  <c r="G2262" i="2" l="1"/>
  <c r="E2263" i="2"/>
  <c r="G2263" i="2" l="1"/>
  <c r="E2264" i="2"/>
  <c r="G2264" i="2" l="1"/>
  <c r="E2265" i="2"/>
  <c r="G2265" i="2" l="1"/>
  <c r="E2266" i="2"/>
  <c r="G2266" i="2" l="1"/>
  <c r="E2267" i="2"/>
  <c r="G2267" i="2" l="1"/>
  <c r="E2268" i="2"/>
  <c r="G2268" i="2" l="1"/>
  <c r="E2269" i="2"/>
  <c r="G2269" i="2" l="1"/>
  <c r="E2270" i="2"/>
  <c r="G2270" i="2" l="1"/>
  <c r="E2271" i="2"/>
  <c r="E2272" i="2" l="1"/>
  <c r="G2271" i="2"/>
  <c r="E2273" i="2" l="1"/>
  <c r="G2272" i="2"/>
  <c r="G2273" i="2" l="1"/>
  <c r="E2274" i="2"/>
  <c r="G2274" i="2" l="1"/>
  <c r="E2276" i="2"/>
  <c r="E2277" i="2" l="1"/>
  <c r="G2276" i="2"/>
  <c r="G2277" i="2" l="1"/>
  <c r="E2278" i="2"/>
  <c r="E2279" i="2" l="1"/>
  <c r="G2278" i="2"/>
  <c r="G2279" i="2" l="1"/>
  <c r="E2280" i="2"/>
  <c r="G2280" i="2" l="1"/>
  <c r="E2281" i="2"/>
  <c r="G2281" i="2" l="1"/>
  <c r="E2282" i="2"/>
  <c r="G2282" i="2" l="1"/>
  <c r="E2283" i="2"/>
  <c r="G2283" i="2" l="1"/>
  <c r="E2284" i="2"/>
  <c r="E2285" i="2" l="1"/>
  <c r="G2284" i="2"/>
  <c r="G2285" i="2" l="1"/>
  <c r="E2286" i="2"/>
  <c r="G2286" i="2" l="1"/>
  <c r="E2287" i="2"/>
  <c r="G2287" i="2" l="1"/>
  <c r="E2288" i="2"/>
  <c r="G2288" i="2" l="1"/>
  <c r="E2289" i="2"/>
  <c r="G2289" i="2" l="1"/>
  <c r="E2290" i="2"/>
  <c r="E2291" i="2" l="1"/>
  <c r="G2290" i="2"/>
  <c r="G2291" i="2" l="1"/>
  <c r="E2292" i="2"/>
  <c r="E2293" i="2" l="1"/>
  <c r="G2292" i="2"/>
  <c r="E2294" i="2" l="1"/>
  <c r="G2293" i="2"/>
  <c r="E2295" i="2" l="1"/>
  <c r="G2294" i="2"/>
  <c r="G2295" i="2" l="1"/>
  <c r="E2296" i="2"/>
  <c r="E2297" i="2" l="1"/>
  <c r="G2296" i="2"/>
  <c r="E2298" i="2" l="1"/>
  <c r="G2297" i="2"/>
  <c r="E2299" i="2" l="1"/>
  <c r="G2298" i="2"/>
  <c r="G2299" i="2" l="1"/>
  <c r="E2300" i="2"/>
  <c r="G2300" i="2" l="1"/>
  <c r="E2301" i="2"/>
  <c r="G2301" i="2" l="1"/>
  <c r="E2302" i="2"/>
  <c r="G2302" i="2" l="1"/>
  <c r="E2303" i="2"/>
  <c r="G2303" i="2" l="1"/>
  <c r="E2304" i="2"/>
  <c r="G2304" i="2" l="1"/>
  <c r="E2305" i="2"/>
  <c r="G2305" i="2" l="1"/>
  <c r="E2306" i="2"/>
  <c r="G2306" i="2" l="1"/>
  <c r="E2307" i="2"/>
  <c r="K2309" i="2" l="1"/>
  <c r="M2309" i="2" s="1"/>
  <c r="N2309" i="2" s="1"/>
  <c r="E2309" i="2"/>
  <c r="G2307" i="2"/>
  <c r="E2310" i="2" l="1"/>
  <c r="G2309" i="2"/>
  <c r="G2310" i="2" l="1"/>
  <c r="E2311" i="2"/>
  <c r="G2311" i="2" l="1"/>
  <c r="E2312" i="2"/>
  <c r="G2312" i="2" l="1"/>
  <c r="E2313" i="2"/>
  <c r="G2313" i="2" l="1"/>
  <c r="E2314" i="2"/>
  <c r="G2314" i="2" l="1"/>
  <c r="E2315" i="2"/>
  <c r="G2315" i="2" l="1"/>
  <c r="E2316" i="2"/>
  <c r="G2316" i="2" l="1"/>
  <c r="E2317" i="2"/>
  <c r="G2317" i="2" l="1"/>
  <c r="E2318" i="2"/>
  <c r="G2318" i="2" l="1"/>
  <c r="E2319" i="2"/>
  <c r="G2319" i="2" l="1"/>
  <c r="E2320" i="2"/>
  <c r="G2320" i="2" l="1"/>
  <c r="E2321" i="2"/>
  <c r="G2321" i="2" l="1"/>
  <c r="E2322" i="2"/>
  <c r="G2322" i="2" l="1"/>
  <c r="E2323" i="2"/>
  <c r="G2323" i="2" l="1"/>
  <c r="E2324" i="2"/>
  <c r="G2324" i="2" l="1"/>
  <c r="E2325" i="2"/>
  <c r="E2326" i="2" l="1"/>
  <c r="G2325" i="2"/>
  <c r="G2326" i="2" l="1"/>
  <c r="E2328" i="2"/>
  <c r="G2328" i="2" l="1"/>
  <c r="E2329" i="2"/>
  <c r="G2329" i="2" l="1"/>
  <c r="E2330" i="2"/>
  <c r="G2330" i="2" l="1"/>
  <c r="E2331" i="2"/>
  <c r="G2331" i="2" l="1"/>
  <c r="E2332" i="2"/>
  <c r="G2332" i="2" l="1"/>
  <c r="E2333" i="2"/>
  <c r="E2334" i="2" l="1"/>
  <c r="G2333" i="2"/>
  <c r="E2335" i="2" l="1"/>
  <c r="G2334" i="2"/>
  <c r="G2335" i="2" l="1"/>
  <c r="E2336" i="2"/>
  <c r="E2337" i="2" l="1"/>
  <c r="G2336" i="2"/>
  <c r="G2337" i="2" l="1"/>
  <c r="E2338" i="2"/>
  <c r="G2338" i="2" l="1"/>
  <c r="E2339" i="2"/>
  <c r="G2339" i="2" l="1"/>
  <c r="E2340" i="2"/>
  <c r="G2340" i="2" l="1"/>
  <c r="E2341" i="2"/>
  <c r="G2341" i="2" l="1"/>
  <c r="E2342" i="2"/>
  <c r="E2343" i="2" l="1"/>
  <c r="G2342" i="2"/>
  <c r="G2343" i="2" l="1"/>
  <c r="E2344" i="2"/>
  <c r="G2344" i="2" l="1"/>
  <c r="E2345" i="2"/>
  <c r="G2345" i="2" l="1"/>
  <c r="E2346" i="2"/>
  <c r="E2347" i="2" l="1"/>
  <c r="G2346" i="2"/>
  <c r="G2347" i="2" l="1"/>
  <c r="E2348" i="2"/>
  <c r="G2348" i="2" l="1"/>
  <c r="E2349" i="2"/>
  <c r="G2349" i="2" l="1"/>
  <c r="E2350" i="2"/>
  <c r="G2350" i="2" l="1"/>
  <c r="E2351" i="2"/>
  <c r="K2353" i="2" l="1"/>
  <c r="M2353" i="2" s="1"/>
  <c r="N2353" i="2" s="1"/>
  <c r="E2353" i="2"/>
  <c r="G2351" i="2"/>
  <c r="E2354" i="2" l="1"/>
  <c r="G2353" i="2"/>
  <c r="G2354" i="2" l="1"/>
  <c r="E2355" i="2"/>
  <c r="G2355" i="2" l="1"/>
  <c r="E2356" i="2"/>
  <c r="E2357" i="2" l="1"/>
  <c r="G2356" i="2"/>
  <c r="E2358" i="2" l="1"/>
  <c r="G2357" i="2"/>
  <c r="G2358" i="2" l="1"/>
  <c r="E2359" i="2"/>
  <c r="G2359" i="2" l="1"/>
  <c r="E2360" i="2"/>
  <c r="G2360" i="2" l="1"/>
  <c r="E2361" i="2"/>
  <c r="G2361" i="2" l="1"/>
  <c r="E2362" i="2"/>
  <c r="G2362" i="2" l="1"/>
  <c r="E2363" i="2"/>
  <c r="G2363" i="2" l="1"/>
  <c r="E2364" i="2"/>
  <c r="E2365" i="2" l="1"/>
  <c r="G2364" i="2"/>
  <c r="G2365" i="2" l="1"/>
  <c r="E2366" i="2"/>
  <c r="G2366" i="2" l="1"/>
  <c r="E2367" i="2"/>
  <c r="G2367" i="2" l="1"/>
  <c r="E2368" i="2"/>
  <c r="G2368" i="2" l="1"/>
  <c r="E2369" i="2"/>
  <c r="G2369" i="2" l="1"/>
  <c r="E2370" i="2"/>
  <c r="G2370" i="2" l="1"/>
  <c r="E2371" i="2"/>
  <c r="E2372" i="2" l="1"/>
  <c r="G2371" i="2"/>
  <c r="E2373" i="2" l="1"/>
  <c r="G2372" i="2"/>
  <c r="E2374" i="2" l="1"/>
  <c r="G2373" i="2"/>
  <c r="G2374" i="2" l="1"/>
  <c r="E2375" i="2"/>
  <c r="G2375" i="2" l="1"/>
  <c r="E2376" i="2"/>
  <c r="K2378" i="2" l="1"/>
  <c r="M2378" i="2" s="1"/>
  <c r="N2378" i="2" s="1"/>
  <c r="E2378" i="2"/>
  <c r="G2376" i="2"/>
  <c r="E2379" i="2" l="1"/>
  <c r="G2378" i="2"/>
  <c r="G2379" i="2" l="1"/>
  <c r="E2381" i="2"/>
  <c r="E2382" i="2" l="1"/>
  <c r="G2381" i="2"/>
  <c r="E2383" i="2" l="1"/>
  <c r="G2382" i="2"/>
  <c r="G2383" i="2" l="1"/>
  <c r="E2384" i="2"/>
  <c r="G2384" i="2" l="1"/>
  <c r="E2385" i="2"/>
  <c r="G2385" i="2" l="1"/>
  <c r="E2386" i="2"/>
  <c r="E2387" i="2" l="1"/>
  <c r="G2386" i="2"/>
  <c r="G2387" i="2" l="1"/>
  <c r="E2388" i="2"/>
  <c r="E2389" i="2" l="1"/>
  <c r="G2388" i="2"/>
  <c r="G2389" i="2" l="1"/>
  <c r="E2390" i="2"/>
  <c r="G2390" i="2" l="1"/>
  <c r="E2391" i="2"/>
  <c r="G2391" i="2" l="1"/>
  <c r="E2392" i="2"/>
  <c r="G2392" i="2" l="1"/>
  <c r="E2393" i="2"/>
  <c r="E2394" i="2" l="1"/>
  <c r="G2393" i="2"/>
  <c r="E2395" i="2" l="1"/>
  <c r="G2394" i="2"/>
  <c r="G2395" i="2" l="1"/>
  <c r="E2396" i="2"/>
  <c r="G2396" i="2" l="1"/>
  <c r="E2397" i="2"/>
  <c r="E2398" i="2" s="1"/>
  <c r="E2400" i="2" s="1"/>
  <c r="G2397" i="2" l="1"/>
  <c r="K2400" i="2" l="1"/>
  <c r="M2400" i="2" s="1"/>
  <c r="N2400" i="2" s="1"/>
  <c r="G2398" i="2"/>
  <c r="E2401" i="2" l="1"/>
  <c r="G2400" i="2"/>
  <c r="E2402" i="2" l="1"/>
  <c r="G2401" i="2"/>
  <c r="E2403" i="2" l="1"/>
  <c r="G2402" i="2"/>
  <c r="E2404" i="2" l="1"/>
  <c r="G2403" i="2"/>
  <c r="E2405" i="2" l="1"/>
  <c r="G2404" i="2"/>
  <c r="E2406" i="2" l="1"/>
  <c r="G2405" i="2"/>
  <c r="E2407" i="2" l="1"/>
  <c r="G2406" i="2"/>
  <c r="E2408" i="2" l="1"/>
  <c r="G2407" i="2"/>
  <c r="E2409" i="2" l="1"/>
  <c r="G2408" i="2"/>
  <c r="E2410" i="2" l="1"/>
  <c r="G2409" i="2"/>
  <c r="E2411" i="2" l="1"/>
  <c r="G2410" i="2"/>
  <c r="E2412" i="2" l="1"/>
  <c r="G2411" i="2"/>
  <c r="E2413" i="2" l="1"/>
  <c r="G2412" i="2"/>
  <c r="E2414" i="2" l="1"/>
  <c r="G2413" i="2"/>
  <c r="E2415" i="2" l="1"/>
  <c r="G2414" i="2"/>
  <c r="E2416" i="2" l="1"/>
  <c r="G2415" i="2"/>
  <c r="E2417" i="2" l="1"/>
  <c r="G2416" i="2"/>
  <c r="E2418" i="2" l="1"/>
  <c r="G2417" i="2"/>
  <c r="E2419" i="2" l="1"/>
  <c r="G2418" i="2"/>
  <c r="E2420" i="2" l="1"/>
  <c r="G2419" i="2"/>
  <c r="K2422" i="2" l="1"/>
  <c r="M2422" i="2" s="1"/>
  <c r="N2422" i="2" s="1"/>
  <c r="E2422" i="2"/>
  <c r="G2420" i="2"/>
  <c r="E2423" i="2" l="1"/>
  <c r="G2422" i="2"/>
  <c r="E2424" i="2" l="1"/>
  <c r="G2423" i="2"/>
  <c r="E2425" i="2" l="1"/>
  <c r="G2424" i="2"/>
  <c r="E2426" i="2" l="1"/>
  <c r="G2425" i="2"/>
  <c r="E2427" i="2" l="1"/>
  <c r="G2426" i="2"/>
  <c r="E2428" i="2" l="1"/>
  <c r="G2427" i="2"/>
  <c r="E2429" i="2" l="1"/>
  <c r="G2428" i="2"/>
  <c r="E2430" i="2" l="1"/>
  <c r="G2429" i="2"/>
  <c r="E2431" i="2" l="1"/>
  <c r="G2430" i="2"/>
  <c r="E2432" i="2" l="1"/>
  <c r="G2431" i="2"/>
  <c r="K2434" i="2" l="1"/>
  <c r="M2434" i="2" s="1"/>
  <c r="N2434" i="2" s="1"/>
  <c r="E2434" i="2"/>
  <c r="G2432" i="2"/>
  <c r="E2435" i="2" l="1"/>
  <c r="G2434" i="2"/>
  <c r="G2435" i="2" l="1"/>
  <c r="E2436" i="2"/>
  <c r="E2437" i="2" l="1"/>
  <c r="G2436" i="2"/>
  <c r="E2438" i="2" l="1"/>
  <c r="G2437" i="2"/>
  <c r="E2439" i="2" l="1"/>
  <c r="G2438" i="2"/>
  <c r="E2440" i="2" l="1"/>
  <c r="G2439" i="2"/>
  <c r="E2441" i="2" l="1"/>
  <c r="G2440" i="2"/>
  <c r="E2442" i="2" l="1"/>
  <c r="G2441" i="2"/>
  <c r="E2443" i="2" l="1"/>
  <c r="G2442" i="2"/>
  <c r="E2444" i="2" l="1"/>
  <c r="G2443" i="2"/>
  <c r="E2445" i="2" l="1"/>
  <c r="G2444" i="2"/>
  <c r="E2446" i="2" l="1"/>
  <c r="G2445" i="2"/>
  <c r="E2447" i="2" l="1"/>
  <c r="G2446" i="2"/>
  <c r="E2448" i="2" l="1"/>
  <c r="G2447" i="2"/>
  <c r="E2449" i="2" l="1"/>
  <c r="G2448" i="2"/>
  <c r="K2451" i="2" l="1"/>
  <c r="M2451" i="2" s="1"/>
  <c r="N2451" i="2" s="1"/>
  <c r="E2451" i="2"/>
  <c r="G2449" i="2"/>
  <c r="E2452" i="2" l="1"/>
  <c r="G2451" i="2"/>
  <c r="G2452" i="2" l="1"/>
  <c r="E2453" i="2"/>
  <c r="E2454" i="2" l="1"/>
  <c r="G2453" i="2"/>
  <c r="E2455" i="2" l="1"/>
  <c r="G2454" i="2"/>
  <c r="E2456" i="2" l="1"/>
  <c r="G2455" i="2"/>
  <c r="E2457" i="2" l="1"/>
  <c r="G2456" i="2"/>
  <c r="E2458" i="2" l="1"/>
  <c r="G2457" i="2"/>
  <c r="E2459" i="2" l="1"/>
  <c r="G2458" i="2"/>
  <c r="G2459" i="2" l="1"/>
  <c r="E2460" i="2"/>
  <c r="G2460" i="2" l="1"/>
  <c r="E2461" i="2"/>
  <c r="E2462" i="2" l="1"/>
  <c r="G2461" i="2"/>
  <c r="G2462" i="2" l="1"/>
  <c r="E2463" i="2"/>
  <c r="E2464" i="2" l="1"/>
  <c r="G2463" i="2"/>
  <c r="E2465" i="2" l="1"/>
  <c r="G2464" i="2"/>
  <c r="E2466" i="2" l="1"/>
  <c r="G2465" i="2"/>
  <c r="E2467" i="2" l="1"/>
  <c r="G2466" i="2"/>
  <c r="G2467" i="2" l="1"/>
  <c r="E2468" i="2"/>
  <c r="G2468" i="2" l="1"/>
  <c r="E2469" i="2"/>
  <c r="G2469" i="2" l="1"/>
  <c r="E2470" i="2"/>
  <c r="E2471" i="2" l="1"/>
  <c r="G2470" i="2"/>
  <c r="K2473" i="2" l="1"/>
  <c r="M2473" i="2" s="1"/>
  <c r="N2473" i="2" s="1"/>
  <c r="E2473" i="2"/>
  <c r="G2471" i="2"/>
  <c r="E2474" i="2" l="1"/>
  <c r="G2473" i="2"/>
  <c r="E2475" i="2" l="1"/>
  <c r="G2474" i="2"/>
  <c r="E2476" i="2" l="1"/>
  <c r="G2475" i="2"/>
  <c r="E2477" i="2" l="1"/>
  <c r="G2476" i="2"/>
  <c r="E2478" i="2" l="1"/>
  <c r="G2477" i="2"/>
  <c r="E2479" i="2" l="1"/>
  <c r="G2478" i="2"/>
  <c r="G2479" i="2" l="1"/>
  <c r="E2480" i="2"/>
  <c r="G2480" i="2" l="1"/>
  <c r="E2481" i="2"/>
  <c r="G2481" i="2" l="1"/>
  <c r="E2482" i="2"/>
  <c r="E2483" i="2" l="1"/>
  <c r="G2482" i="2"/>
  <c r="G2483" i="2" l="1"/>
  <c r="E2484" i="2"/>
  <c r="G2484" i="2" l="1"/>
  <c r="E2485" i="2"/>
  <c r="G2485" i="2" l="1"/>
  <c r="E2487" i="2"/>
  <c r="K2489" i="2" l="1"/>
  <c r="M2489" i="2" s="1"/>
  <c r="N2489" i="2" s="1"/>
  <c r="E2489" i="2"/>
  <c r="G2487" i="2"/>
  <c r="E2490" i="2" l="1"/>
  <c r="G2489" i="2"/>
  <c r="G2490" i="2" l="1"/>
  <c r="E2491" i="2"/>
  <c r="G2491" i="2" l="1"/>
  <c r="E2492" i="2"/>
  <c r="G2492" i="2" l="1"/>
  <c r="E2493" i="2"/>
  <c r="G2493" i="2" l="1"/>
  <c r="E2494" i="2"/>
  <c r="G2494" i="2" l="1"/>
  <c r="E2495" i="2"/>
  <c r="G2495" i="2" l="1"/>
  <c r="E2496" i="2"/>
  <c r="G2496" i="2" l="1"/>
  <c r="E2497" i="2"/>
  <c r="G2497" i="2" l="1"/>
  <c r="E2498" i="2"/>
  <c r="G2498" i="2" l="1"/>
  <c r="E2499" i="2"/>
  <c r="K2501" i="2" l="1"/>
  <c r="M2501" i="2" s="1"/>
  <c r="N2501" i="2" s="1"/>
  <c r="G2499" i="2"/>
  <c r="E2501" i="2"/>
  <c r="E2502" i="2" l="1"/>
  <c r="G2501" i="2"/>
  <c r="G2502" i="2" l="1"/>
  <c r="E2503" i="2"/>
  <c r="E2504" i="2" l="1"/>
  <c r="G2503" i="2"/>
  <c r="K2506" i="2" l="1"/>
  <c r="M2506" i="2" s="1"/>
  <c r="N2506" i="2" s="1"/>
  <c r="E2506" i="2"/>
  <c r="G2504" i="2"/>
  <c r="G2506" i="2" l="1"/>
  <c r="E2507" i="2"/>
  <c r="G2507" i="2" l="1"/>
  <c r="E2508" i="2"/>
  <c r="E2509" i="2" l="1"/>
  <c r="G2508" i="2"/>
  <c r="E2510" i="2" l="1"/>
  <c r="G2509" i="2"/>
  <c r="E2511" i="2" l="1"/>
  <c r="G2510" i="2"/>
  <c r="E2512" i="2" l="1"/>
  <c r="G2511" i="2"/>
  <c r="E2513" i="2" l="1"/>
  <c r="G2512" i="2"/>
  <c r="K2515" i="2" l="1"/>
  <c r="M2515" i="2" s="1"/>
  <c r="N2515" i="2" s="1"/>
  <c r="E2515" i="2"/>
  <c r="G2513" i="2"/>
  <c r="E2516" i="2" l="1"/>
  <c r="G2515" i="2"/>
  <c r="G2516" i="2" l="1"/>
  <c r="E2517" i="2"/>
  <c r="E2518" i="2" l="1"/>
  <c r="G2517" i="2"/>
  <c r="E2519" i="2" l="1"/>
  <c r="G2518" i="2"/>
  <c r="E2520" i="2" l="1"/>
  <c r="G2519" i="2"/>
  <c r="E2521" i="2" l="1"/>
  <c r="G2520" i="2"/>
  <c r="E2522" i="2" l="1"/>
  <c r="E2524" i="2" s="1"/>
  <c r="G2521" i="2"/>
  <c r="K2524" i="2" l="1"/>
  <c r="M2524" i="2" s="1"/>
  <c r="N2524" i="2" s="1"/>
  <c r="G2522" i="2"/>
  <c r="E2525" i="2" l="1"/>
  <c r="G2524" i="2"/>
  <c r="G2525" i="2" l="1"/>
  <c r="E2526" i="2"/>
  <c r="E2527" i="2" l="1"/>
  <c r="G2526" i="2"/>
  <c r="E2528" i="2" l="1"/>
  <c r="G2527" i="2"/>
  <c r="E2529" i="2" l="1"/>
  <c r="G2528" i="2"/>
  <c r="G2529" i="2" l="1"/>
  <c r="E2530" i="2"/>
  <c r="G2530" i="2" l="1"/>
  <c r="E2531" i="2"/>
  <c r="E2532" i="2" l="1"/>
  <c r="G2531" i="2"/>
  <c r="G2532" i="2" l="1"/>
  <c r="E2533" i="2"/>
  <c r="G2533" i="2" l="1"/>
  <c r="E2534" i="2"/>
  <c r="G2534" i="2" l="1"/>
  <c r="E2535" i="2"/>
  <c r="E2536" i="2" l="1"/>
  <c r="G2535" i="2"/>
  <c r="G2536" i="2" l="1"/>
  <c r="E2537" i="2"/>
  <c r="K2539" i="2" l="1"/>
  <c r="M2539" i="2" s="1"/>
  <c r="N2539" i="2" s="1"/>
  <c r="E2539" i="2"/>
  <c r="G2537" i="2"/>
  <c r="G2539" i="2" l="1"/>
  <c r="E2540" i="2"/>
  <c r="G2540" i="2" l="1"/>
  <c r="E2541" i="2"/>
  <c r="E2542" i="2" l="1"/>
  <c r="G2541" i="2"/>
  <c r="G2542" i="2" l="1"/>
  <c r="E2544" i="2"/>
  <c r="G2544" i="2" l="1"/>
  <c r="E2545" i="2"/>
  <c r="G2545" i="2" l="1"/>
  <c r="E2546" i="2"/>
  <c r="G2546" i="2" l="1"/>
  <c r="E2547" i="2"/>
  <c r="E2548" i="2" l="1"/>
  <c r="G2547" i="2"/>
  <c r="G2548" i="2" l="1"/>
  <c r="E2549" i="2"/>
  <c r="G2549" i="2" l="1"/>
  <c r="E2550" i="2"/>
  <c r="G2550" i="2" l="1"/>
  <c r="E2551" i="2"/>
  <c r="G2551" i="2" l="1"/>
  <c r="E2552" i="2"/>
  <c r="E2553" i="2" l="1"/>
  <c r="G2552" i="2"/>
  <c r="E2554" i="2" l="1"/>
  <c r="G2553" i="2"/>
  <c r="E2555" i="2" l="1"/>
  <c r="G2554" i="2"/>
  <c r="G2555" i="2" l="1"/>
  <c r="E2556" i="2"/>
  <c r="G2556" i="2" l="1"/>
  <c r="E2557" i="2"/>
  <c r="G2557" i="2" l="1"/>
  <c r="E2558" i="2"/>
  <c r="E2559" i="2" l="1"/>
  <c r="G2558" i="2"/>
  <c r="G2559" i="2" l="1"/>
  <c r="E2560" i="2"/>
  <c r="E2561" i="2" l="1"/>
  <c r="G2560" i="2"/>
  <c r="E2562" i="2" l="1"/>
  <c r="G2561" i="2"/>
  <c r="G2562" i="2" l="1"/>
  <c r="E2563" i="2"/>
  <c r="E2564" i="2" l="1"/>
  <c r="G2563" i="2"/>
  <c r="E2565" i="2" l="1"/>
  <c r="G2564" i="2"/>
  <c r="G2565" i="2" l="1"/>
  <c r="E2566" i="2"/>
  <c r="E2568" i="2" l="1"/>
  <c r="K2568" i="2"/>
  <c r="M2568" i="2" s="1"/>
  <c r="N2568" i="2" s="1"/>
  <c r="G2566" i="2"/>
  <c r="E2569" i="2" l="1"/>
  <c r="G2568" i="2"/>
  <c r="E2570" i="2" l="1"/>
  <c r="G2569" i="2"/>
  <c r="E2571" i="2" l="1"/>
  <c r="G2570" i="2"/>
  <c r="E2573" i="2" l="1"/>
  <c r="G2571" i="2"/>
  <c r="E2575" i="2" l="1"/>
  <c r="G2573" i="2"/>
  <c r="K2577" i="2" l="1"/>
  <c r="M2577" i="2" s="1"/>
  <c r="N2577" i="2" s="1"/>
  <c r="E2577" i="2"/>
  <c r="G2575" i="2"/>
  <c r="E2578" i="2" l="1"/>
  <c r="G2577" i="2"/>
  <c r="E2579" i="2" l="1"/>
  <c r="G2578" i="2"/>
  <c r="E2580" i="2" l="1"/>
  <c r="G2579" i="2"/>
  <c r="E2581" i="2" l="1"/>
  <c r="G2580" i="2"/>
  <c r="E2582" i="2" l="1"/>
  <c r="G2581" i="2"/>
  <c r="E2583" i="2" l="1"/>
  <c r="G2582" i="2"/>
  <c r="E2584" i="2" l="1"/>
  <c r="G2583" i="2"/>
  <c r="E2585" i="2" l="1"/>
  <c r="G2584" i="2"/>
  <c r="E2586" i="2" l="1"/>
  <c r="G2585" i="2"/>
  <c r="K2588" i="2" l="1"/>
  <c r="M2588" i="2" s="1"/>
  <c r="N2588" i="2" s="1"/>
  <c r="E2588" i="2"/>
  <c r="G258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4" i="2"/>
  <c r="D35" i="2"/>
  <c r="D37" i="2"/>
  <c r="D38" i="2"/>
  <c r="D39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8" i="2"/>
  <c r="D59" i="2"/>
  <c r="D60" i="2"/>
  <c r="D61" i="2"/>
  <c r="D62" i="2"/>
  <c r="D63" i="2"/>
  <c r="D64" i="2"/>
  <c r="D65" i="2"/>
  <c r="D66" i="2"/>
  <c r="D67" i="2"/>
  <c r="D69" i="2"/>
  <c r="D70" i="2"/>
  <c r="D72" i="2"/>
  <c r="D73" i="2"/>
  <c r="D75" i="2"/>
  <c r="D76" i="2"/>
  <c r="D77" i="2"/>
  <c r="D78" i="2"/>
  <c r="D79" i="2"/>
  <c r="D80" i="2"/>
  <c r="D81" i="2"/>
  <c r="D82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100" i="2"/>
  <c r="D101" i="2"/>
  <c r="D104" i="2"/>
  <c r="D105" i="2"/>
  <c r="D106" i="2"/>
  <c r="D107" i="2"/>
  <c r="D110" i="2"/>
  <c r="D112" i="2"/>
  <c r="D114" i="2"/>
  <c r="D115" i="2"/>
  <c r="D117" i="2"/>
  <c r="D119" i="2"/>
  <c r="D121" i="2"/>
  <c r="D122" i="2"/>
  <c r="D123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1" i="2"/>
  <c r="D172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4" i="2"/>
  <c r="D205" i="2"/>
  <c r="D206" i="2"/>
  <c r="D207" i="2"/>
  <c r="D208" i="2"/>
  <c r="D209" i="2"/>
  <c r="D210" i="2"/>
  <c r="D211" i="2"/>
  <c r="D213" i="2"/>
  <c r="D214" i="2"/>
  <c r="D216" i="2"/>
  <c r="D217" i="2"/>
  <c r="D218" i="2"/>
  <c r="D220" i="2"/>
  <c r="D221" i="2"/>
  <c r="D222" i="2"/>
  <c r="D223" i="2"/>
  <c r="D224" i="2"/>
  <c r="D225" i="2"/>
  <c r="D228" i="2"/>
  <c r="D229" i="2"/>
  <c r="D230" i="2"/>
  <c r="D232" i="2"/>
  <c r="D233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2" i="2"/>
  <c r="D353" i="2"/>
  <c r="D354" i="2"/>
  <c r="D355" i="2"/>
  <c r="D356" i="2"/>
  <c r="D357" i="2"/>
  <c r="D358" i="2"/>
  <c r="D359" i="2"/>
  <c r="D360" i="2"/>
  <c r="D361" i="2"/>
  <c r="D362" i="2"/>
  <c r="D364" i="2"/>
  <c r="D366" i="2"/>
  <c r="D367" i="2"/>
  <c r="D368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7" i="2"/>
  <c r="D388" i="2"/>
  <c r="D389" i="2"/>
  <c r="D392" i="2"/>
  <c r="D394" i="2"/>
  <c r="D395" i="2"/>
  <c r="D396" i="2"/>
  <c r="D397" i="2"/>
  <c r="D398" i="2"/>
  <c r="D399" i="2"/>
  <c r="D400" i="2"/>
  <c r="D401" i="2"/>
  <c r="D402" i="2"/>
  <c r="D403" i="2"/>
  <c r="D404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6" i="2"/>
  <c r="D427" i="2"/>
  <c r="D428" i="2"/>
  <c r="D429" i="2"/>
  <c r="D430" i="2"/>
  <c r="D431" i="2"/>
  <c r="D432" i="2"/>
  <c r="D433" i="2"/>
  <c r="D434" i="2"/>
  <c r="D435" i="2"/>
  <c r="D437" i="2"/>
  <c r="D438" i="2"/>
  <c r="D439" i="2"/>
  <c r="D440" i="2"/>
  <c r="D441" i="2"/>
  <c r="D442" i="2"/>
  <c r="D443" i="2"/>
  <c r="D444" i="2"/>
  <c r="D445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8" i="2"/>
  <c r="D479" i="2"/>
  <c r="D480" i="2"/>
  <c r="D481" i="2"/>
  <c r="D482" i="2"/>
  <c r="D483" i="2"/>
  <c r="D484" i="2"/>
  <c r="D485" i="2"/>
  <c r="D486" i="2"/>
  <c r="D487" i="2"/>
  <c r="D489" i="2"/>
  <c r="D490" i="2"/>
  <c r="D491" i="2"/>
  <c r="D492" i="2"/>
  <c r="D493" i="2"/>
  <c r="D494" i="2"/>
  <c r="D495" i="2"/>
  <c r="D496" i="2"/>
  <c r="D497" i="2"/>
  <c r="D498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3" i="2"/>
  <c r="D554" i="2"/>
  <c r="D555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20" i="2"/>
  <c r="D621" i="2"/>
  <c r="D622" i="2"/>
  <c r="D623" i="2"/>
  <c r="D624" i="2"/>
  <c r="D625" i="2"/>
  <c r="D626" i="2"/>
  <c r="D627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5" i="2"/>
  <c r="D656" i="2"/>
  <c r="D657" i="2"/>
  <c r="D658" i="2"/>
  <c r="D659" i="2"/>
  <c r="D661" i="2"/>
  <c r="D662" i="2"/>
  <c r="D663" i="2"/>
  <c r="D664" i="2"/>
  <c r="D665" i="2"/>
  <c r="D666" i="2"/>
  <c r="D667" i="2"/>
  <c r="D669" i="2"/>
  <c r="D670" i="2"/>
  <c r="D671" i="2"/>
  <c r="D672" i="2"/>
  <c r="D673" i="2"/>
  <c r="D674" i="2"/>
  <c r="D675" i="2"/>
  <c r="D676" i="2"/>
  <c r="D677" i="2"/>
  <c r="D678" i="2"/>
  <c r="D680" i="2"/>
  <c r="D681" i="2"/>
  <c r="D682" i="2"/>
  <c r="D683" i="2"/>
  <c r="D684" i="2"/>
  <c r="D685" i="2"/>
  <c r="D686" i="2"/>
  <c r="D687" i="2"/>
  <c r="D688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3" i="2"/>
  <c r="D714" i="2"/>
  <c r="D716" i="2"/>
  <c r="D717" i="2"/>
  <c r="D718" i="2"/>
  <c r="D719" i="2"/>
  <c r="D720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4" i="2"/>
  <c r="D765" i="2"/>
  <c r="D766" i="2"/>
  <c r="D767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5" i="2"/>
  <c r="D857" i="2"/>
  <c r="D858" i="2"/>
  <c r="D859" i="2"/>
  <c r="D861" i="2"/>
  <c r="D862" i="2"/>
  <c r="D863" i="2"/>
  <c r="D864" i="2"/>
  <c r="D865" i="2"/>
  <c r="D867" i="2"/>
  <c r="D868" i="2"/>
  <c r="D869" i="2"/>
  <c r="D870" i="2"/>
  <c r="D871" i="2"/>
  <c r="D872" i="2"/>
  <c r="D873" i="2"/>
  <c r="D875" i="2"/>
  <c r="D876" i="2"/>
  <c r="D877" i="2"/>
  <c r="D879" i="2"/>
  <c r="D880" i="2"/>
  <c r="D881" i="2"/>
  <c r="D883" i="2"/>
  <c r="D884" i="2"/>
  <c r="D885" i="2"/>
  <c r="D886" i="2"/>
  <c r="D887" i="2"/>
  <c r="D888" i="2"/>
  <c r="D889" i="2"/>
  <c r="D890" i="2"/>
  <c r="D891" i="2"/>
  <c r="D892" i="2"/>
  <c r="D894" i="2"/>
  <c r="D895" i="2"/>
  <c r="D896" i="2"/>
  <c r="D897" i="2"/>
  <c r="D899" i="2"/>
  <c r="D900" i="2"/>
  <c r="D901" i="2"/>
  <c r="D903" i="2"/>
  <c r="D904" i="2"/>
  <c r="D905" i="2"/>
  <c r="D908" i="2"/>
  <c r="D910" i="2"/>
  <c r="D911" i="2"/>
  <c r="D912" i="2"/>
  <c r="D913" i="2"/>
  <c r="D914" i="2"/>
  <c r="D915" i="2"/>
  <c r="D916" i="2"/>
  <c r="D917" i="2"/>
  <c r="D918" i="2"/>
  <c r="D920" i="2"/>
  <c r="D921" i="2"/>
  <c r="D922" i="2"/>
  <c r="D923" i="2"/>
  <c r="D924" i="2"/>
  <c r="D925" i="2"/>
  <c r="D927" i="2"/>
  <c r="D929" i="2"/>
  <c r="D930" i="2"/>
  <c r="D931" i="2"/>
  <c r="D932" i="2"/>
  <c r="D933" i="2"/>
  <c r="D934" i="2"/>
  <c r="D935" i="2"/>
  <c r="D936" i="2"/>
  <c r="D937" i="2"/>
  <c r="D939" i="2"/>
  <c r="D940" i="2"/>
  <c r="D941" i="2"/>
  <c r="D942" i="2"/>
  <c r="D943" i="2"/>
  <c r="D944" i="2"/>
  <c r="D945" i="2"/>
  <c r="D946" i="2"/>
  <c r="D948" i="2"/>
  <c r="D949" i="2"/>
  <c r="D950" i="2"/>
  <c r="D951" i="2"/>
  <c r="D952" i="2"/>
  <c r="D953" i="2"/>
  <c r="D954" i="2"/>
  <c r="D955" i="2"/>
  <c r="D956" i="2"/>
  <c r="D958" i="2"/>
  <c r="D959" i="2"/>
  <c r="D960" i="2"/>
  <c r="D961" i="2"/>
  <c r="D962" i="2"/>
  <c r="D963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6" i="2"/>
  <c r="D987" i="2"/>
  <c r="D988" i="2"/>
  <c r="D989" i="2"/>
  <c r="D990" i="2"/>
  <c r="D991" i="2"/>
  <c r="D992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9" i="2"/>
  <c r="D1031" i="2"/>
  <c r="D1032" i="2"/>
  <c r="D1033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2" i="2"/>
  <c r="D1063" i="2"/>
  <c r="D1064" i="2"/>
  <c r="D1066" i="2"/>
  <c r="D1067" i="2"/>
  <c r="D1068" i="2"/>
  <c r="D1069" i="2"/>
  <c r="D1070" i="2"/>
  <c r="D1071" i="2"/>
  <c r="D1072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2" i="2"/>
  <c r="D1103" i="2"/>
  <c r="D1104" i="2"/>
  <c r="D1105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1" i="2"/>
  <c r="D1152" i="2"/>
  <c r="D1154" i="2"/>
  <c r="D1156" i="2"/>
  <c r="D1157" i="2"/>
  <c r="D1158" i="2"/>
  <c r="D1159" i="2"/>
  <c r="D1161" i="2"/>
  <c r="D1162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9" i="2"/>
  <c r="D1180" i="2"/>
  <c r="D1181" i="2"/>
  <c r="D1182" i="2"/>
  <c r="D1183" i="2"/>
  <c r="D1184" i="2"/>
  <c r="D1185" i="2"/>
  <c r="D1186" i="2"/>
  <c r="D1187" i="2"/>
  <c r="D1188" i="2"/>
  <c r="D1189" i="2"/>
  <c r="D1191" i="2"/>
  <c r="D1192" i="2"/>
  <c r="D1193" i="2"/>
  <c r="D1194" i="2"/>
  <c r="D1195" i="2"/>
  <c r="D1197" i="2"/>
  <c r="D1198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3" i="2"/>
  <c r="D1264" i="2"/>
  <c r="D1265" i="2"/>
  <c r="D1266" i="2"/>
  <c r="D1267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90" i="2"/>
  <c r="D1291" i="2"/>
  <c r="D1292" i="2"/>
  <c r="D1293" i="2"/>
  <c r="D1294" i="2"/>
  <c r="D1295" i="2"/>
  <c r="D1296" i="2"/>
  <c r="D1297" i="2"/>
  <c r="D1298" i="2"/>
  <c r="D1299" i="2"/>
  <c r="D1300" i="2"/>
  <c r="D1302" i="2"/>
  <c r="D1303" i="2"/>
  <c r="D1304" i="2"/>
  <c r="D1306" i="2"/>
  <c r="D1307" i="2"/>
  <c r="D1308" i="2"/>
  <c r="D1310" i="2"/>
  <c r="D1311" i="2"/>
  <c r="D1312" i="2"/>
  <c r="D1313" i="2"/>
  <c r="D1314" i="2"/>
  <c r="D1315" i="2"/>
  <c r="D1316" i="2"/>
  <c r="D1318" i="2"/>
  <c r="D1319" i="2"/>
  <c r="D1320" i="2"/>
  <c r="D1322" i="2"/>
  <c r="D1323" i="2"/>
  <c r="D1324" i="2"/>
  <c r="D1326" i="2"/>
  <c r="D1327" i="2"/>
  <c r="D1328" i="2"/>
  <c r="D1330" i="2"/>
  <c r="D1331" i="2"/>
  <c r="D1332" i="2"/>
  <c r="D1333" i="2"/>
  <c r="D1334" i="2"/>
  <c r="D1335" i="2"/>
  <c r="D1336" i="2"/>
  <c r="D1337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2" i="2"/>
  <c r="D1353" i="2"/>
  <c r="D1356" i="2"/>
  <c r="D1357" i="2"/>
  <c r="D1358" i="2"/>
  <c r="D1359" i="2"/>
  <c r="D1360" i="2"/>
  <c r="D1361" i="2"/>
  <c r="D1362" i="2"/>
  <c r="D1363" i="2"/>
  <c r="D1364" i="2"/>
  <c r="D1365" i="2"/>
  <c r="D1366" i="2"/>
  <c r="D1369" i="2"/>
  <c r="D1370" i="2"/>
  <c r="D1371" i="2"/>
  <c r="D1372" i="2"/>
  <c r="D1373" i="2"/>
  <c r="D1375" i="2"/>
  <c r="D1376" i="2"/>
  <c r="D1377" i="2"/>
  <c r="D1378" i="2"/>
  <c r="D1379" i="2"/>
  <c r="D1380" i="2"/>
  <c r="D1381" i="2"/>
  <c r="D1382" i="2"/>
  <c r="D1384" i="2"/>
  <c r="D1386" i="2"/>
  <c r="D1387" i="2"/>
  <c r="D1389" i="2"/>
  <c r="D1390" i="2"/>
  <c r="D1391" i="2"/>
  <c r="D1392" i="2"/>
  <c r="D1394" i="2"/>
  <c r="D1395" i="2"/>
  <c r="D1396" i="2"/>
  <c r="D1398" i="2"/>
  <c r="D1399" i="2"/>
  <c r="D1401" i="2"/>
  <c r="D1402" i="2"/>
  <c r="D1403" i="2"/>
  <c r="D1404" i="2"/>
  <c r="D1405" i="2"/>
  <c r="D1406" i="2"/>
  <c r="D1408" i="2"/>
  <c r="D1409" i="2"/>
  <c r="D1410" i="2"/>
  <c r="D1411" i="2"/>
  <c r="D1412" i="2"/>
  <c r="D1413" i="2"/>
  <c r="D1414" i="2"/>
  <c r="D1415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5" i="2"/>
  <c r="D1436" i="2"/>
  <c r="D1437" i="2"/>
  <c r="D1438" i="2"/>
  <c r="D1439" i="2"/>
  <c r="D1440" i="2"/>
  <c r="D1441" i="2"/>
  <c r="D1442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2" i="2"/>
  <c r="D1513" i="2"/>
  <c r="D1515" i="2"/>
  <c r="D1516" i="2"/>
  <c r="D1517" i="2"/>
  <c r="D1518" i="2"/>
  <c r="D1519" i="2"/>
  <c r="D1521" i="2"/>
  <c r="D1522" i="2"/>
  <c r="D1523" i="2"/>
  <c r="D1525" i="2"/>
  <c r="D1526" i="2"/>
  <c r="D1527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6" i="2"/>
  <c r="D1548" i="2"/>
  <c r="D1549" i="2"/>
  <c r="D1550" i="2"/>
  <c r="D1551" i="2"/>
  <c r="D1552" i="2"/>
  <c r="D1553" i="2"/>
  <c r="D1555" i="2"/>
  <c r="D1556" i="2"/>
  <c r="D1557" i="2"/>
  <c r="D1558" i="2"/>
  <c r="D1559" i="2"/>
  <c r="D1561" i="2"/>
  <c r="D1562" i="2"/>
  <c r="D1563" i="2"/>
  <c r="D1564" i="2"/>
  <c r="D1565" i="2"/>
  <c r="D1566" i="2"/>
  <c r="D1568" i="2"/>
  <c r="D1569" i="2"/>
  <c r="D1570" i="2"/>
  <c r="D1571" i="2"/>
  <c r="D1572" i="2"/>
  <c r="D1573" i="2"/>
  <c r="D1574" i="2"/>
  <c r="D1575" i="2"/>
  <c r="D1577" i="2"/>
  <c r="D1578" i="2"/>
  <c r="D1580" i="2"/>
  <c r="D1581" i="2"/>
  <c r="D1582" i="2"/>
  <c r="D1583" i="2"/>
  <c r="D1584" i="2"/>
  <c r="D1586" i="2"/>
  <c r="D1587" i="2"/>
  <c r="D1589" i="2"/>
  <c r="D1590" i="2"/>
  <c r="D1591" i="2"/>
  <c r="D1592" i="2"/>
  <c r="D1593" i="2"/>
  <c r="D1594" i="2"/>
  <c r="D1595" i="2"/>
  <c r="D1597" i="2"/>
  <c r="D1598" i="2"/>
  <c r="D1599" i="2"/>
  <c r="D1600" i="2"/>
  <c r="D1601" i="2"/>
  <c r="D1602" i="2"/>
  <c r="D1603" i="2"/>
  <c r="D1604" i="2"/>
  <c r="D1605" i="2"/>
  <c r="D1607" i="2"/>
  <c r="D1608" i="2"/>
  <c r="D1609" i="2"/>
  <c r="D1610" i="2"/>
  <c r="D1611" i="2"/>
  <c r="D1612" i="2"/>
  <c r="D1615" i="2"/>
  <c r="D1616" i="2"/>
  <c r="D1617" i="2"/>
  <c r="D1618" i="2"/>
  <c r="D1619" i="2"/>
  <c r="D1620" i="2"/>
  <c r="D1621" i="2"/>
  <c r="D1623" i="2"/>
  <c r="D1624" i="2"/>
  <c r="D1625" i="2"/>
  <c r="D1626" i="2"/>
  <c r="D1627" i="2"/>
  <c r="D1629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9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700" i="2"/>
  <c r="D1701" i="2"/>
  <c r="D1702" i="2"/>
  <c r="D1703" i="2"/>
  <c r="D1704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3" i="2"/>
  <c r="D1724" i="2"/>
  <c r="D1725" i="2"/>
  <c r="D1726" i="2"/>
  <c r="D1727" i="2"/>
  <c r="D1729" i="2"/>
  <c r="D1730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8" i="2"/>
  <c r="D1819" i="2"/>
  <c r="D1820" i="2"/>
  <c r="D1821" i="2"/>
  <c r="D1822" i="2"/>
  <c r="D1823" i="2"/>
  <c r="D1824" i="2"/>
  <c r="D1825" i="2"/>
  <c r="D1826" i="2"/>
  <c r="D1827" i="2"/>
  <c r="D1828" i="2"/>
  <c r="D1830" i="2"/>
  <c r="D1831" i="2"/>
  <c r="D1832" i="2"/>
  <c r="D1833" i="2"/>
  <c r="D1834" i="2"/>
  <c r="D1835" i="2"/>
  <c r="D1836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6" i="2"/>
  <c r="D1868" i="2"/>
  <c r="D1869" i="2"/>
  <c r="D1870" i="2"/>
  <c r="D1871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8" i="2"/>
  <c r="D1939" i="2"/>
  <c r="D1940" i="2"/>
  <c r="D1942" i="2"/>
  <c r="D1943" i="2"/>
  <c r="D1944" i="2"/>
  <c r="D1945" i="2"/>
  <c r="D1946" i="2"/>
  <c r="D1947" i="2"/>
  <c r="D1948" i="2"/>
  <c r="D1949" i="2"/>
  <c r="D1950" i="2"/>
  <c r="D1951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2" i="2"/>
  <c r="D1993" i="2"/>
  <c r="D1994" i="2"/>
  <c r="D1995" i="2"/>
  <c r="D1996" i="2"/>
  <c r="D1997" i="2"/>
  <c r="D1998" i="2"/>
  <c r="D1999" i="2"/>
  <c r="D2000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4" i="2"/>
  <c r="D2045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5" i="2"/>
  <c r="D2066" i="2"/>
  <c r="D2067" i="2"/>
  <c r="D2068" i="2"/>
  <c r="D2069" i="2"/>
  <c r="D2070" i="2"/>
  <c r="D2071" i="2"/>
  <c r="D2072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9" i="2"/>
  <c r="D2091" i="2"/>
  <c r="D2092" i="2"/>
  <c r="D2093" i="2"/>
  <c r="D2095" i="2"/>
  <c r="D2096" i="2"/>
  <c r="D2097" i="2"/>
  <c r="D2098" i="2"/>
  <c r="D2099" i="2"/>
  <c r="D2101" i="2"/>
  <c r="D2102" i="2"/>
  <c r="D2104" i="2"/>
  <c r="D2106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9" i="2"/>
  <c r="D2130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6" i="2"/>
  <c r="D2147" i="2"/>
  <c r="D2148" i="2"/>
  <c r="D2149" i="2"/>
  <c r="D2151" i="2"/>
  <c r="D2152" i="2"/>
  <c r="D2153" i="2"/>
  <c r="D2154" i="2"/>
  <c r="D2155" i="2"/>
  <c r="D2156" i="2"/>
  <c r="D2157" i="2"/>
  <c r="D2158" i="2"/>
  <c r="D2159" i="2"/>
  <c r="D2161" i="2"/>
  <c r="D2163" i="2"/>
  <c r="D2164" i="2"/>
  <c r="D2166" i="2"/>
  <c r="D2167" i="2"/>
  <c r="D2169" i="2"/>
  <c r="D2171" i="2"/>
  <c r="D2172" i="2"/>
  <c r="D2173" i="2"/>
  <c r="D2174" i="2"/>
  <c r="D2176" i="2"/>
  <c r="D2178" i="2"/>
  <c r="D2179" i="2"/>
  <c r="D2180" i="2"/>
  <c r="D2181" i="2"/>
  <c r="D2182" i="2"/>
  <c r="D2184" i="2"/>
  <c r="D2185" i="2"/>
  <c r="D2186" i="2"/>
  <c r="D2187" i="2"/>
  <c r="D2188" i="2"/>
  <c r="D2191" i="2"/>
  <c r="D2192" i="2"/>
  <c r="D2193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1" i="2"/>
  <c r="D2222" i="2"/>
  <c r="D2224" i="2"/>
  <c r="D2225" i="2"/>
  <c r="D2226" i="2"/>
  <c r="D2227" i="2"/>
  <c r="D2228" i="2"/>
  <c r="D2229" i="2"/>
  <c r="D2230" i="2"/>
  <c r="D2231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8" i="2"/>
  <c r="D2379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2" i="2"/>
  <c r="D2423" i="2"/>
  <c r="D2424" i="2"/>
  <c r="D2425" i="2"/>
  <c r="D2426" i="2"/>
  <c r="D2427" i="2"/>
  <c r="D2428" i="2"/>
  <c r="D2429" i="2"/>
  <c r="D2430" i="2"/>
  <c r="D2431" i="2"/>
  <c r="D2432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7" i="2"/>
  <c r="D2489" i="2"/>
  <c r="D2490" i="2"/>
  <c r="D2491" i="2"/>
  <c r="D2492" i="2"/>
  <c r="D2493" i="2"/>
  <c r="D2494" i="2"/>
  <c r="D2495" i="2"/>
  <c r="D2496" i="2"/>
  <c r="D2497" i="2"/>
  <c r="D2498" i="2"/>
  <c r="D2499" i="2"/>
  <c r="D2501" i="2"/>
  <c r="D2502" i="2"/>
  <c r="D2503" i="2"/>
  <c r="D2504" i="2"/>
  <c r="D2506" i="2"/>
  <c r="D2507" i="2"/>
  <c r="D2508" i="2"/>
  <c r="D2509" i="2"/>
  <c r="D2510" i="2"/>
  <c r="D2511" i="2"/>
  <c r="D2512" i="2"/>
  <c r="D2513" i="2"/>
  <c r="D2515" i="2"/>
  <c r="D2516" i="2"/>
  <c r="D2517" i="2"/>
  <c r="D2518" i="2"/>
  <c r="D2519" i="2"/>
  <c r="D2520" i="2"/>
  <c r="D2521" i="2"/>
  <c r="D2522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9" i="2"/>
  <c r="D2540" i="2"/>
  <c r="D2541" i="2"/>
  <c r="D2542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8" i="2"/>
  <c r="D2569" i="2"/>
  <c r="D2570" i="2"/>
  <c r="D2571" i="2"/>
  <c r="D2573" i="2"/>
  <c r="D2575" i="2"/>
  <c r="D2577" i="2"/>
  <c r="D2578" i="2"/>
  <c r="D2579" i="2"/>
  <c r="D2580" i="2"/>
  <c r="D2581" i="2"/>
  <c r="D2582" i="2"/>
  <c r="D2583" i="2"/>
  <c r="D2584" i="2"/>
  <c r="D2585" i="2"/>
  <c r="D2586" i="2"/>
  <c r="D2588" i="2"/>
  <c r="D2589" i="2"/>
  <c r="D2590" i="2"/>
  <c r="D2592" i="2"/>
  <c r="D2594" i="2"/>
  <c r="D2595" i="2"/>
  <c r="D2596" i="2"/>
  <c r="D2597" i="2"/>
  <c r="D2598" i="2"/>
  <c r="D2599" i="2"/>
  <c r="D2600" i="2"/>
  <c r="D2602" i="2"/>
  <c r="D2603" i="2"/>
  <c r="D2604" i="2"/>
  <c r="D2605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2" i="2"/>
  <c r="D2653" i="2"/>
  <c r="D2654" i="2"/>
  <c r="D2655" i="2"/>
  <c r="D2657" i="2"/>
  <c r="D2658" i="2"/>
  <c r="D2659" i="2"/>
  <c r="D2660" i="2"/>
  <c r="D2661" i="2"/>
  <c r="D2662" i="2"/>
  <c r="D2663" i="2"/>
  <c r="D2664" i="2"/>
  <c r="D2665" i="2"/>
  <c r="D2666" i="2"/>
  <c r="D2667" i="2"/>
  <c r="D2669" i="2"/>
  <c r="D2670" i="2"/>
  <c r="D2671" i="2"/>
  <c r="D2672" i="2"/>
  <c r="D2674" i="2"/>
  <c r="D2675" i="2"/>
  <c r="D2676" i="2"/>
  <c r="D2678" i="2"/>
  <c r="D2679" i="2"/>
  <c r="D2680" i="2"/>
  <c r="D2682" i="2"/>
  <c r="D2683" i="2"/>
  <c r="D2684" i="2"/>
  <c r="D2685" i="2"/>
  <c r="D2687" i="2"/>
  <c r="D2688" i="2"/>
  <c r="D2689" i="2"/>
  <c r="D2690" i="2"/>
  <c r="D2691" i="2"/>
  <c r="D2692" i="2"/>
  <c r="D2693" i="2"/>
  <c r="D2694" i="2"/>
  <c r="D2695" i="2"/>
  <c r="D2696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6" i="2"/>
  <c r="D2767" i="2"/>
  <c r="D2768" i="2"/>
  <c r="D2769" i="2"/>
  <c r="D2770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8" i="2"/>
  <c r="D2819" i="2"/>
  <c r="D2820" i="2"/>
  <c r="D2821" i="2"/>
  <c r="D2822" i="2"/>
  <c r="D2823" i="2"/>
  <c r="D2824" i="2"/>
  <c r="D2825" i="2"/>
  <c r="D2826" i="2"/>
  <c r="D2827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6" i="2"/>
  <c r="D2847" i="2"/>
  <c r="D2848" i="2"/>
  <c r="D2850" i="2"/>
  <c r="D2852" i="2"/>
  <c r="D2853" i="2"/>
  <c r="D2854" i="2"/>
  <c r="D2856" i="2"/>
  <c r="D2857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5" i="2"/>
  <c r="D2876" i="2"/>
  <c r="D2877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2" i="2"/>
  <c r="D2893" i="2"/>
  <c r="D2894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9" i="2"/>
  <c r="D2910" i="2"/>
  <c r="D2911" i="2"/>
  <c r="D2912" i="2"/>
  <c r="D2913" i="2"/>
  <c r="D2914" i="2"/>
  <c r="D2916" i="2"/>
  <c r="D2917" i="2"/>
  <c r="D2919" i="2"/>
  <c r="D2920" i="2"/>
  <c r="D2921" i="2"/>
  <c r="D2922" i="2"/>
  <c r="D2923" i="2"/>
  <c r="D2925" i="2"/>
  <c r="D2926" i="2"/>
  <c r="D2927" i="2"/>
  <c r="D2929" i="2"/>
  <c r="D2931" i="2"/>
  <c r="D2932" i="2"/>
  <c r="D2933" i="2"/>
  <c r="D2934" i="2"/>
  <c r="D2935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6" i="2"/>
  <c r="D2987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9" i="2"/>
  <c r="D3090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6" i="2"/>
  <c r="D3297" i="2"/>
  <c r="D3298" i="2"/>
  <c r="D3299" i="2"/>
  <c r="D3300" i="2"/>
  <c r="D3301" i="2"/>
  <c r="D3302" i="2"/>
  <c r="D3303" i="2"/>
  <c r="D3304" i="2"/>
  <c r="D3305" i="2"/>
  <c r="D3306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6" i="2"/>
  <c r="D3327" i="2"/>
  <c r="D3329" i="2"/>
  <c r="D3330" i="2"/>
  <c r="D3331" i="2"/>
  <c r="D3332" i="2"/>
  <c r="D3333" i="2"/>
  <c r="D3335" i="2"/>
  <c r="D3336" i="2"/>
  <c r="D3337" i="2"/>
  <c r="D3338" i="2"/>
  <c r="D3339" i="2"/>
  <c r="D3340" i="2"/>
  <c r="D3341" i="2"/>
  <c r="D3342" i="2"/>
  <c r="D3344" i="2"/>
  <c r="D3345" i="2"/>
  <c r="D3347" i="2"/>
  <c r="D3348" i="2"/>
  <c r="D3349" i="2"/>
  <c r="D3350" i="2"/>
  <c r="D3352" i="2"/>
  <c r="D3353" i="2"/>
  <c r="D3354" i="2"/>
  <c r="D3355" i="2"/>
  <c r="D3357" i="2"/>
  <c r="D3358" i="2"/>
  <c r="D3359" i="2"/>
  <c r="D3360" i="2"/>
  <c r="D3362" i="2"/>
  <c r="D3363" i="2"/>
  <c r="D3364" i="2"/>
  <c r="D3365" i="2"/>
  <c r="D3366" i="2"/>
  <c r="D3367" i="2"/>
  <c r="D3368" i="2"/>
  <c r="D3370" i="2"/>
  <c r="D3371" i="2"/>
  <c r="D3372" i="2"/>
  <c r="D3373" i="2"/>
  <c r="D3374" i="2"/>
  <c r="D3375" i="2"/>
  <c r="D3377" i="2"/>
  <c r="D3378" i="2"/>
  <c r="D3380" i="2"/>
  <c r="D3381" i="2"/>
  <c r="D3382" i="2"/>
  <c r="D3383" i="2"/>
  <c r="D3385" i="2"/>
  <c r="D3386" i="2"/>
  <c r="E2589" i="2" l="1"/>
  <c r="G2588" i="2"/>
  <c r="G2589" i="2" l="1"/>
  <c r="E2590" i="2"/>
  <c r="E2592" i="2" l="1"/>
  <c r="G2590" i="2"/>
  <c r="E2594" i="2" l="1"/>
  <c r="G2592" i="2"/>
  <c r="E2595" i="2" l="1"/>
  <c r="G2594" i="2"/>
  <c r="E2596" i="2" l="1"/>
  <c r="G2595" i="2"/>
  <c r="E2597" i="2" l="1"/>
  <c r="G2596" i="2"/>
  <c r="E2598" i="2" l="1"/>
  <c r="G2597" i="2"/>
  <c r="E2599" i="2" l="1"/>
  <c r="G2598" i="2"/>
  <c r="E2600" i="2" l="1"/>
  <c r="G2599" i="2"/>
  <c r="E2602" i="2" l="1"/>
  <c r="G2600" i="2"/>
  <c r="E2603" i="2" l="1"/>
  <c r="G2602" i="2"/>
  <c r="E2604" i="2" l="1"/>
  <c r="G2603" i="2"/>
  <c r="E2605" i="2" l="1"/>
  <c r="G2604" i="2"/>
  <c r="K2607" i="2" l="1"/>
  <c r="M2607" i="2" s="1"/>
  <c r="N2607" i="2" s="1"/>
  <c r="E2607" i="2"/>
  <c r="G2605" i="2"/>
  <c r="E2608" i="2" l="1"/>
  <c r="G2607" i="2"/>
  <c r="E2609" i="2" l="1"/>
  <c r="G2608" i="2"/>
  <c r="E2610" i="2" l="1"/>
  <c r="G2609" i="2"/>
  <c r="E2611" i="2" l="1"/>
  <c r="G2610" i="2"/>
  <c r="E2612" i="2" l="1"/>
  <c r="G2611" i="2"/>
  <c r="E2613" i="2" l="1"/>
  <c r="G2612" i="2"/>
  <c r="E2614" i="2" l="1"/>
  <c r="G2613" i="2"/>
  <c r="E2615" i="2" l="1"/>
  <c r="G2614" i="2"/>
  <c r="E2616" i="2" l="1"/>
  <c r="G2615" i="2"/>
  <c r="E2617" i="2" l="1"/>
  <c r="G2616" i="2"/>
  <c r="E2618" i="2" l="1"/>
  <c r="G2617" i="2"/>
  <c r="E2619" i="2" l="1"/>
  <c r="G2618" i="2"/>
  <c r="E2620" i="2" l="1"/>
  <c r="G2619" i="2"/>
  <c r="E2621" i="2" l="1"/>
  <c r="G2620" i="2"/>
  <c r="K2623" i="2" l="1"/>
  <c r="M2623" i="2" s="1"/>
  <c r="N2623" i="2" s="1"/>
  <c r="E2623" i="2"/>
  <c r="G2621" i="2"/>
  <c r="E2624" i="2" l="1"/>
  <c r="G2623" i="2"/>
  <c r="E2625" i="2" l="1"/>
  <c r="G2624" i="2"/>
  <c r="E2626" i="2" l="1"/>
  <c r="G2625" i="2"/>
  <c r="E2627" i="2" l="1"/>
  <c r="G2626" i="2"/>
  <c r="E2628" i="2" l="1"/>
  <c r="G2627" i="2"/>
  <c r="E2629" i="2" l="1"/>
  <c r="G2628" i="2"/>
  <c r="E2630" i="2" l="1"/>
  <c r="G2629" i="2"/>
  <c r="E2631" i="2" l="1"/>
  <c r="G2630" i="2"/>
  <c r="E2632" i="2" l="1"/>
  <c r="G2631" i="2"/>
  <c r="E2633" i="2" l="1"/>
  <c r="G2632" i="2"/>
  <c r="E2634" i="2" l="1"/>
  <c r="G2633" i="2"/>
  <c r="E2635" i="2" l="1"/>
  <c r="G2634" i="2"/>
  <c r="E2636" i="2" l="1"/>
  <c r="G2635" i="2"/>
  <c r="E2637" i="2" l="1"/>
  <c r="G2636" i="2"/>
  <c r="E2638" i="2" l="1"/>
  <c r="G2637" i="2"/>
  <c r="E2639" i="2" l="1"/>
  <c r="G2638" i="2"/>
  <c r="E2640" i="2" l="1"/>
  <c r="G2639" i="2"/>
  <c r="E2641" i="2" l="1"/>
  <c r="G2640" i="2"/>
  <c r="E2642" i="2" l="1"/>
  <c r="G2641" i="2"/>
  <c r="E2643" i="2" l="1"/>
  <c r="G2642" i="2"/>
  <c r="E2644" i="2" l="1"/>
  <c r="G2643" i="2"/>
  <c r="E2645" i="2" l="1"/>
  <c r="G2644" i="2"/>
  <c r="E2646" i="2" l="1"/>
  <c r="G2645" i="2"/>
  <c r="E2647" i="2" l="1"/>
  <c r="G2646" i="2"/>
  <c r="E2648" i="2" l="1"/>
  <c r="G2647" i="2"/>
  <c r="E2649" i="2" l="1"/>
  <c r="G2648" i="2"/>
  <c r="E2650" i="2" l="1"/>
  <c r="G2649" i="2"/>
  <c r="K2652" i="2" l="1"/>
  <c r="M2652" i="2" s="1"/>
  <c r="N2652" i="2" s="1"/>
  <c r="E2652" i="2"/>
  <c r="G2650" i="2"/>
  <c r="G2652" i="2" l="1"/>
  <c r="E2653" i="2"/>
  <c r="G2653" i="2" l="1"/>
  <c r="E2654" i="2"/>
  <c r="E2655" i="2" l="1"/>
  <c r="G2654" i="2"/>
  <c r="E2657" i="2" l="1"/>
  <c r="G2655" i="2"/>
  <c r="E2658" i="2" l="1"/>
  <c r="G2657" i="2"/>
  <c r="E2659" i="2" l="1"/>
  <c r="G2658" i="2"/>
  <c r="E2660" i="2" l="1"/>
  <c r="G2659" i="2"/>
  <c r="E2661" i="2" l="1"/>
  <c r="G2660" i="2"/>
  <c r="E2662" i="2" l="1"/>
  <c r="G2661" i="2"/>
  <c r="E2663" i="2" l="1"/>
  <c r="G2662" i="2"/>
  <c r="E2664" i="2" l="1"/>
  <c r="G2663" i="2"/>
  <c r="E2665" i="2" l="1"/>
  <c r="G2664" i="2"/>
  <c r="G2665" i="2" l="1"/>
  <c r="E2666" i="2"/>
  <c r="E2667" i="2" l="1"/>
  <c r="G2666" i="2"/>
  <c r="G2667" i="2" l="1"/>
  <c r="E2669" i="2"/>
  <c r="G2669" i="2" l="1"/>
  <c r="E2670" i="2"/>
  <c r="G2670" i="2" l="1"/>
  <c r="E2671" i="2"/>
  <c r="E2672" i="2" l="1"/>
  <c r="G2671" i="2"/>
  <c r="G2672" i="2" l="1"/>
  <c r="E2674" i="2"/>
  <c r="G2674" i="2" l="1"/>
  <c r="E2675" i="2"/>
  <c r="G2675" i="2" l="1"/>
  <c r="E2676" i="2"/>
  <c r="G2676" i="2" l="1"/>
  <c r="G2678" i="2" l="1"/>
  <c r="E2679" i="2"/>
  <c r="G2679" i="2" l="1"/>
  <c r="E2680" i="2"/>
  <c r="M2678" i="2" l="1"/>
  <c r="N2678" i="2" s="1"/>
  <c r="E2682" i="2"/>
  <c r="G2680" i="2"/>
  <c r="E2683" i="2" l="1"/>
  <c r="G2682" i="2"/>
  <c r="G2683" i="2" l="1"/>
  <c r="E2684" i="2"/>
  <c r="E2685" i="2" l="1"/>
  <c r="G2684" i="2"/>
  <c r="G2685" i="2" l="1"/>
  <c r="E2687" i="2"/>
  <c r="E2688" i="2" l="1"/>
  <c r="G2687" i="2"/>
  <c r="G2688" i="2" l="1"/>
  <c r="E2689" i="2"/>
  <c r="G2689" i="2" l="1"/>
  <c r="E2690" i="2"/>
  <c r="G2690" i="2" l="1"/>
  <c r="E2691" i="2"/>
  <c r="G2691" i="2" l="1"/>
  <c r="E2692" i="2"/>
  <c r="G2692" i="2" l="1"/>
  <c r="E2693" i="2"/>
  <c r="G2693" i="2" l="1"/>
  <c r="E2694" i="2"/>
  <c r="E2695" i="2" l="1"/>
  <c r="G2694" i="2"/>
  <c r="G2695" i="2" l="1"/>
  <c r="E2696" i="2"/>
  <c r="K2698" i="2" l="1"/>
  <c r="M2698" i="2" s="1"/>
  <c r="N2698" i="2" s="1"/>
  <c r="E2698" i="2"/>
  <c r="G2696" i="2"/>
  <c r="G2698" i="2" l="1"/>
  <c r="E2699" i="2"/>
  <c r="G2699" i="2" l="1"/>
  <c r="E2700" i="2"/>
  <c r="G2700" i="2" l="1"/>
  <c r="E2701" i="2"/>
  <c r="E2702" i="2" l="1"/>
  <c r="G2701" i="2"/>
  <c r="G2702" i="2" l="1"/>
  <c r="E2703" i="2"/>
  <c r="G2703" i="2" l="1"/>
  <c r="E2704" i="2"/>
  <c r="G2704" i="2" l="1"/>
  <c r="E2705" i="2"/>
  <c r="E2706" i="2" l="1"/>
  <c r="G2705" i="2"/>
  <c r="G2706" i="2" l="1"/>
  <c r="E2707" i="2"/>
  <c r="G2707" i="2" l="1"/>
  <c r="E2708" i="2"/>
  <c r="E2709" i="2" l="1"/>
  <c r="G2708" i="2"/>
  <c r="G2709" i="2" l="1"/>
  <c r="E2710" i="2"/>
  <c r="G2710" i="2" l="1"/>
  <c r="E2711" i="2"/>
  <c r="G2711" i="2" l="1"/>
  <c r="E2712" i="2"/>
  <c r="G2712" i="2" l="1"/>
  <c r="E2714" i="2"/>
  <c r="G2714" i="2" l="1"/>
  <c r="E2715" i="2"/>
  <c r="G2715" i="2" l="1"/>
  <c r="E2716" i="2"/>
  <c r="G2716" i="2" l="1"/>
  <c r="E2717" i="2"/>
  <c r="E2718" i="2" l="1"/>
  <c r="G2717" i="2"/>
  <c r="G2718" i="2" l="1"/>
  <c r="E2719" i="2"/>
  <c r="G2719" i="2" l="1"/>
  <c r="E2720" i="2"/>
  <c r="G2720" i="2" l="1"/>
  <c r="E2721" i="2"/>
  <c r="E2722" i="2" l="1"/>
  <c r="G2721" i="2"/>
  <c r="G2722" i="2" l="1"/>
  <c r="E2723" i="2"/>
  <c r="G2723" i="2" l="1"/>
  <c r="E2724" i="2"/>
  <c r="G2724" i="2" l="1"/>
  <c r="E2725" i="2"/>
  <c r="G2725" i="2" l="1"/>
  <c r="E2726" i="2"/>
  <c r="E2727" i="2" l="1"/>
  <c r="G2726" i="2"/>
  <c r="G2727" i="2" l="1"/>
  <c r="E2728" i="2"/>
  <c r="G2728" i="2" l="1"/>
  <c r="E2729" i="2"/>
  <c r="G2729" i="2" l="1"/>
  <c r="E2730" i="2"/>
  <c r="E2731" i="2" l="1"/>
  <c r="G2730" i="2"/>
  <c r="G2731" i="2" l="1"/>
  <c r="E2732" i="2"/>
  <c r="G2732" i="2" l="1"/>
  <c r="E2733" i="2"/>
  <c r="G2733" i="2" l="1"/>
  <c r="E2734" i="2"/>
  <c r="G2734" i="2" l="1"/>
  <c r="E2735" i="2"/>
  <c r="E2736" i="2" l="1"/>
  <c r="G2735" i="2"/>
  <c r="G2736" i="2" l="1"/>
  <c r="E2737" i="2"/>
  <c r="G2737" i="2" l="1"/>
  <c r="E2738" i="2"/>
  <c r="E2739" i="2" l="1"/>
  <c r="G2738" i="2"/>
  <c r="G2739" i="2" l="1"/>
  <c r="E2740" i="2"/>
  <c r="K2742" i="2" l="1"/>
  <c r="M2742" i="2" s="1"/>
  <c r="N2742" i="2" s="1"/>
  <c r="E2742" i="2"/>
  <c r="G2740" i="2"/>
  <c r="E2743" i="2" l="1"/>
  <c r="G2742" i="2"/>
  <c r="G2743" i="2" l="1"/>
  <c r="E2744" i="2"/>
  <c r="G2744" i="2" l="1"/>
  <c r="E2745" i="2"/>
  <c r="G2745" i="2" l="1"/>
  <c r="E2746" i="2"/>
  <c r="G2746" i="2" l="1"/>
  <c r="E2747" i="2"/>
  <c r="E2748" i="2" l="1"/>
  <c r="G2747" i="2"/>
  <c r="G2748" i="2" l="1"/>
  <c r="E2749" i="2"/>
  <c r="E2750" i="2" l="1"/>
  <c r="G2749" i="2"/>
  <c r="G2750" i="2" l="1"/>
  <c r="E2751" i="2"/>
  <c r="G2751" i="2" l="1"/>
  <c r="E2752" i="2"/>
  <c r="E2753" i="2" l="1"/>
  <c r="G2752" i="2"/>
  <c r="G2753" i="2" l="1"/>
  <c r="E2754" i="2"/>
  <c r="E2755" i="2" l="1"/>
  <c r="G2754" i="2"/>
  <c r="G2755" i="2" l="1"/>
  <c r="E2756" i="2"/>
  <c r="G2756" i="2" l="1"/>
  <c r="E2757" i="2"/>
  <c r="G2757" i="2" l="1"/>
  <c r="E2758" i="2"/>
  <c r="G2758" i="2" l="1"/>
  <c r="E2759" i="2"/>
  <c r="G2759" i="2" l="1"/>
  <c r="E2760" i="2"/>
  <c r="G2760" i="2" l="1"/>
  <c r="E2761" i="2"/>
  <c r="G2761" i="2" l="1"/>
  <c r="E2762" i="2"/>
  <c r="E2763" i="2" l="1"/>
  <c r="G2762" i="2"/>
  <c r="E2764" i="2" l="1"/>
  <c r="G2763" i="2"/>
  <c r="G2764" i="2" l="1"/>
  <c r="E2766" i="2"/>
  <c r="G2766" i="2" l="1"/>
  <c r="E2767" i="2"/>
  <c r="G2767" i="2" l="1"/>
  <c r="E2768" i="2"/>
  <c r="G2768" i="2" l="1"/>
  <c r="E2769" i="2"/>
  <c r="G2769" i="2" l="1"/>
  <c r="E2770" i="2"/>
  <c r="M2772" i="2" l="1"/>
  <c r="N2772" i="2" s="1"/>
  <c r="G2770" i="2"/>
  <c r="G2772" i="2" l="1"/>
  <c r="E2773" i="2"/>
  <c r="G2773" i="2" l="1"/>
  <c r="G2774" i="2" l="1"/>
  <c r="G2775" i="2" l="1"/>
  <c r="G2776" i="2" l="1"/>
  <c r="G2777" i="2" l="1"/>
  <c r="G2778" i="2" l="1"/>
  <c r="G2779" i="2" l="1"/>
  <c r="G2780" i="2" l="1"/>
  <c r="G2781" i="2" l="1"/>
  <c r="G2782" i="2" l="1"/>
  <c r="G2783" i="2" l="1"/>
  <c r="G2784" i="2" l="1"/>
  <c r="G2785" i="2" l="1"/>
  <c r="G2786" i="2" l="1"/>
  <c r="G2787" i="2" l="1"/>
  <c r="G2788" i="2" l="1"/>
  <c r="G2789" i="2" l="1"/>
  <c r="G2790" i="2" l="1"/>
  <c r="G2791" i="2" l="1"/>
  <c r="G2792" i="2" l="1"/>
  <c r="G2793" i="2" l="1"/>
  <c r="G2794" i="2" l="1"/>
  <c r="G2795" i="2" l="1"/>
  <c r="G2796" i="2" l="1"/>
  <c r="G2797" i="2" l="1"/>
  <c r="G2798" i="2" l="1"/>
  <c r="G2799" i="2" l="1"/>
  <c r="G2800" i="2" l="1"/>
  <c r="G2801" i="2" l="1"/>
  <c r="G2802" i="2" l="1"/>
  <c r="G2803" i="2" l="1"/>
  <c r="G2804" i="2" l="1"/>
  <c r="G2805" i="2" l="1"/>
  <c r="G2806" i="2" l="1"/>
  <c r="G2807" i="2" l="1"/>
  <c r="G2808" i="2" l="1"/>
  <c r="G2809" i="2" l="1"/>
  <c r="G2810" i="2" l="1"/>
  <c r="G2811" i="2" l="1"/>
  <c r="G2812" i="2" l="1"/>
  <c r="G2813" i="2" l="1"/>
  <c r="G2814" i="2" l="1"/>
  <c r="G2815" i="2" l="1"/>
  <c r="G2816" i="2" l="1"/>
  <c r="G2818" i="2" l="1"/>
  <c r="G2819" i="2" l="1"/>
  <c r="G2820" i="2" l="1"/>
  <c r="G2821" i="2" l="1"/>
  <c r="G2822" i="2" l="1"/>
  <c r="G2823" i="2" l="1"/>
  <c r="G2824" i="2" l="1"/>
  <c r="G2825" i="2" l="1"/>
  <c r="G2826" i="2" l="1"/>
  <c r="E2829" i="2" l="1"/>
  <c r="K2829" i="2"/>
  <c r="M2829" i="2" s="1"/>
  <c r="N2829" i="2" s="1"/>
  <c r="G2827" i="2"/>
  <c r="E2830" i="2" l="1"/>
  <c r="G2829" i="2"/>
  <c r="E2831" i="2" l="1"/>
  <c r="G2830" i="2"/>
  <c r="E2832" i="2" l="1"/>
  <c r="G2831" i="2"/>
  <c r="E2833" i="2" l="1"/>
  <c r="G2832" i="2"/>
  <c r="E2834" i="2" l="1"/>
  <c r="G2833" i="2"/>
  <c r="E2835" i="2" l="1"/>
  <c r="G2834" i="2"/>
  <c r="E2836" i="2" l="1"/>
  <c r="G2835" i="2"/>
  <c r="E2837" i="2" l="1"/>
  <c r="G2836" i="2"/>
  <c r="E2838" i="2" l="1"/>
  <c r="G2837" i="2"/>
  <c r="E2839" i="2" l="1"/>
  <c r="G2838" i="2"/>
  <c r="E2840" i="2" l="1"/>
  <c r="G2839" i="2"/>
  <c r="E2841" i="2" l="1"/>
  <c r="G2840" i="2"/>
  <c r="E2842" i="2" l="1"/>
  <c r="G2841" i="2"/>
  <c r="E2843" i="2" l="1"/>
  <c r="G2842" i="2"/>
  <c r="E2844" i="2" l="1"/>
  <c r="G2843" i="2"/>
  <c r="K2846" i="2" l="1"/>
  <c r="M2846" i="2" s="1"/>
  <c r="N2846" i="2" s="1"/>
  <c r="E2846" i="2"/>
  <c r="G2844" i="2"/>
  <c r="E2847" i="2" l="1"/>
  <c r="G2846" i="2"/>
  <c r="E2848" i="2" l="1"/>
  <c r="G2847" i="2"/>
  <c r="E2850" i="2" l="1"/>
  <c r="G2848" i="2"/>
  <c r="E2852" i="2" l="1"/>
  <c r="G2850" i="2"/>
  <c r="E2853" i="2" l="1"/>
  <c r="G2852" i="2"/>
  <c r="E2854" i="2" l="1"/>
  <c r="G2853" i="2"/>
  <c r="E2856" i="2" l="1"/>
  <c r="G2854" i="2"/>
  <c r="E2857" i="2" l="1"/>
  <c r="G2856" i="2"/>
  <c r="E2859" i="2" l="1"/>
  <c r="G2857" i="2"/>
  <c r="E2860" i="2" l="1"/>
  <c r="G2859" i="2"/>
  <c r="E2861" i="2" l="1"/>
  <c r="G2860" i="2"/>
  <c r="E2862" i="2" l="1"/>
  <c r="G2861" i="2"/>
  <c r="E2863" i="2" l="1"/>
  <c r="G2862" i="2"/>
  <c r="E2864" i="2" l="1"/>
  <c r="G2863" i="2"/>
  <c r="E2865" i="2" l="1"/>
  <c r="G2864" i="2"/>
  <c r="E2866" i="2" l="1"/>
  <c r="G2865" i="2"/>
  <c r="E2867" i="2" l="1"/>
  <c r="G2866" i="2"/>
  <c r="E2868" i="2" l="1"/>
  <c r="G2867" i="2"/>
  <c r="E2869" i="2" l="1"/>
  <c r="G2868" i="2"/>
  <c r="E2870" i="2" l="1"/>
  <c r="G2869" i="2"/>
  <c r="E2871" i="2" l="1"/>
  <c r="G2870" i="2"/>
  <c r="E2872" i="2" l="1"/>
  <c r="G2871" i="2"/>
  <c r="E2873" i="2" l="1"/>
  <c r="G2872" i="2"/>
  <c r="E2875" i="2" l="1"/>
  <c r="G2873" i="2"/>
  <c r="E2876" i="2" l="1"/>
  <c r="G2875" i="2"/>
  <c r="E2877" i="2" l="1"/>
  <c r="G2876" i="2"/>
  <c r="E2879" i="2" l="1"/>
  <c r="G2877" i="2"/>
  <c r="E2880" i="2" l="1"/>
  <c r="G2879" i="2"/>
  <c r="E2881" i="2" l="1"/>
  <c r="G2880" i="2"/>
  <c r="E2882" i="2" l="1"/>
  <c r="G2881" i="2"/>
  <c r="G2882" i="2" l="1"/>
  <c r="E2883" i="2"/>
  <c r="G2883" i="2" l="1"/>
  <c r="E2884" i="2"/>
  <c r="G2884" i="2" l="1"/>
  <c r="E2885" i="2"/>
  <c r="E2886" i="2" l="1"/>
  <c r="G2885" i="2"/>
  <c r="E2887" i="2" l="1"/>
  <c r="G2886" i="2"/>
  <c r="G2887" i="2" l="1"/>
  <c r="E2888" i="2"/>
  <c r="G2888" i="2" l="1"/>
  <c r="E2889" i="2"/>
  <c r="G2889" i="2" l="1"/>
  <c r="E2890" i="2"/>
  <c r="G2890" i="2" l="1"/>
  <c r="E2892" i="2"/>
  <c r="E2893" i="2" l="1"/>
  <c r="G2892" i="2"/>
  <c r="E2894" i="2" l="1"/>
  <c r="G2893" i="2"/>
  <c r="G2894" i="2" l="1"/>
  <c r="E2896" i="2"/>
  <c r="E2897" i="2" l="1"/>
  <c r="G2896" i="2"/>
  <c r="G2897" i="2" l="1"/>
  <c r="E2898" i="2"/>
  <c r="E2899" i="2" l="1"/>
  <c r="G2898" i="2"/>
  <c r="E2900" i="2" l="1"/>
  <c r="G2899" i="2"/>
  <c r="G2900" i="2" l="1"/>
  <c r="E2901" i="2"/>
  <c r="E2902" i="2" l="1"/>
  <c r="G2901" i="2"/>
  <c r="E2903" i="2" l="1"/>
  <c r="G2902" i="2"/>
  <c r="G2903" i="2" l="1"/>
  <c r="E2904" i="2"/>
  <c r="G2904" i="2" l="1"/>
  <c r="E2905" i="2"/>
  <c r="G2905" i="2" l="1"/>
  <c r="E2906" i="2"/>
  <c r="G2906" i="2" l="1"/>
  <c r="E2907" i="2"/>
  <c r="E2909" i="2" l="1"/>
  <c r="G2907" i="2"/>
  <c r="E2910" i="2" l="1"/>
  <c r="G2909" i="2"/>
  <c r="G2910" i="2" l="1"/>
  <c r="E2911" i="2"/>
  <c r="E2912" i="2" l="1"/>
  <c r="G2911" i="2"/>
  <c r="G2912" i="2" l="1"/>
  <c r="E2913" i="2"/>
  <c r="G2913" i="2" l="1"/>
  <c r="E2914" i="2"/>
  <c r="G2914" i="2" l="1"/>
  <c r="E2916" i="2"/>
  <c r="E2917" i="2" l="1"/>
  <c r="G2916" i="2"/>
  <c r="G2917" i="2" l="1"/>
  <c r="E2919" i="2"/>
  <c r="E2920" i="2" l="1"/>
  <c r="G2919" i="2"/>
  <c r="G2920" i="2" l="1"/>
  <c r="E2921" i="2"/>
  <c r="E2922" i="2" l="1"/>
  <c r="G2921" i="2"/>
  <c r="G2922" i="2" l="1"/>
  <c r="E2923" i="2"/>
  <c r="E2925" i="2" l="1"/>
  <c r="G2923" i="2"/>
  <c r="G2925" i="2" l="1"/>
  <c r="E2926" i="2"/>
  <c r="E2927" i="2" l="1"/>
  <c r="G2926" i="2"/>
  <c r="G2927" i="2" l="1"/>
  <c r="E2929" i="2"/>
  <c r="K2931" i="2" l="1"/>
  <c r="M2931" i="2" s="1"/>
  <c r="N2931" i="2" s="1"/>
  <c r="E2931" i="2"/>
  <c r="G2929" i="2"/>
  <c r="E2932" i="2" l="1"/>
  <c r="G2931" i="2"/>
  <c r="E2933" i="2" l="1"/>
  <c r="G2932" i="2"/>
  <c r="E2934" i="2" l="1"/>
  <c r="G2933" i="2"/>
  <c r="E2935" i="2" l="1"/>
  <c r="G2934" i="2"/>
  <c r="E2937" i="2" l="1"/>
  <c r="G2935" i="2"/>
  <c r="E2938" i="2" l="1"/>
  <c r="G2937" i="2"/>
  <c r="E2939" i="2" l="1"/>
  <c r="G2938" i="2"/>
  <c r="E2940" i="2" l="1"/>
  <c r="G2939" i="2"/>
  <c r="E2941" i="2" l="1"/>
  <c r="G2940" i="2"/>
  <c r="E2942" i="2" l="1"/>
  <c r="G2941" i="2"/>
  <c r="E2943" i="2" l="1"/>
  <c r="G2942" i="2"/>
  <c r="E2944" i="2" l="1"/>
  <c r="G2943" i="2"/>
  <c r="E2945" i="2" l="1"/>
  <c r="G2944" i="2"/>
  <c r="E2946" i="2" l="1"/>
  <c r="G2945" i="2"/>
  <c r="E2947" i="2" l="1"/>
  <c r="G2946" i="2"/>
  <c r="E2948" i="2" l="1"/>
  <c r="G2947" i="2"/>
  <c r="E2949" i="2" l="1"/>
  <c r="G2948" i="2"/>
  <c r="E2950" i="2" l="1"/>
  <c r="G2949" i="2"/>
  <c r="E2951" i="2" l="1"/>
  <c r="G2950" i="2"/>
  <c r="E2952" i="2" l="1"/>
  <c r="G2951" i="2"/>
  <c r="E2953" i="2" l="1"/>
  <c r="G2952" i="2"/>
  <c r="E2954" i="2" l="1"/>
  <c r="G2953" i="2"/>
  <c r="E2955" i="2" l="1"/>
  <c r="G2954" i="2"/>
  <c r="E2956" i="2" l="1"/>
  <c r="G2955" i="2"/>
  <c r="E2957" i="2" l="1"/>
  <c r="G2956" i="2"/>
  <c r="E2958" i="2" l="1"/>
  <c r="G2957" i="2"/>
  <c r="E2959" i="2" l="1"/>
  <c r="G2958" i="2"/>
  <c r="E2960" i="2" l="1"/>
  <c r="G2959" i="2"/>
  <c r="E2961" i="2" l="1"/>
  <c r="G2960" i="2"/>
  <c r="E2962" i="2" l="1"/>
  <c r="G2961" i="2"/>
  <c r="E2963" i="2" l="1"/>
  <c r="G2962" i="2"/>
  <c r="E2964" i="2" l="1"/>
  <c r="G2963" i="2"/>
  <c r="E2965" i="2" l="1"/>
  <c r="G2964" i="2"/>
  <c r="E2966" i="2" l="1"/>
  <c r="G2965" i="2"/>
  <c r="E2967" i="2" l="1"/>
  <c r="G2966" i="2"/>
  <c r="E2968" i="2" l="1"/>
  <c r="G2967" i="2"/>
  <c r="E2969" i="2" l="1"/>
  <c r="G2968" i="2"/>
  <c r="E2970" i="2" l="1"/>
  <c r="G2969" i="2"/>
  <c r="E2971" i="2" l="1"/>
  <c r="G2970" i="2"/>
  <c r="E2972" i="2" l="1"/>
  <c r="G2971" i="2"/>
  <c r="E2973" i="2" l="1"/>
  <c r="G2972" i="2"/>
  <c r="E2974" i="2" l="1"/>
  <c r="G2973" i="2"/>
  <c r="E2975" i="2" l="1"/>
  <c r="G2974" i="2"/>
  <c r="E2976" i="2" l="1"/>
  <c r="G2975" i="2"/>
  <c r="E2977" i="2" l="1"/>
  <c r="G2976" i="2"/>
  <c r="E2978" i="2" l="1"/>
  <c r="G2977" i="2"/>
  <c r="E2979" i="2" l="1"/>
  <c r="G2978" i="2"/>
  <c r="E2980" i="2" l="1"/>
  <c r="G2979" i="2"/>
  <c r="E2981" i="2" l="1"/>
  <c r="G2980" i="2"/>
  <c r="E2982" i="2" l="1"/>
  <c r="G2981" i="2"/>
  <c r="E2983" i="2" l="1"/>
  <c r="G2982" i="2"/>
  <c r="E2984" i="2" l="1"/>
  <c r="G2983" i="2"/>
  <c r="E2986" i="2" l="1"/>
  <c r="G2984" i="2"/>
  <c r="E2987" i="2" l="1"/>
  <c r="G2986" i="2"/>
  <c r="K2989" i="2" l="1"/>
  <c r="M2989" i="2" s="1"/>
  <c r="N2989" i="2" s="1"/>
  <c r="E2989" i="2"/>
  <c r="G2987" i="2"/>
  <c r="E2990" i="2" l="1"/>
  <c r="G2989" i="2"/>
  <c r="E2991" i="2" l="1"/>
  <c r="G2990" i="2"/>
  <c r="E2992" i="2" l="1"/>
  <c r="G2991" i="2"/>
  <c r="E2993" i="2" l="1"/>
  <c r="G2992" i="2"/>
  <c r="E2994" i="2" l="1"/>
  <c r="G2993" i="2"/>
  <c r="E2995" i="2" l="1"/>
  <c r="G2994" i="2"/>
  <c r="E2996" i="2" l="1"/>
  <c r="G2995" i="2"/>
  <c r="E2997" i="2" l="1"/>
  <c r="G2996" i="2"/>
  <c r="E2998" i="2" l="1"/>
  <c r="G2997" i="2"/>
  <c r="E2999" i="2" l="1"/>
  <c r="G2998" i="2"/>
  <c r="E3000" i="2" l="1"/>
  <c r="G2999" i="2"/>
  <c r="E3001" i="2" l="1"/>
  <c r="G3000" i="2"/>
  <c r="E3002" i="2" l="1"/>
  <c r="G3001" i="2"/>
  <c r="E3003" i="2" l="1"/>
  <c r="G3002" i="2"/>
  <c r="E3004" i="2" l="1"/>
  <c r="G3003" i="2"/>
  <c r="E3005" i="2" l="1"/>
  <c r="G3004" i="2"/>
  <c r="E3006" i="2" l="1"/>
  <c r="G3005" i="2"/>
  <c r="E3007" i="2" l="1"/>
  <c r="G3006" i="2"/>
  <c r="E3008" i="2" l="1"/>
  <c r="G3007" i="2"/>
  <c r="E3009" i="2" l="1"/>
  <c r="G3008" i="2"/>
  <c r="E3010" i="2" l="1"/>
  <c r="G3009" i="2"/>
  <c r="E3011" i="2" l="1"/>
  <c r="G3010" i="2"/>
  <c r="E3012" i="2" l="1"/>
  <c r="G3011" i="2"/>
  <c r="E3013" i="2" l="1"/>
  <c r="G3012" i="2"/>
  <c r="E3014" i="2" l="1"/>
  <c r="G3013" i="2"/>
  <c r="E3015" i="2" l="1"/>
  <c r="G3014" i="2"/>
  <c r="E3016" i="2" l="1"/>
  <c r="G3015" i="2"/>
  <c r="E3017" i="2" l="1"/>
  <c r="G3016" i="2"/>
  <c r="E3018" i="2" l="1"/>
  <c r="G3017" i="2"/>
  <c r="E3019" i="2" l="1"/>
  <c r="G3018" i="2"/>
  <c r="E3020" i="2" l="1"/>
  <c r="G3019" i="2"/>
  <c r="E3021" i="2" l="1"/>
  <c r="G3020" i="2"/>
  <c r="E3022" i="2" l="1"/>
  <c r="G3021" i="2"/>
  <c r="E3023" i="2" l="1"/>
  <c r="G3022" i="2"/>
  <c r="E3024" i="2" l="1"/>
  <c r="G3023" i="2"/>
  <c r="E3025" i="2" l="1"/>
  <c r="G3024" i="2"/>
  <c r="E3026" i="2" l="1"/>
  <c r="G3025" i="2"/>
  <c r="E3027" i="2" l="1"/>
  <c r="G3026" i="2"/>
  <c r="E3028" i="2" l="1"/>
  <c r="G3027" i="2"/>
  <c r="E3029" i="2" l="1"/>
  <c r="G3028" i="2"/>
  <c r="E3030" i="2" l="1"/>
  <c r="G3029" i="2"/>
  <c r="E3031" i="2" l="1"/>
  <c r="G3030" i="2"/>
  <c r="E3032" i="2" l="1"/>
  <c r="G3031" i="2"/>
  <c r="E3033" i="2" l="1"/>
  <c r="G3032" i="2"/>
  <c r="E3034" i="2" l="1"/>
  <c r="G3033" i="2"/>
  <c r="E3035" i="2" l="1"/>
  <c r="G3034" i="2"/>
  <c r="E3036" i="2" l="1"/>
  <c r="G3035" i="2"/>
  <c r="E3038" i="2" l="1"/>
  <c r="G3036" i="2"/>
  <c r="E3039" i="2" l="1"/>
  <c r="G3038" i="2"/>
  <c r="E3040" i="2" l="1"/>
  <c r="G3039" i="2"/>
  <c r="E3041" i="2" l="1"/>
  <c r="G3040" i="2"/>
  <c r="E3042" i="2" l="1"/>
  <c r="G3041" i="2"/>
  <c r="G3042" i="2" l="1"/>
  <c r="E3043" i="2"/>
  <c r="E3044" i="2" l="1"/>
  <c r="G3043" i="2"/>
  <c r="E3045" i="2" l="1"/>
  <c r="G3044" i="2"/>
  <c r="G3045" i="2" l="1"/>
  <c r="E3046" i="2"/>
  <c r="G3046" i="2" l="1"/>
  <c r="E3047" i="2"/>
  <c r="G3047" i="2" l="1"/>
  <c r="E3048" i="2"/>
  <c r="G3048" i="2" l="1"/>
  <c r="E3049" i="2"/>
  <c r="E3050" i="2" l="1"/>
  <c r="G3049" i="2"/>
  <c r="G3050" i="2" l="1"/>
  <c r="E3051" i="2"/>
  <c r="G3051" i="2" l="1"/>
  <c r="E3052" i="2"/>
  <c r="G3052" i="2" l="1"/>
  <c r="E3053" i="2"/>
  <c r="G3053" i="2" l="1"/>
  <c r="E3054" i="2"/>
  <c r="E3055" i="2" l="1"/>
  <c r="G3054" i="2"/>
  <c r="E3056" i="2" l="1"/>
  <c r="G3055" i="2"/>
  <c r="E3057" i="2" l="1"/>
  <c r="G3056" i="2"/>
  <c r="E3058" i="2" l="1"/>
  <c r="G3057" i="2"/>
  <c r="G3058" i="2" l="1"/>
  <c r="E3059" i="2"/>
  <c r="E3060" i="2" l="1"/>
  <c r="G3059" i="2"/>
  <c r="G3060" i="2" l="1"/>
  <c r="E3061" i="2"/>
  <c r="G3061" i="2" l="1"/>
  <c r="E3062" i="2"/>
  <c r="G3062" i="2" l="1"/>
  <c r="E3063" i="2"/>
  <c r="G3063" i="2" l="1"/>
  <c r="E3064" i="2"/>
  <c r="G3064" i="2" l="1"/>
  <c r="E3065" i="2"/>
  <c r="E3066" i="2" l="1"/>
  <c r="G3065" i="2"/>
  <c r="G3066" i="2" l="1"/>
  <c r="E3067" i="2"/>
  <c r="G3067" i="2" l="1"/>
  <c r="E3068" i="2"/>
  <c r="G3068" i="2" l="1"/>
  <c r="E3069" i="2"/>
  <c r="G3069" i="2" l="1"/>
  <c r="E3070" i="2"/>
  <c r="G3070" i="2" l="1"/>
  <c r="E3071" i="2"/>
  <c r="E3072" i="2" l="1"/>
  <c r="G3071" i="2"/>
  <c r="G3072" i="2" l="1"/>
  <c r="E3073" i="2"/>
  <c r="G3073" i="2" l="1"/>
  <c r="E3074" i="2"/>
  <c r="G3074" i="2" l="1"/>
  <c r="E3075" i="2"/>
  <c r="G3075" i="2" l="1"/>
  <c r="E3076" i="2"/>
  <c r="G3076" i="2" l="1"/>
  <c r="E3077" i="2"/>
  <c r="G3077" i="2" l="1"/>
  <c r="E3078" i="2"/>
  <c r="G3078" i="2" l="1"/>
  <c r="E3079" i="2"/>
  <c r="G3079" i="2" l="1"/>
  <c r="E3080" i="2"/>
  <c r="E3081" i="2" l="1"/>
  <c r="G3080" i="2"/>
  <c r="G3081" i="2" l="1"/>
  <c r="E3082" i="2"/>
  <c r="G3082" i="2" l="1"/>
  <c r="E3083" i="2"/>
  <c r="G3083" i="2" l="1"/>
  <c r="E3084" i="2"/>
  <c r="G3084" i="2" l="1"/>
  <c r="E3085" i="2"/>
  <c r="G3085" i="2" l="1"/>
  <c r="E3086" i="2"/>
  <c r="G3086" i="2" l="1"/>
  <c r="E3087" i="2"/>
  <c r="E3089" i="2" l="1"/>
  <c r="G3087" i="2"/>
  <c r="G3089" i="2" l="1"/>
  <c r="E3090" i="2"/>
  <c r="K3092" i="2" l="1"/>
  <c r="M3092" i="2" s="1"/>
  <c r="N3092" i="2" s="1"/>
  <c r="E3092" i="2"/>
  <c r="G3090" i="2"/>
  <c r="G3092" i="2" l="1"/>
  <c r="E3093" i="2"/>
  <c r="G3093" i="2" l="1"/>
  <c r="E3094" i="2"/>
  <c r="G3094" i="2" l="1"/>
  <c r="E3095" i="2"/>
  <c r="G3095" i="2" l="1"/>
  <c r="E3096" i="2"/>
  <c r="G3096" i="2" l="1"/>
  <c r="E3097" i="2"/>
  <c r="E3098" i="2" l="1"/>
  <c r="G3097" i="2"/>
  <c r="E3099" i="2" l="1"/>
  <c r="G3098" i="2"/>
  <c r="G3099" i="2" l="1"/>
  <c r="E3100" i="2"/>
  <c r="E3101" i="2" l="1"/>
  <c r="G3100" i="2"/>
  <c r="G3101" i="2" l="1"/>
  <c r="E3102" i="2"/>
  <c r="G3102" i="2" l="1"/>
  <c r="E3103" i="2"/>
  <c r="E3104" i="2" l="1"/>
  <c r="G3103" i="2"/>
  <c r="G3104" i="2" l="1"/>
  <c r="E3105" i="2"/>
  <c r="G3105" i="2" l="1"/>
  <c r="E3106" i="2"/>
  <c r="E3107" i="2" l="1"/>
  <c r="G3106" i="2"/>
  <c r="G3107" i="2" l="1"/>
  <c r="E3108" i="2"/>
  <c r="G3108" i="2" l="1"/>
  <c r="E3109" i="2"/>
  <c r="G3109" i="2" l="1"/>
  <c r="E3110" i="2"/>
  <c r="G3110" i="2" l="1"/>
  <c r="E3111" i="2"/>
  <c r="E3112" i="2" l="1"/>
  <c r="G3111" i="2"/>
  <c r="E3113" i="2" l="1"/>
  <c r="G3112" i="2"/>
  <c r="E3114" i="2" l="1"/>
  <c r="G3113" i="2"/>
  <c r="E3115" i="2" l="1"/>
  <c r="G3114" i="2"/>
  <c r="E3116" i="2" l="1"/>
  <c r="G3115" i="2"/>
  <c r="G3116" i="2" l="1"/>
  <c r="E3117" i="2"/>
  <c r="G3117" i="2" l="1"/>
  <c r="E3118" i="2"/>
  <c r="G3118" i="2" l="1"/>
  <c r="E3119" i="2"/>
  <c r="E3120" i="2" l="1"/>
  <c r="G3119" i="2"/>
  <c r="G3120" i="2" l="1"/>
  <c r="E3121" i="2"/>
  <c r="E3122" i="2" l="1"/>
  <c r="G3121" i="2"/>
  <c r="G3122" i="2" l="1"/>
  <c r="E3123" i="2"/>
  <c r="G3123" i="2" l="1"/>
  <c r="E3124" i="2"/>
  <c r="G3124" i="2" l="1"/>
  <c r="E3125" i="2"/>
  <c r="G3125" i="2" l="1"/>
  <c r="E3126" i="2"/>
  <c r="K3128" i="2" l="1"/>
  <c r="M3128" i="2" s="1"/>
  <c r="N3128" i="2" s="1"/>
  <c r="E3128" i="2"/>
  <c r="G3126" i="2"/>
  <c r="E3129" i="2" l="1"/>
  <c r="G3128" i="2"/>
  <c r="G3129" i="2" l="1"/>
  <c r="E3130" i="2"/>
  <c r="E3131" i="2" l="1"/>
  <c r="G3130" i="2"/>
  <c r="E3132" i="2" l="1"/>
  <c r="G3131" i="2"/>
  <c r="E3133" i="2" l="1"/>
  <c r="G3132" i="2"/>
  <c r="E3134" i="2" l="1"/>
  <c r="G3133" i="2"/>
  <c r="E3135" i="2" l="1"/>
  <c r="G3134" i="2"/>
  <c r="E3136" i="2" l="1"/>
  <c r="G3135" i="2"/>
  <c r="E3137" i="2" l="1"/>
  <c r="G3136" i="2"/>
  <c r="E3138" i="2" l="1"/>
  <c r="G3137" i="2"/>
  <c r="E3139" i="2" l="1"/>
  <c r="G3138" i="2"/>
  <c r="E3140" i="2" l="1"/>
  <c r="G3139" i="2"/>
  <c r="E3142" i="2" l="1"/>
  <c r="G3140" i="2"/>
  <c r="E3143" i="2" l="1"/>
  <c r="G3142" i="2"/>
  <c r="E3144" i="2" l="1"/>
  <c r="G3143" i="2"/>
  <c r="E3145" i="2" l="1"/>
  <c r="G3144" i="2"/>
  <c r="E3146" i="2" l="1"/>
  <c r="G3145" i="2"/>
  <c r="E3147" i="2" l="1"/>
  <c r="G3146" i="2"/>
  <c r="E3148" i="2" l="1"/>
  <c r="G3147" i="2"/>
  <c r="E3149" i="2" l="1"/>
  <c r="G3148" i="2"/>
  <c r="E3150" i="2" l="1"/>
  <c r="G3149" i="2"/>
  <c r="E3151" i="2" l="1"/>
  <c r="G3150" i="2"/>
  <c r="E3152" i="2" l="1"/>
  <c r="G3151" i="2"/>
  <c r="E3153" i="2" l="1"/>
  <c r="G3152" i="2"/>
  <c r="E3154" i="2" l="1"/>
  <c r="G3153" i="2"/>
  <c r="E3155" i="2" l="1"/>
  <c r="G3154" i="2"/>
  <c r="E3156" i="2" l="1"/>
  <c r="G3155" i="2"/>
  <c r="E3157" i="2" l="1"/>
  <c r="G3156" i="2"/>
  <c r="E3158" i="2" l="1"/>
  <c r="G3157" i="2"/>
  <c r="E3159" i="2" l="1"/>
  <c r="G3158" i="2"/>
  <c r="E3160" i="2" l="1"/>
  <c r="G3159" i="2"/>
  <c r="E3161" i="2" l="1"/>
  <c r="G3160" i="2"/>
  <c r="E3162" i="2" l="1"/>
  <c r="G3161" i="2"/>
  <c r="E3163" i="2" l="1"/>
  <c r="G3162" i="2"/>
  <c r="E3164" i="2" l="1"/>
  <c r="G3163" i="2"/>
  <c r="E3165" i="2" l="1"/>
  <c r="G3164" i="2"/>
  <c r="E3166" i="2" l="1"/>
  <c r="G3165" i="2"/>
  <c r="E3167" i="2" l="1"/>
  <c r="G3166" i="2"/>
  <c r="E3168" i="2" l="1"/>
  <c r="G3167" i="2"/>
  <c r="E3169" i="2" l="1"/>
  <c r="G3168" i="2"/>
  <c r="E3170" i="2" l="1"/>
  <c r="G3169" i="2"/>
  <c r="E3171" i="2" l="1"/>
  <c r="G3170" i="2"/>
  <c r="E3172" i="2" l="1"/>
  <c r="G3171" i="2"/>
  <c r="E3173" i="2" l="1"/>
  <c r="G3172" i="2"/>
  <c r="E3174" i="2" l="1"/>
  <c r="G3173" i="2"/>
  <c r="E3175" i="2" l="1"/>
  <c r="G3174" i="2"/>
  <c r="E3176" i="2" l="1"/>
  <c r="G3175" i="2"/>
  <c r="E3177" i="2" l="1"/>
  <c r="G3176" i="2"/>
  <c r="E3178" i="2" l="1"/>
  <c r="G3177" i="2"/>
  <c r="E3179" i="2" l="1"/>
  <c r="G3178" i="2"/>
  <c r="E3180" i="2" l="1"/>
  <c r="G3179" i="2"/>
  <c r="E3181" i="2" l="1"/>
  <c r="G3180" i="2"/>
  <c r="E3182" i="2" l="1"/>
  <c r="G3181" i="2"/>
  <c r="E3183" i="2" l="1"/>
  <c r="G3182" i="2"/>
  <c r="E3184" i="2" l="1"/>
  <c r="G3183" i="2"/>
  <c r="G3184" i="2" l="1"/>
  <c r="E3185" i="2"/>
  <c r="G3185" i="2" l="1"/>
  <c r="E3186" i="2"/>
  <c r="E3187" i="2" l="1"/>
  <c r="G3186" i="2"/>
  <c r="G3187" i="2" l="1"/>
  <c r="E3188" i="2"/>
  <c r="E3189" i="2" l="1"/>
  <c r="G3188" i="2"/>
  <c r="G3189" i="2" l="1"/>
  <c r="E3190" i="2"/>
  <c r="G3190" i="2" l="1"/>
  <c r="E3191" i="2"/>
  <c r="E3193" i="2" l="1"/>
  <c r="G3191" i="2"/>
  <c r="G3193" i="2" l="1"/>
  <c r="E3194" i="2"/>
  <c r="E3195" i="2" l="1"/>
  <c r="G3194" i="2"/>
  <c r="G3195" i="2" l="1"/>
  <c r="E3196" i="2"/>
  <c r="G3196" i="2" l="1"/>
  <c r="E3197" i="2"/>
  <c r="G3197" i="2" l="1"/>
  <c r="E3198" i="2"/>
  <c r="E3199" i="2" l="1"/>
  <c r="G3198" i="2"/>
  <c r="G3199" i="2" l="1"/>
  <c r="E3200" i="2"/>
  <c r="E3201" i="2" l="1"/>
  <c r="G3200" i="2"/>
  <c r="G3201" i="2" l="1"/>
  <c r="E3202" i="2"/>
  <c r="G3202" i="2" l="1"/>
  <c r="E3203" i="2"/>
  <c r="G3203" i="2" l="1"/>
  <c r="E3204" i="2"/>
  <c r="E3205" i="2" l="1"/>
  <c r="G3204" i="2"/>
  <c r="G3205" i="2" l="1"/>
  <c r="E3206" i="2"/>
  <c r="G3206" i="2" l="1"/>
  <c r="E3207" i="2"/>
  <c r="G3207" i="2" l="1"/>
  <c r="E3208" i="2"/>
  <c r="G3208" i="2" l="1"/>
  <c r="E3209" i="2"/>
  <c r="E3210" i="2" l="1"/>
  <c r="G3209" i="2"/>
  <c r="G3210" i="2" l="1"/>
  <c r="E3211" i="2"/>
  <c r="G3211" i="2" l="1"/>
  <c r="E3212" i="2"/>
  <c r="G3212" i="2" l="1"/>
  <c r="E3213" i="2"/>
  <c r="G3213" i="2" l="1"/>
  <c r="E3214" i="2"/>
  <c r="E3215" i="2" l="1"/>
  <c r="G3214" i="2"/>
  <c r="G3215" i="2" l="1"/>
  <c r="E3216" i="2"/>
  <c r="E3217" i="2" l="1"/>
  <c r="G3216" i="2"/>
  <c r="G3217" i="2" l="1"/>
  <c r="E3218" i="2"/>
  <c r="E3219" i="2" l="1"/>
  <c r="G3218" i="2"/>
  <c r="G3219" i="2" l="1"/>
  <c r="E3220" i="2"/>
  <c r="G3220" i="2" l="1"/>
  <c r="E3221" i="2"/>
  <c r="G3221" i="2" l="1"/>
  <c r="E3222" i="2"/>
  <c r="G3222" i="2" l="1"/>
  <c r="E3223" i="2"/>
  <c r="G3223" i="2" l="1"/>
  <c r="E3224" i="2"/>
  <c r="E3225" i="2" l="1"/>
  <c r="G3224" i="2"/>
  <c r="G3225" i="2" l="1"/>
  <c r="E3226" i="2"/>
  <c r="G3226" i="2" l="1"/>
  <c r="E3227" i="2"/>
  <c r="E3228" i="2" l="1"/>
  <c r="G3227" i="2"/>
  <c r="E3229" i="2" l="1"/>
  <c r="G3228" i="2"/>
  <c r="E3230" i="2" l="1"/>
  <c r="G3229" i="2"/>
  <c r="G3230" i="2" l="1"/>
  <c r="E3231" i="2"/>
  <c r="G3231" i="2" l="1"/>
  <c r="E3232" i="2"/>
  <c r="G3232" i="2" l="1"/>
  <c r="E3233" i="2"/>
  <c r="G3233" i="2" l="1"/>
  <c r="E3234" i="2"/>
  <c r="E3235" i="2" l="1"/>
  <c r="G3234" i="2"/>
  <c r="E3236" i="2" l="1"/>
  <c r="G3235" i="2"/>
  <c r="G3236" i="2" l="1"/>
  <c r="E3237" i="2"/>
  <c r="G3237" i="2" l="1"/>
  <c r="E3238" i="2"/>
  <c r="G3238" i="2" l="1"/>
  <c r="E3239" i="2"/>
  <c r="G3239" i="2" l="1"/>
  <c r="E3240" i="2"/>
  <c r="G3240" i="2" l="1"/>
  <c r="E3241" i="2"/>
  <c r="G3241" i="2" l="1"/>
  <c r="E3242" i="2"/>
  <c r="E3244" i="2" l="1"/>
  <c r="G3242" i="2"/>
  <c r="G3244" i="2" l="1"/>
  <c r="E3245" i="2"/>
  <c r="G3245" i="2" l="1"/>
  <c r="E3246" i="2"/>
  <c r="G3246" i="2" l="1"/>
  <c r="E3247" i="2"/>
  <c r="E3248" i="2" l="1"/>
  <c r="G3247" i="2"/>
  <c r="E3249" i="2" l="1"/>
  <c r="G3248" i="2"/>
  <c r="G3249" i="2" l="1"/>
  <c r="E3250" i="2"/>
  <c r="E3251" i="2" l="1"/>
  <c r="G3250" i="2"/>
  <c r="E3252" i="2" l="1"/>
  <c r="G3251" i="2"/>
  <c r="E3253" i="2" l="1"/>
  <c r="G3252" i="2"/>
  <c r="G3253" i="2" l="1"/>
  <c r="E3254" i="2"/>
  <c r="E3255" i="2" l="1"/>
  <c r="G3254" i="2"/>
  <c r="E3256" i="2" l="1"/>
  <c r="G3255" i="2"/>
  <c r="E3257" i="2" l="1"/>
  <c r="G3256" i="2"/>
  <c r="E3258" i="2" l="1"/>
  <c r="G3257" i="2"/>
  <c r="E3259" i="2" l="1"/>
  <c r="G3258" i="2"/>
  <c r="E3260" i="2" l="1"/>
  <c r="G3259" i="2"/>
  <c r="K3262" i="2" l="1"/>
  <c r="M3262" i="2" s="1"/>
  <c r="N3262" i="2" s="1"/>
  <c r="E3262" i="2"/>
  <c r="G3260" i="2"/>
  <c r="E3263" i="2" l="1"/>
  <c r="G3262" i="2"/>
  <c r="G3263" i="2" l="1"/>
  <c r="E3264" i="2"/>
  <c r="E3265" i="2" l="1"/>
  <c r="G3264" i="2"/>
  <c r="E3266" i="2" l="1"/>
  <c r="G3265" i="2"/>
  <c r="E3267" i="2" l="1"/>
  <c r="G3266" i="2"/>
  <c r="E3268" i="2" l="1"/>
  <c r="G3267" i="2"/>
  <c r="E3269" i="2" l="1"/>
  <c r="G3268" i="2"/>
  <c r="E3270" i="2" l="1"/>
  <c r="G3269" i="2"/>
  <c r="E3271" i="2" l="1"/>
  <c r="G3270" i="2"/>
  <c r="E3272" i="2" l="1"/>
  <c r="G3271" i="2"/>
  <c r="E3273" i="2" l="1"/>
  <c r="G3272" i="2"/>
  <c r="E3274" i="2" l="1"/>
  <c r="G3273" i="2"/>
  <c r="E3275" i="2" l="1"/>
  <c r="G3274" i="2"/>
  <c r="E3276" i="2" l="1"/>
  <c r="G3275" i="2"/>
  <c r="E3277" i="2" l="1"/>
  <c r="G3276" i="2"/>
  <c r="E3278" i="2" l="1"/>
  <c r="G3277" i="2"/>
  <c r="E3279" i="2" l="1"/>
  <c r="G3278" i="2"/>
  <c r="E3280" i="2" l="1"/>
  <c r="G3279" i="2"/>
  <c r="E3281" i="2" l="1"/>
  <c r="G3280" i="2"/>
  <c r="E3282" i="2" l="1"/>
  <c r="G3281" i="2"/>
  <c r="E3283" i="2" l="1"/>
  <c r="G3282" i="2"/>
  <c r="E3284" i="2" l="1"/>
  <c r="G3283" i="2"/>
  <c r="E3285" i="2" l="1"/>
  <c r="G3284" i="2"/>
  <c r="E3286" i="2" l="1"/>
  <c r="G3285" i="2"/>
  <c r="E3287" i="2" l="1"/>
  <c r="G3286" i="2"/>
  <c r="E3288" i="2" l="1"/>
  <c r="G3287" i="2"/>
  <c r="E3289" i="2" l="1"/>
  <c r="G3288" i="2"/>
  <c r="E3290" i="2" l="1"/>
  <c r="G3289" i="2"/>
  <c r="E3291" i="2" l="1"/>
  <c r="G3290" i="2"/>
  <c r="E3292" i="2" l="1"/>
  <c r="G3291" i="2"/>
  <c r="E3293" i="2" l="1"/>
  <c r="G3292" i="2"/>
  <c r="E3294" i="2" l="1"/>
  <c r="G3293" i="2"/>
  <c r="E3296" i="2" l="1"/>
  <c r="G3294" i="2"/>
  <c r="E3297" i="2" l="1"/>
  <c r="G3296" i="2"/>
  <c r="E3298" i="2" l="1"/>
  <c r="G3297" i="2"/>
  <c r="E3299" i="2" l="1"/>
  <c r="G3298" i="2"/>
  <c r="E3300" i="2" l="1"/>
  <c r="G3299" i="2"/>
  <c r="E3301" i="2" l="1"/>
  <c r="G3300" i="2"/>
  <c r="E3302" i="2" l="1"/>
  <c r="G3301" i="2"/>
  <c r="E3303" i="2" l="1"/>
  <c r="G3302" i="2"/>
  <c r="E3304" i="2" l="1"/>
  <c r="G3303" i="2"/>
  <c r="E3305" i="2" l="1"/>
  <c r="G3304" i="2"/>
  <c r="E3306" i="2" l="1"/>
  <c r="G3305" i="2"/>
  <c r="K3308" i="2" l="1"/>
  <c r="M3308" i="2" s="1"/>
  <c r="N3308" i="2" s="1"/>
  <c r="E3308" i="2"/>
  <c r="G3306" i="2"/>
  <c r="E3309" i="2" l="1"/>
  <c r="G3308" i="2"/>
  <c r="E3310" i="2" l="1"/>
  <c r="G3309" i="2"/>
  <c r="E3311" i="2" l="1"/>
  <c r="G3310" i="2"/>
  <c r="E3312" i="2" l="1"/>
  <c r="G3311" i="2"/>
  <c r="E3313" i="2" l="1"/>
  <c r="G3312" i="2"/>
  <c r="E3314" i="2" l="1"/>
  <c r="G3313" i="2"/>
  <c r="E3315" i="2" l="1"/>
  <c r="G3314" i="2"/>
  <c r="E3316" i="2" l="1"/>
  <c r="G3315" i="2"/>
  <c r="E3317" i="2" l="1"/>
  <c r="G3316" i="2"/>
  <c r="E3318" i="2" l="1"/>
  <c r="G3317" i="2"/>
  <c r="E3319" i="2" l="1"/>
  <c r="G3318" i="2"/>
  <c r="E3320" i="2" l="1"/>
  <c r="G3319" i="2"/>
  <c r="E3321" i="2" l="1"/>
  <c r="G3320" i="2"/>
  <c r="E3322" i="2" l="1"/>
  <c r="G3321" i="2"/>
  <c r="E3323" i="2" l="1"/>
  <c r="G3322" i="2"/>
  <c r="E3324" i="2" l="1"/>
  <c r="G3323" i="2"/>
  <c r="K3326" i="2" l="1"/>
  <c r="M3326" i="2" s="1"/>
  <c r="N3326" i="2" s="1"/>
  <c r="E3326" i="2"/>
  <c r="G3324" i="2"/>
  <c r="E3327" i="2" l="1"/>
  <c r="G3326" i="2"/>
  <c r="G3327" i="2" l="1"/>
  <c r="E3329" i="2"/>
  <c r="E3330" i="2" l="1"/>
  <c r="G3329" i="2"/>
  <c r="E3331" i="2" l="1"/>
  <c r="G3330" i="2"/>
  <c r="E3332" i="2" l="1"/>
  <c r="G3331" i="2"/>
  <c r="E3333" i="2" l="1"/>
  <c r="G3332" i="2"/>
  <c r="G3333" i="2" l="1"/>
  <c r="E3335" i="2"/>
  <c r="G3335" i="2" l="1"/>
  <c r="E3336" i="2"/>
  <c r="E3337" i="2" l="1"/>
  <c r="G3336" i="2"/>
  <c r="E3338" i="2" l="1"/>
  <c r="G3337" i="2"/>
  <c r="E3339" i="2" l="1"/>
  <c r="G3338" i="2"/>
  <c r="E3340" i="2" l="1"/>
  <c r="G3339" i="2"/>
  <c r="E3341" i="2" l="1"/>
  <c r="G3340" i="2"/>
  <c r="E3342" i="2" l="1"/>
  <c r="G3341" i="2"/>
  <c r="E3344" i="2" l="1"/>
  <c r="K3344" i="2"/>
  <c r="M3344" i="2" s="1"/>
  <c r="N3344" i="2" s="1"/>
  <c r="G3342" i="2"/>
  <c r="E3345" i="2" l="1"/>
  <c r="G3344" i="2"/>
  <c r="E3347" i="2" l="1"/>
  <c r="G3345" i="2"/>
  <c r="E3348" i="2" l="1"/>
  <c r="G3347" i="2"/>
  <c r="G3348" i="2" l="1"/>
  <c r="E3349" i="2"/>
  <c r="E3350" i="2" l="1"/>
  <c r="G3349" i="2"/>
  <c r="E3352" i="2" l="1"/>
  <c r="G3350" i="2"/>
  <c r="E3353" i="2" l="1"/>
  <c r="G3352" i="2"/>
  <c r="E3354" i="2" l="1"/>
  <c r="G3353" i="2"/>
  <c r="E3355" i="2" l="1"/>
  <c r="G3354" i="2"/>
  <c r="G3355" i="2" l="1"/>
  <c r="E3357" i="2"/>
  <c r="G3357" i="2" l="1"/>
  <c r="E3358" i="2"/>
  <c r="G3358" i="2" l="1"/>
  <c r="E3359" i="2"/>
  <c r="G3359" i="2" l="1"/>
  <c r="E3360" i="2"/>
  <c r="E3362" i="2" l="1"/>
  <c r="G3360" i="2"/>
  <c r="G3362" i="2" l="1"/>
  <c r="E3363" i="2"/>
  <c r="G3363" i="2" l="1"/>
  <c r="E3364" i="2"/>
  <c r="G3364" i="2" l="1"/>
  <c r="E3365" i="2"/>
  <c r="E3366" i="2" l="1"/>
  <c r="G3365" i="2"/>
  <c r="G3366" i="2" l="1"/>
  <c r="E3367" i="2"/>
  <c r="G3367" i="2" l="1"/>
  <c r="E3368" i="2"/>
  <c r="G3368" i="2" l="1"/>
  <c r="E3370" i="2"/>
  <c r="E3371" i="2" l="1"/>
  <c r="G3370" i="2"/>
  <c r="G3371" i="2" l="1"/>
  <c r="E3372" i="2"/>
  <c r="G3372" i="2" l="1"/>
  <c r="E3373" i="2"/>
  <c r="G3373" i="2" l="1"/>
  <c r="E3374" i="2"/>
  <c r="E3375" i="2" l="1"/>
  <c r="G3374" i="2"/>
  <c r="K3377" i="2" l="1"/>
  <c r="M3377" i="2" s="1"/>
  <c r="N3377" i="2" s="1"/>
  <c r="E3377" i="2"/>
  <c r="G3375" i="2"/>
  <c r="G3377" i="2" l="1"/>
  <c r="E3378" i="2"/>
  <c r="G3378" i="2" l="1"/>
  <c r="E3380" i="2"/>
  <c r="G3380" i="2" l="1"/>
  <c r="E3381" i="2"/>
  <c r="G3381" i="2" l="1"/>
  <c r="E3382" i="2"/>
  <c r="G3382" i="2" l="1"/>
  <c r="E3383" i="2"/>
  <c r="E3385" i="2" l="1"/>
  <c r="G3383" i="2"/>
  <c r="G3385" i="2" l="1"/>
  <c r="E3386" i="2"/>
  <c r="G3386" i="2" s="1"/>
</calcChain>
</file>

<file path=xl/sharedStrings.xml><?xml version="1.0" encoding="utf-8"?>
<sst xmlns="http://schemas.openxmlformats.org/spreadsheetml/2006/main" count="4705" uniqueCount="3638">
  <si>
    <t>CH</t>
  </si>
  <si>
    <t>RL</t>
  </si>
  <si>
    <t>DIFF IN RL</t>
  </si>
  <si>
    <t>R 582</t>
  </si>
  <si>
    <t>R 114</t>
  </si>
  <si>
    <t>R 240</t>
  </si>
  <si>
    <t>R 172</t>
  </si>
  <si>
    <t>F 237</t>
  </si>
  <si>
    <t>F 134</t>
  </si>
  <si>
    <t>F 521</t>
  </si>
  <si>
    <t>R 629</t>
  </si>
  <si>
    <t>F 216</t>
  </si>
  <si>
    <t>F 620</t>
  </si>
  <si>
    <t>R 893</t>
  </si>
  <si>
    <t>F 101</t>
  </si>
  <si>
    <t>F 223</t>
  </si>
  <si>
    <t>R 270</t>
  </si>
  <si>
    <t>F 241</t>
  </si>
  <si>
    <t>R 647</t>
  </si>
  <si>
    <t>F 186</t>
  </si>
  <si>
    <t>R 1637</t>
  </si>
  <si>
    <t>R 897</t>
  </si>
  <si>
    <t>F 108</t>
  </si>
  <si>
    <t>F  708</t>
  </si>
  <si>
    <t>R 960</t>
  </si>
  <si>
    <t>F 8421</t>
  </si>
  <si>
    <t>R 743</t>
  </si>
  <si>
    <t>F 1176</t>
  </si>
  <si>
    <t>R 1472</t>
  </si>
  <si>
    <t>R 168</t>
  </si>
  <si>
    <t>R 100</t>
  </si>
  <si>
    <t>R 123</t>
  </si>
  <si>
    <t>F 275</t>
  </si>
  <si>
    <t>F 236</t>
  </si>
  <si>
    <t>F 181</t>
  </si>
  <si>
    <t>F 457</t>
  </si>
  <si>
    <t>R 1137</t>
  </si>
  <si>
    <t>F 193</t>
  </si>
  <si>
    <t>F 121</t>
  </si>
  <si>
    <t>F 1646</t>
  </si>
  <si>
    <t>R 331</t>
  </si>
  <si>
    <t>F 131</t>
  </si>
  <si>
    <t>F 822</t>
  </si>
  <si>
    <t>R 1884</t>
  </si>
  <si>
    <t>F 251</t>
  </si>
  <si>
    <t>F 492</t>
  </si>
  <si>
    <t>F 745</t>
  </si>
  <si>
    <t>R 1523</t>
  </si>
  <si>
    <t>F 887</t>
  </si>
  <si>
    <t>F 328</t>
  </si>
  <si>
    <t>F 1076</t>
  </si>
  <si>
    <t>RAILWAY CH</t>
  </si>
  <si>
    <t>CALCULATION</t>
  </si>
  <si>
    <t>0/000.000</t>
  </si>
  <si>
    <t>0/020.000</t>
  </si>
  <si>
    <t>0/040.000</t>
  </si>
  <si>
    <t>0/060.000</t>
  </si>
  <si>
    <t>0/080.000</t>
  </si>
  <si>
    <t>0/100.000</t>
  </si>
  <si>
    <t>0/120.000</t>
  </si>
  <si>
    <t>0/140.000</t>
  </si>
  <si>
    <t>0/160.000</t>
  </si>
  <si>
    <t>0/180.000</t>
  </si>
  <si>
    <t>0/200.000</t>
  </si>
  <si>
    <t>0/220.000</t>
  </si>
  <si>
    <t>0/240.000</t>
  </si>
  <si>
    <t>0/260.000</t>
  </si>
  <si>
    <t>0/280.000</t>
  </si>
  <si>
    <t>0/300.000</t>
  </si>
  <si>
    <t>0/320.000</t>
  </si>
  <si>
    <t>0/340.000</t>
  </si>
  <si>
    <t>0/360.000</t>
  </si>
  <si>
    <t>0/380.000</t>
  </si>
  <si>
    <t>0/400.000</t>
  </si>
  <si>
    <t>0/420.000</t>
  </si>
  <si>
    <t>0/440.000</t>
  </si>
  <si>
    <t>0/460.000</t>
  </si>
  <si>
    <t>0/480.000</t>
  </si>
  <si>
    <t>0/500.000</t>
  </si>
  <si>
    <t>0/520.000</t>
  </si>
  <si>
    <t>0/540.000</t>
  </si>
  <si>
    <t>0/560.000</t>
  </si>
  <si>
    <t>0/580.000</t>
  </si>
  <si>
    <t>0/600.000</t>
  </si>
  <si>
    <t>0/620.000</t>
  </si>
  <si>
    <t>0/640.000</t>
  </si>
  <si>
    <t>0/660.000</t>
  </si>
  <si>
    <t>0/680.000</t>
  </si>
  <si>
    <t>0/700.000</t>
  </si>
  <si>
    <t>0/720.000</t>
  </si>
  <si>
    <t>0/740.000</t>
  </si>
  <si>
    <t>0/760.000</t>
  </si>
  <si>
    <t>0/780.000</t>
  </si>
  <si>
    <t>0/800.000</t>
  </si>
  <si>
    <t>0/820.000</t>
  </si>
  <si>
    <t>0/840.000</t>
  </si>
  <si>
    <t>0/860.000</t>
  </si>
  <si>
    <t>0/880.000</t>
  </si>
  <si>
    <t>0/900.000</t>
  </si>
  <si>
    <t>0/920.000</t>
  </si>
  <si>
    <t>0/940.000</t>
  </si>
  <si>
    <t>0/960.000</t>
  </si>
  <si>
    <t>0/980.000</t>
  </si>
  <si>
    <t>0/1000.000</t>
  </si>
  <si>
    <t>0/1020.000</t>
  </si>
  <si>
    <t>0/1034.480-1/000.000</t>
  </si>
  <si>
    <t>1/005.520</t>
  </si>
  <si>
    <t>1/025.520</t>
  </si>
  <si>
    <t>1/045.520</t>
  </si>
  <si>
    <t>1/065.520</t>
  </si>
  <si>
    <t>1/085.520</t>
  </si>
  <si>
    <t>1/105.520</t>
  </si>
  <si>
    <t>1/125.520</t>
  </si>
  <si>
    <t>1/145.520</t>
  </si>
  <si>
    <t>1/165.520</t>
  </si>
  <si>
    <t>1/185.520</t>
  </si>
  <si>
    <t>1/205.520</t>
  </si>
  <si>
    <t>1/225.520</t>
  </si>
  <si>
    <t>1/245.520</t>
  </si>
  <si>
    <t>1/265.520</t>
  </si>
  <si>
    <t>1/285.520</t>
  </si>
  <si>
    <t>1/305.520</t>
  </si>
  <si>
    <t>1/325.520</t>
  </si>
  <si>
    <t>1/345.520</t>
  </si>
  <si>
    <t>1/365.520</t>
  </si>
  <si>
    <t>1/385.520</t>
  </si>
  <si>
    <t>1/405.520</t>
  </si>
  <si>
    <t>1/425.520</t>
  </si>
  <si>
    <t>1/445.520</t>
  </si>
  <si>
    <t>1/465.520</t>
  </si>
  <si>
    <t>1/485.520</t>
  </si>
  <si>
    <t>1/505.520</t>
  </si>
  <si>
    <t>1/525.520</t>
  </si>
  <si>
    <t>1/545.520</t>
  </si>
  <si>
    <t>1/565.520</t>
  </si>
  <si>
    <t>1/585.520</t>
  </si>
  <si>
    <t>1/605.520</t>
  </si>
  <si>
    <t>1/625.520</t>
  </si>
  <si>
    <t>1/645.520</t>
  </si>
  <si>
    <t>1/665.520</t>
  </si>
  <si>
    <t>1/685.520</t>
  </si>
  <si>
    <t>1/705.520</t>
  </si>
  <si>
    <t>1/725.520</t>
  </si>
  <si>
    <t>1/745.520</t>
  </si>
  <si>
    <t>1/765.520</t>
  </si>
  <si>
    <t>1/785.520</t>
  </si>
  <si>
    <t>1/805.520</t>
  </si>
  <si>
    <t>1/825.520</t>
  </si>
  <si>
    <t>1/845.520</t>
  </si>
  <si>
    <t>1/865.520</t>
  </si>
  <si>
    <t>1/885.520</t>
  </si>
  <si>
    <t>1/905.520</t>
  </si>
  <si>
    <t>1/925.520</t>
  </si>
  <si>
    <t>1/942.060-2/000.000</t>
  </si>
  <si>
    <t>2/003.460</t>
  </si>
  <si>
    <t>2/023.460</t>
  </si>
  <si>
    <t>2/043.460</t>
  </si>
  <si>
    <t>2/063.460</t>
  </si>
  <si>
    <t>2/083.460</t>
  </si>
  <si>
    <t>2/103.460</t>
  </si>
  <si>
    <t>2/123.460</t>
  </si>
  <si>
    <t>2/143.460</t>
  </si>
  <si>
    <t>2/163.460</t>
  </si>
  <si>
    <t>2/183.460</t>
  </si>
  <si>
    <t>2/203.460</t>
  </si>
  <si>
    <t>2/223.460</t>
  </si>
  <si>
    <t>2/243.460</t>
  </si>
  <si>
    <t>2/263.460</t>
  </si>
  <si>
    <t>2/283.460</t>
  </si>
  <si>
    <t>2/303.460</t>
  </si>
  <si>
    <t>2/323.460</t>
  </si>
  <si>
    <t>2/343.460</t>
  </si>
  <si>
    <t>2/363.460</t>
  </si>
  <si>
    <t>2/383.460</t>
  </si>
  <si>
    <t>2/403.460</t>
  </si>
  <si>
    <t>2/423.460</t>
  </si>
  <si>
    <t>2/443.460</t>
  </si>
  <si>
    <t>2/463.460</t>
  </si>
  <si>
    <t>2/483.460</t>
  </si>
  <si>
    <t>2/503.460</t>
  </si>
  <si>
    <t>2/523.460</t>
  </si>
  <si>
    <t>2/543.460</t>
  </si>
  <si>
    <t>2/563.460</t>
  </si>
  <si>
    <t>2/583.460</t>
  </si>
  <si>
    <t>2/603.460</t>
  </si>
  <si>
    <t>2/623.460</t>
  </si>
  <si>
    <t>2/643.460</t>
  </si>
  <si>
    <t>2/663.460</t>
  </si>
  <si>
    <t>2/683.460</t>
  </si>
  <si>
    <t>2/703.460</t>
  </si>
  <si>
    <t>2/723.460</t>
  </si>
  <si>
    <t>2/743.460</t>
  </si>
  <si>
    <t>2/763.460</t>
  </si>
  <si>
    <t>2/783.460</t>
  </si>
  <si>
    <t>2/803.460</t>
  </si>
  <si>
    <t>2/823.460</t>
  </si>
  <si>
    <t>2/843.460</t>
  </si>
  <si>
    <t>2/863.460</t>
  </si>
  <si>
    <t>2/883.460</t>
  </si>
  <si>
    <t>2/903.460</t>
  </si>
  <si>
    <t>2/923.460</t>
  </si>
  <si>
    <t>2/943.460</t>
  </si>
  <si>
    <t>2/963.460</t>
  </si>
  <si>
    <t>2/983.460</t>
  </si>
  <si>
    <t>2/1000.055-3/000.000</t>
  </si>
  <si>
    <t>3/003.405</t>
  </si>
  <si>
    <t>3/023.405</t>
  </si>
  <si>
    <t>3/043.405</t>
  </si>
  <si>
    <t>3/063.405</t>
  </si>
  <si>
    <t>3/083.405</t>
  </si>
  <si>
    <t>3/103.405</t>
  </si>
  <si>
    <t>3/123.405</t>
  </si>
  <si>
    <t>3/143.405</t>
  </si>
  <si>
    <t>3/163.405</t>
  </si>
  <si>
    <t>3/183.405</t>
  </si>
  <si>
    <t>3/203.405</t>
  </si>
  <si>
    <t>3/223.405</t>
  </si>
  <si>
    <t>3/243.405</t>
  </si>
  <si>
    <t>3/263.405</t>
  </si>
  <si>
    <t>3/283.405</t>
  </si>
  <si>
    <t>3/303.405</t>
  </si>
  <si>
    <t>3/323.405</t>
  </si>
  <si>
    <t>3/343.405</t>
  </si>
  <si>
    <t>3/363.405</t>
  </si>
  <si>
    <t>3/383.405</t>
  </si>
  <si>
    <t>3/403.405</t>
  </si>
  <si>
    <t>3/423.405</t>
  </si>
  <si>
    <t>3/443.405</t>
  </si>
  <si>
    <t>3/463.405</t>
  </si>
  <si>
    <t>3/483.405</t>
  </si>
  <si>
    <t>3/503.405</t>
  </si>
  <si>
    <t>3/523.405</t>
  </si>
  <si>
    <t>3/543.405</t>
  </si>
  <si>
    <t>3/563.405</t>
  </si>
  <si>
    <t>3/583.405</t>
  </si>
  <si>
    <t>3/603.405</t>
  </si>
  <si>
    <t>3/623.405</t>
  </si>
  <si>
    <t>3/643.405</t>
  </si>
  <si>
    <t>3/663.405</t>
  </si>
  <si>
    <t>3/683.405</t>
  </si>
  <si>
    <t>3/703.405</t>
  </si>
  <si>
    <t>3/723.405</t>
  </si>
  <si>
    <t>3/743.405</t>
  </si>
  <si>
    <t>3/763.405</t>
  </si>
  <si>
    <t>3/783.405</t>
  </si>
  <si>
    <t>3/803.405</t>
  </si>
  <si>
    <t>3/823.405</t>
  </si>
  <si>
    <t>3/843.405</t>
  </si>
  <si>
    <t>3/863.405</t>
  </si>
  <si>
    <t>3/883.405</t>
  </si>
  <si>
    <t>3/903.405</t>
  </si>
  <si>
    <t>3/923.405</t>
  </si>
  <si>
    <t>3/943.405</t>
  </si>
  <si>
    <t>3/963.405</t>
  </si>
  <si>
    <t>3/983.405</t>
  </si>
  <si>
    <t>3/998.930-4/000.000</t>
  </si>
  <si>
    <t>4/004.475</t>
  </si>
  <si>
    <t>4/024.475</t>
  </si>
  <si>
    <t>4/044.475</t>
  </si>
  <si>
    <t>4/064.475</t>
  </si>
  <si>
    <t>4/084.475</t>
  </si>
  <si>
    <t>4/104.475</t>
  </si>
  <si>
    <t>4/124.475</t>
  </si>
  <si>
    <t>4/144.475</t>
  </si>
  <si>
    <t>4/164.475</t>
  </si>
  <si>
    <t>4/184.475</t>
  </si>
  <si>
    <t>4/204.475</t>
  </si>
  <si>
    <t>4/224.475</t>
  </si>
  <si>
    <t>4/244.475</t>
  </si>
  <si>
    <t>4/264.475</t>
  </si>
  <si>
    <t>4/284.475</t>
  </si>
  <si>
    <t>4/304.475</t>
  </si>
  <si>
    <t>4/324.475</t>
  </si>
  <si>
    <t>4/344.475</t>
  </si>
  <si>
    <t>4/364.475</t>
  </si>
  <si>
    <t>4/384.475</t>
  </si>
  <si>
    <t>4/404.475</t>
  </si>
  <si>
    <t>4/424.475</t>
  </si>
  <si>
    <t>4/444.475</t>
  </si>
  <si>
    <t>4/464.475</t>
  </si>
  <si>
    <t>4/484.475</t>
  </si>
  <si>
    <t>4/504.475</t>
  </si>
  <si>
    <t>4/524.475</t>
  </si>
  <si>
    <t>4/544.475</t>
  </si>
  <si>
    <t>4/564.475</t>
  </si>
  <si>
    <t>4/584.475</t>
  </si>
  <si>
    <t>4/604.475</t>
  </si>
  <si>
    <t>4/624.475</t>
  </si>
  <si>
    <t>4/644.475</t>
  </si>
  <si>
    <t>4/664.475</t>
  </si>
  <si>
    <t>4/684.475</t>
  </si>
  <si>
    <t>4/704.475</t>
  </si>
  <si>
    <t>4/724.475</t>
  </si>
  <si>
    <t>4/744.475</t>
  </si>
  <si>
    <t>4/764.475</t>
  </si>
  <si>
    <t>4/784.475</t>
  </si>
  <si>
    <t>4/804.475</t>
  </si>
  <si>
    <t>4/824.475</t>
  </si>
  <si>
    <t>4/844.475</t>
  </si>
  <si>
    <t>4/864.475</t>
  </si>
  <si>
    <t>4/884.475</t>
  </si>
  <si>
    <t>4/904.475</t>
  </si>
  <si>
    <t>4/924.475</t>
  </si>
  <si>
    <t>4/944.475</t>
  </si>
  <si>
    <t>4/964.475</t>
  </si>
  <si>
    <t>4/984.475</t>
  </si>
  <si>
    <t>4/1000.110-5/000.000</t>
  </si>
  <si>
    <t>5/004.365</t>
  </si>
  <si>
    <t>5/024.365</t>
  </si>
  <si>
    <t>5/044.365</t>
  </si>
  <si>
    <t>5/064.365</t>
  </si>
  <si>
    <t>5/084.365</t>
  </si>
  <si>
    <t>5/104.365</t>
  </si>
  <si>
    <t>5/124.365</t>
  </si>
  <si>
    <t>5/144.365</t>
  </si>
  <si>
    <t>5/164.365</t>
  </si>
  <si>
    <t>5/184.365</t>
  </si>
  <si>
    <t>5/204.365</t>
  </si>
  <si>
    <t>5/224.365</t>
  </si>
  <si>
    <t>5/244.365</t>
  </si>
  <si>
    <t>5/264.365</t>
  </si>
  <si>
    <t>5/284.365</t>
  </si>
  <si>
    <t>5/304.365</t>
  </si>
  <si>
    <t>5/324.365</t>
  </si>
  <si>
    <t>5/344.365</t>
  </si>
  <si>
    <t>5/364.365</t>
  </si>
  <si>
    <t>5/384.365</t>
  </si>
  <si>
    <t>5/404.365</t>
  </si>
  <si>
    <t>5/424.365</t>
  </si>
  <si>
    <t>5/444.365</t>
  </si>
  <si>
    <t>5/464.365</t>
  </si>
  <si>
    <t>5/484.365</t>
  </si>
  <si>
    <t>5/504.365</t>
  </si>
  <si>
    <t>5/524.365</t>
  </si>
  <si>
    <t>5/544.365</t>
  </si>
  <si>
    <t>5/564.365</t>
  </si>
  <si>
    <t>5/584.365</t>
  </si>
  <si>
    <t>5/604.365</t>
  </si>
  <si>
    <t>5/624.365</t>
  </si>
  <si>
    <t>5/644.365</t>
  </si>
  <si>
    <t>5/664.365</t>
  </si>
  <si>
    <t>5/684.365</t>
  </si>
  <si>
    <t>5/704.365</t>
  </si>
  <si>
    <t>5/724.365</t>
  </si>
  <si>
    <t>5/744.365</t>
  </si>
  <si>
    <t>5/764.365</t>
  </si>
  <si>
    <t>5/784.365</t>
  </si>
  <si>
    <t>5/804.365</t>
  </si>
  <si>
    <t>5/824.365</t>
  </si>
  <si>
    <t>5/844.365</t>
  </si>
  <si>
    <t>5/864.365</t>
  </si>
  <si>
    <t>5/884.365</t>
  </si>
  <si>
    <t>5/904.365</t>
  </si>
  <si>
    <t>5/924.365</t>
  </si>
  <si>
    <t>5/944.365</t>
  </si>
  <si>
    <t>5/964.365</t>
  </si>
  <si>
    <t>5/984.365</t>
  </si>
  <si>
    <t>5/999.590-6/000.000</t>
  </si>
  <si>
    <t>6/004.775</t>
  </si>
  <si>
    <t>6/024.775</t>
  </si>
  <si>
    <t>6/044.775</t>
  </si>
  <si>
    <t>6/064.775</t>
  </si>
  <si>
    <t>6/084.775</t>
  </si>
  <si>
    <t>6/104.775</t>
  </si>
  <si>
    <t>6/124.775</t>
  </si>
  <si>
    <t>6/144.775</t>
  </si>
  <si>
    <t>6/164.775</t>
  </si>
  <si>
    <t>6/184.775</t>
  </si>
  <si>
    <t>6/204.775</t>
  </si>
  <si>
    <t>6/224.775</t>
  </si>
  <si>
    <t>6/244.775</t>
  </si>
  <si>
    <t>6/264.775</t>
  </si>
  <si>
    <t>6/284.775</t>
  </si>
  <si>
    <t>6/304.775</t>
  </si>
  <si>
    <t>6/324.775</t>
  </si>
  <si>
    <t>6/344.775</t>
  </si>
  <si>
    <t>6/364.775</t>
  </si>
  <si>
    <t>6/384.775</t>
  </si>
  <si>
    <t>6/404.775</t>
  </si>
  <si>
    <t>6/424.775</t>
  </si>
  <si>
    <t>6/444.775</t>
  </si>
  <si>
    <t>6/464.775</t>
  </si>
  <si>
    <t>6/484.775</t>
  </si>
  <si>
    <t>6/504.775</t>
  </si>
  <si>
    <t>6/524.775</t>
  </si>
  <si>
    <t>6/544.775</t>
  </si>
  <si>
    <t>6/564.775</t>
  </si>
  <si>
    <t>6/584.775</t>
  </si>
  <si>
    <t>6/604.775</t>
  </si>
  <si>
    <t>6/624.775</t>
  </si>
  <si>
    <t>6/644.775</t>
  </si>
  <si>
    <t>6/664.775</t>
  </si>
  <si>
    <t>6/684.775</t>
  </si>
  <si>
    <t>6/704.775</t>
  </si>
  <si>
    <t>6/724.775</t>
  </si>
  <si>
    <t>6/744.775</t>
  </si>
  <si>
    <t>6/764.775</t>
  </si>
  <si>
    <t>6/784.775</t>
  </si>
  <si>
    <t>6/804.775</t>
  </si>
  <si>
    <t>6/824.775</t>
  </si>
  <si>
    <t>6/844.775</t>
  </si>
  <si>
    <t>6/864.775</t>
  </si>
  <si>
    <t>6/884.775</t>
  </si>
  <si>
    <t>6/904.775</t>
  </si>
  <si>
    <t>6/924.775</t>
  </si>
  <si>
    <t>6/944.775</t>
  </si>
  <si>
    <t>6/964.775</t>
  </si>
  <si>
    <t>6/984.775</t>
  </si>
  <si>
    <t>6/999.690-7/000.000</t>
  </si>
  <si>
    <t>7/005.085</t>
  </si>
  <si>
    <t>7/025.085</t>
  </si>
  <si>
    <t>7/045.085</t>
  </si>
  <si>
    <t>7/065.085</t>
  </si>
  <si>
    <t>7/085.085</t>
  </si>
  <si>
    <t>7/105.085</t>
  </si>
  <si>
    <t>7/125.085</t>
  </si>
  <si>
    <t>7/145.085</t>
  </si>
  <si>
    <t>7/165.085</t>
  </si>
  <si>
    <t>7/185.085</t>
  </si>
  <si>
    <t>7/205.085</t>
  </si>
  <si>
    <t>7/225.085</t>
  </si>
  <si>
    <t>7/245.085</t>
  </si>
  <si>
    <t>7/265.085</t>
  </si>
  <si>
    <t>7/285.085</t>
  </si>
  <si>
    <t>7/305.085</t>
  </si>
  <si>
    <t>7/325.085</t>
  </si>
  <si>
    <t>7/345.085</t>
  </si>
  <si>
    <t>7/365.085</t>
  </si>
  <si>
    <t>7/385.085</t>
  </si>
  <si>
    <t>7/405.085</t>
  </si>
  <si>
    <t>7/425.085</t>
  </si>
  <si>
    <t>7/445.085</t>
  </si>
  <si>
    <t>7/465.085</t>
  </si>
  <si>
    <t>7/485.085</t>
  </si>
  <si>
    <t>7/505.085</t>
  </si>
  <si>
    <t>7/525.085</t>
  </si>
  <si>
    <t>7/545.085</t>
  </si>
  <si>
    <t>7/565.085</t>
  </si>
  <si>
    <t>7/585.085</t>
  </si>
  <si>
    <t>7/605.085</t>
  </si>
  <si>
    <t>7/625.085</t>
  </si>
  <si>
    <t>7/645.085</t>
  </si>
  <si>
    <t>7/665.085</t>
  </si>
  <si>
    <t>7/685.085</t>
  </si>
  <si>
    <t>7/705.085</t>
  </si>
  <si>
    <t>7/725.085</t>
  </si>
  <si>
    <t>7/745.085</t>
  </si>
  <si>
    <t>7/765.085</t>
  </si>
  <si>
    <t>7/785.085</t>
  </si>
  <si>
    <t>7/805.085</t>
  </si>
  <si>
    <t>7/825.085</t>
  </si>
  <si>
    <t>7/845.085</t>
  </si>
  <si>
    <t>7/865.085</t>
  </si>
  <si>
    <t>7/885.085</t>
  </si>
  <si>
    <t>7/905.085</t>
  </si>
  <si>
    <t>7/925.085</t>
  </si>
  <si>
    <t>7/945.085</t>
  </si>
  <si>
    <t>7/965.085</t>
  </si>
  <si>
    <t>7/985.085</t>
  </si>
  <si>
    <t>7/999.930-8/000.000</t>
  </si>
  <si>
    <t>8/005.155</t>
  </si>
  <si>
    <t>8/025.155</t>
  </si>
  <si>
    <t>8/045.155</t>
  </si>
  <si>
    <t>8/065.155</t>
  </si>
  <si>
    <t>8/085.155</t>
  </si>
  <si>
    <t>8/105.155</t>
  </si>
  <si>
    <t>8/125.155</t>
  </si>
  <si>
    <t>8/145.155</t>
  </si>
  <si>
    <t>8/165.155</t>
  </si>
  <si>
    <t>8/185.155</t>
  </si>
  <si>
    <t>8/205.155</t>
  </si>
  <si>
    <t>8/225.155</t>
  </si>
  <si>
    <t>8/245.155</t>
  </si>
  <si>
    <t>8/265.155</t>
  </si>
  <si>
    <t>8/285.155</t>
  </si>
  <si>
    <t>8/305.155</t>
  </si>
  <si>
    <t>8/325.155</t>
  </si>
  <si>
    <t>8/345.155</t>
  </si>
  <si>
    <t>8/365.155</t>
  </si>
  <si>
    <t>8/385.155</t>
  </si>
  <si>
    <t>8/405.155</t>
  </si>
  <si>
    <t>8/425.155</t>
  </si>
  <si>
    <t>8/445.155</t>
  </si>
  <si>
    <t>8/465.155</t>
  </si>
  <si>
    <t>8/485.155</t>
  </si>
  <si>
    <t>8/505.155</t>
  </si>
  <si>
    <t>8/525.155</t>
  </si>
  <si>
    <t>8/545.155</t>
  </si>
  <si>
    <t>8/565.155</t>
  </si>
  <si>
    <t>8/585.155</t>
  </si>
  <si>
    <t>8/605.155</t>
  </si>
  <si>
    <t>8/625.155</t>
  </si>
  <si>
    <t>8/645.155</t>
  </si>
  <si>
    <t>8/665.155</t>
  </si>
  <si>
    <t>8/685.155</t>
  </si>
  <si>
    <t>8/705.155</t>
  </si>
  <si>
    <t>8/725.155</t>
  </si>
  <si>
    <t>8/745.155</t>
  </si>
  <si>
    <t>8/765.155</t>
  </si>
  <si>
    <t>8/785.155</t>
  </si>
  <si>
    <t>8/805.155</t>
  </si>
  <si>
    <t>8/825.155</t>
  </si>
  <si>
    <t>8/845.155</t>
  </si>
  <si>
    <t>8/865.155</t>
  </si>
  <si>
    <t>8/885.155</t>
  </si>
  <si>
    <t>8/905.155</t>
  </si>
  <si>
    <t>8/925.155</t>
  </si>
  <si>
    <t>8/945.155</t>
  </si>
  <si>
    <t>8/965.155</t>
  </si>
  <si>
    <t>8/985.155</t>
  </si>
  <si>
    <t>8/999.900-9/000.000</t>
  </si>
  <si>
    <t>9/005.255</t>
  </si>
  <si>
    <t>9/025.255</t>
  </si>
  <si>
    <t>9/045.255</t>
  </si>
  <si>
    <t>9/065.255</t>
  </si>
  <si>
    <t>9/085.255</t>
  </si>
  <si>
    <t>9/105.255</t>
  </si>
  <si>
    <t>9/125.255</t>
  </si>
  <si>
    <t>9/145.255</t>
  </si>
  <si>
    <t>9/165.255</t>
  </si>
  <si>
    <t>9/185.255</t>
  </si>
  <si>
    <t>9/205.255</t>
  </si>
  <si>
    <t>9/225.255</t>
  </si>
  <si>
    <t>9/245.255</t>
  </si>
  <si>
    <t>9/265.255</t>
  </si>
  <si>
    <t>9/285.255</t>
  </si>
  <si>
    <t>9/305.255</t>
  </si>
  <si>
    <t>9/325.255</t>
  </si>
  <si>
    <t>9/345.255</t>
  </si>
  <si>
    <t>9/365.255</t>
  </si>
  <si>
    <t>9/385.255</t>
  </si>
  <si>
    <t>9/405.255</t>
  </si>
  <si>
    <t>9/425.255</t>
  </si>
  <si>
    <t>9/445.255</t>
  </si>
  <si>
    <t>9/465.255</t>
  </si>
  <si>
    <t>9/485.255</t>
  </si>
  <si>
    <t>9/505.255</t>
  </si>
  <si>
    <t>9/525.255</t>
  </si>
  <si>
    <t>9/545.255</t>
  </si>
  <si>
    <t>9/565.255</t>
  </si>
  <si>
    <t>9/585.255</t>
  </si>
  <si>
    <t>9/605.255</t>
  </si>
  <si>
    <t>9/625.255</t>
  </si>
  <si>
    <t>9/645.255</t>
  </si>
  <si>
    <t>9/665.255</t>
  </si>
  <si>
    <t>9/685.255</t>
  </si>
  <si>
    <t>9/705.255</t>
  </si>
  <si>
    <t>9/725.255</t>
  </si>
  <si>
    <t>9/745.255</t>
  </si>
  <si>
    <t>9/765.255</t>
  </si>
  <si>
    <t>9/785.255</t>
  </si>
  <si>
    <t>9/805.255</t>
  </si>
  <si>
    <t>9/825.255</t>
  </si>
  <si>
    <t>9/845.255</t>
  </si>
  <si>
    <t>9/865.255</t>
  </si>
  <si>
    <t>9/885.255</t>
  </si>
  <si>
    <t>9/905.255</t>
  </si>
  <si>
    <t>9/925.255</t>
  </si>
  <si>
    <t>9/945.255</t>
  </si>
  <si>
    <t>9/965.255</t>
  </si>
  <si>
    <t>9/985.255</t>
  </si>
  <si>
    <t>9/999.650-10/000.000</t>
  </si>
  <si>
    <t>10/005.605</t>
  </si>
  <si>
    <t>10/025.605</t>
  </si>
  <si>
    <t>10/045.605</t>
  </si>
  <si>
    <t>10/065.605</t>
  </si>
  <si>
    <t>10/085.605</t>
  </si>
  <si>
    <t>10/105.605</t>
  </si>
  <si>
    <t>10/125.605</t>
  </si>
  <si>
    <t>10/145.605</t>
  </si>
  <si>
    <t>10/165.605</t>
  </si>
  <si>
    <t>10/185.605</t>
  </si>
  <si>
    <t>10/205.605</t>
  </si>
  <si>
    <t>10/225.605</t>
  </si>
  <si>
    <t>10/245.605</t>
  </si>
  <si>
    <t>10/265.605</t>
  </si>
  <si>
    <t>10/285.605</t>
  </si>
  <si>
    <t>10/305.605</t>
  </si>
  <si>
    <t>10/325.605</t>
  </si>
  <si>
    <t>10/345.605</t>
  </si>
  <si>
    <t>10/365.605</t>
  </si>
  <si>
    <t>10/385.605</t>
  </si>
  <si>
    <t>10/405.605</t>
  </si>
  <si>
    <t>10/425.605</t>
  </si>
  <si>
    <t>10/445.605</t>
  </si>
  <si>
    <t>10/465.605</t>
  </si>
  <si>
    <t>10/485.605</t>
  </si>
  <si>
    <t>10/505.605</t>
  </si>
  <si>
    <t>10/525.605</t>
  </si>
  <si>
    <t>10/545.605</t>
  </si>
  <si>
    <t>10/565.605</t>
  </si>
  <si>
    <t>10/585.605</t>
  </si>
  <si>
    <t>10/605.605</t>
  </si>
  <si>
    <t>10/625.605</t>
  </si>
  <si>
    <t>10/645.605</t>
  </si>
  <si>
    <t>10/665.605</t>
  </si>
  <si>
    <t>10/685.605</t>
  </si>
  <si>
    <t>10/705.605</t>
  </si>
  <si>
    <t>10/725.605</t>
  </si>
  <si>
    <t>10/745.605</t>
  </si>
  <si>
    <t>10/765.605</t>
  </si>
  <si>
    <t>10/785.605</t>
  </si>
  <si>
    <t>10/805.605</t>
  </si>
  <si>
    <t>10/825.605</t>
  </si>
  <si>
    <t>10/845.605</t>
  </si>
  <si>
    <t>10/865.605</t>
  </si>
  <si>
    <t>10/885.605</t>
  </si>
  <si>
    <t>10/905.605</t>
  </si>
  <si>
    <t>10/925.605</t>
  </si>
  <si>
    <t>10/945.605</t>
  </si>
  <si>
    <t>10/965.605</t>
  </si>
  <si>
    <t>10/985.605</t>
  </si>
  <si>
    <t>10/999.770-11/000.000</t>
  </si>
  <si>
    <t>11/005.835</t>
  </si>
  <si>
    <t>11/025.835</t>
  </si>
  <si>
    <t>11/045.835</t>
  </si>
  <si>
    <t>11/065.835</t>
  </si>
  <si>
    <t>11/085.835</t>
  </si>
  <si>
    <t>11/105.835</t>
  </si>
  <si>
    <t>11/125.835</t>
  </si>
  <si>
    <t>11/145.835</t>
  </si>
  <si>
    <t>11/165.835</t>
  </si>
  <si>
    <t>11/185.835</t>
  </si>
  <si>
    <t>11/205.835</t>
  </si>
  <si>
    <t>11/225.835</t>
  </si>
  <si>
    <t>11/245.835</t>
  </si>
  <si>
    <t>11/265.835</t>
  </si>
  <si>
    <t>11/285.835</t>
  </si>
  <si>
    <t>11/305.835</t>
  </si>
  <si>
    <t>11/325.835</t>
  </si>
  <si>
    <t>11/345.835</t>
  </si>
  <si>
    <t>11/365.835</t>
  </si>
  <si>
    <t>11/385.835</t>
  </si>
  <si>
    <t>11/405.835</t>
  </si>
  <si>
    <t>11/425.835</t>
  </si>
  <si>
    <t>11/445.835</t>
  </si>
  <si>
    <t>11/465.835</t>
  </si>
  <si>
    <t>11/485.835</t>
  </si>
  <si>
    <t>11/505.835</t>
  </si>
  <si>
    <t>11/525.835</t>
  </si>
  <si>
    <t>11/545.835</t>
  </si>
  <si>
    <t>11/565.835</t>
  </si>
  <si>
    <t>11/585.835</t>
  </si>
  <si>
    <t>11/605.835</t>
  </si>
  <si>
    <t>11/625.835</t>
  </si>
  <si>
    <t>11/645.835</t>
  </si>
  <si>
    <t>11/665.835</t>
  </si>
  <si>
    <t>11/685.835</t>
  </si>
  <si>
    <t>11/705.835</t>
  </si>
  <si>
    <t>11/725.835</t>
  </si>
  <si>
    <t>11/745.835</t>
  </si>
  <si>
    <t>11/765.835</t>
  </si>
  <si>
    <t>11/785.835</t>
  </si>
  <si>
    <t>11/805.835</t>
  </si>
  <si>
    <t>11/825.835</t>
  </si>
  <si>
    <t>11/845.835</t>
  </si>
  <si>
    <t>11/865.835</t>
  </si>
  <si>
    <t>11/885.835</t>
  </si>
  <si>
    <t>11/905.835</t>
  </si>
  <si>
    <t>11/925.835</t>
  </si>
  <si>
    <t>11/945.835</t>
  </si>
  <si>
    <t>11/965.835</t>
  </si>
  <si>
    <t>11/985.835</t>
  </si>
  <si>
    <t>11/999.760-12/000.000</t>
  </si>
  <si>
    <t>12/006.075</t>
  </si>
  <si>
    <t>12/026.075</t>
  </si>
  <si>
    <t>12/046.075</t>
  </si>
  <si>
    <t>12/066.075</t>
  </si>
  <si>
    <t>12/086.075</t>
  </si>
  <si>
    <t>12/106.075</t>
  </si>
  <si>
    <t>12/126.075</t>
  </si>
  <si>
    <t>12/146.075</t>
  </si>
  <si>
    <t>12/166.075</t>
  </si>
  <si>
    <t>12/186.075</t>
  </si>
  <si>
    <t>12/206.075</t>
  </si>
  <si>
    <t>12/226.075</t>
  </si>
  <si>
    <t>12/246.075</t>
  </si>
  <si>
    <t>12/266.075</t>
  </si>
  <si>
    <t>12/286.075</t>
  </si>
  <si>
    <t>12/306.075</t>
  </si>
  <si>
    <t>12/326.075</t>
  </si>
  <si>
    <t>12/346.075</t>
  </si>
  <si>
    <t>12/366.075</t>
  </si>
  <si>
    <t>12/386.075</t>
  </si>
  <si>
    <t>12/406.075</t>
  </si>
  <si>
    <t>12/426.075</t>
  </si>
  <si>
    <t>12/446.075</t>
  </si>
  <si>
    <t>12/466.075</t>
  </si>
  <si>
    <t>12/486.075</t>
  </si>
  <si>
    <t>12/506.075</t>
  </si>
  <si>
    <t>12/526.075</t>
  </si>
  <si>
    <t>12/546.075</t>
  </si>
  <si>
    <t>12/566.075</t>
  </si>
  <si>
    <t>12/586.075</t>
  </si>
  <si>
    <t>12/606.075</t>
  </si>
  <si>
    <t>12/626.075</t>
  </si>
  <si>
    <t>12/646.075</t>
  </si>
  <si>
    <t>12/666.075</t>
  </si>
  <si>
    <t>12/686.075</t>
  </si>
  <si>
    <t>12/706.075</t>
  </si>
  <si>
    <t>12/726.075</t>
  </si>
  <si>
    <t>12/746.075</t>
  </si>
  <si>
    <t>12/766.075</t>
  </si>
  <si>
    <t>12/786.075</t>
  </si>
  <si>
    <t>12/806.075</t>
  </si>
  <si>
    <t>12/826.075</t>
  </si>
  <si>
    <t>12/846.075</t>
  </si>
  <si>
    <t>12/866.075</t>
  </si>
  <si>
    <t>12/886.075</t>
  </si>
  <si>
    <t>12/906.075</t>
  </si>
  <si>
    <t>12/926.075</t>
  </si>
  <si>
    <t>12/946.075</t>
  </si>
  <si>
    <t>12/966.075</t>
  </si>
  <si>
    <t>12/986.075</t>
  </si>
  <si>
    <t>12/999.800-13/000.000</t>
  </si>
  <si>
    <t>13/006.275</t>
  </si>
  <si>
    <t>13/026.275</t>
  </si>
  <si>
    <t>13/046.275</t>
  </si>
  <si>
    <t>13/066.275</t>
  </si>
  <si>
    <t>13/086.275</t>
  </si>
  <si>
    <t>13/106.275</t>
  </si>
  <si>
    <t>13/126.275</t>
  </si>
  <si>
    <t>13/146.275</t>
  </si>
  <si>
    <t>13/166.275</t>
  </si>
  <si>
    <t>13/186.275</t>
  </si>
  <si>
    <t>13/206.275</t>
  </si>
  <si>
    <t>13/226.275</t>
  </si>
  <si>
    <t>13/246.275</t>
  </si>
  <si>
    <t>13/266.275</t>
  </si>
  <si>
    <t>13/286.275</t>
  </si>
  <si>
    <t>13/306.275</t>
  </si>
  <si>
    <t>13/326.275</t>
  </si>
  <si>
    <t>13/346.275</t>
  </si>
  <si>
    <t>13/366.275</t>
  </si>
  <si>
    <t>13/386.275</t>
  </si>
  <si>
    <t>13/406.275</t>
  </si>
  <si>
    <t>13/426.275</t>
  </si>
  <si>
    <t>13/446.275</t>
  </si>
  <si>
    <t>13/466.275</t>
  </si>
  <si>
    <t>13/486.275</t>
  </si>
  <si>
    <t>13/506.275</t>
  </si>
  <si>
    <t>13/526.275</t>
  </si>
  <si>
    <t>13/546.275</t>
  </si>
  <si>
    <t>13/566.275</t>
  </si>
  <si>
    <t>13/586.275</t>
  </si>
  <si>
    <t>13/606.275</t>
  </si>
  <si>
    <t>13/626.275</t>
  </si>
  <si>
    <t>13/646.275</t>
  </si>
  <si>
    <t>13/666.275</t>
  </si>
  <si>
    <t>13/686.275</t>
  </si>
  <si>
    <t>13/706.275</t>
  </si>
  <si>
    <t>13/726.275</t>
  </si>
  <si>
    <t>13/746.275</t>
  </si>
  <si>
    <t>13/766.275</t>
  </si>
  <si>
    <t>13/786.275</t>
  </si>
  <si>
    <t>13/806.275</t>
  </si>
  <si>
    <t>13/826.275</t>
  </si>
  <si>
    <t>13/846.275</t>
  </si>
  <si>
    <t>13/866.275</t>
  </si>
  <si>
    <t>13/886.275</t>
  </si>
  <si>
    <t>13/906.275</t>
  </si>
  <si>
    <t>13/926.275</t>
  </si>
  <si>
    <t>13/946.275</t>
  </si>
  <si>
    <t>13/966.275</t>
  </si>
  <si>
    <t>13/986.275</t>
  </si>
  <si>
    <t>13/1000.160-14/000.000</t>
  </si>
  <si>
    <t>14/006.115</t>
  </si>
  <si>
    <t>14/026.115</t>
  </si>
  <si>
    <t>14/046.115</t>
  </si>
  <si>
    <t>14/066.115</t>
  </si>
  <si>
    <t>14/086.115</t>
  </si>
  <si>
    <t>14/106.115</t>
  </si>
  <si>
    <t>14/126.115</t>
  </si>
  <si>
    <t>14/146.115</t>
  </si>
  <si>
    <t>14/166.115</t>
  </si>
  <si>
    <t>14/186.115</t>
  </si>
  <si>
    <t>14/206.115</t>
  </si>
  <si>
    <t>14/226.115</t>
  </si>
  <si>
    <t>14/246.115</t>
  </si>
  <si>
    <t>14/266.115</t>
  </si>
  <si>
    <t>14/286.115</t>
  </si>
  <si>
    <t>14/306.115</t>
  </si>
  <si>
    <t>14/326.115</t>
  </si>
  <si>
    <t>14/346.115</t>
  </si>
  <si>
    <t>14/366.115</t>
  </si>
  <si>
    <t>14/386.115</t>
  </si>
  <si>
    <t>14/406.115</t>
  </si>
  <si>
    <t>14/426.115</t>
  </si>
  <si>
    <t>14/446.115</t>
  </si>
  <si>
    <t>14/466.115</t>
  </si>
  <si>
    <t>14/486.115</t>
  </si>
  <si>
    <t>14/506.115</t>
  </si>
  <si>
    <t>14/526.115</t>
  </si>
  <si>
    <t>14/546.115</t>
  </si>
  <si>
    <t>14/566.115</t>
  </si>
  <si>
    <t>14/586.115</t>
  </si>
  <si>
    <t>14/606.115</t>
  </si>
  <si>
    <t>14/626.115</t>
  </si>
  <si>
    <t>14/646.115</t>
  </si>
  <si>
    <t>14/666.115</t>
  </si>
  <si>
    <t>14/686.115</t>
  </si>
  <si>
    <t>14/706.115</t>
  </si>
  <si>
    <t>14/726.115</t>
  </si>
  <si>
    <t>14/746.115</t>
  </si>
  <si>
    <t>14/766.115</t>
  </si>
  <si>
    <t>14/786.115</t>
  </si>
  <si>
    <t>14/806.115</t>
  </si>
  <si>
    <t>14/826.115</t>
  </si>
  <si>
    <t>14/846.115</t>
  </si>
  <si>
    <t>14/866.115</t>
  </si>
  <si>
    <t>14/886.115</t>
  </si>
  <si>
    <t>14/906.115</t>
  </si>
  <si>
    <t>14/926.115</t>
  </si>
  <si>
    <t>14/946.115</t>
  </si>
  <si>
    <t>14/966.115</t>
  </si>
  <si>
    <t>14/986.115</t>
  </si>
  <si>
    <t>14/999.480-15/000.000</t>
  </si>
  <si>
    <t>15/006.635</t>
  </si>
  <si>
    <t>15/026.635</t>
  </si>
  <si>
    <t>15/046.635</t>
  </si>
  <si>
    <t>15/066.635</t>
  </si>
  <si>
    <t>15/086.635</t>
  </si>
  <si>
    <t>15/106.635</t>
  </si>
  <si>
    <t>15/126.635</t>
  </si>
  <si>
    <t>15/146.635</t>
  </si>
  <si>
    <t>15/166.635</t>
  </si>
  <si>
    <t>15/186.635</t>
  </si>
  <si>
    <t>15/206.635</t>
  </si>
  <si>
    <t>15/226.635</t>
  </si>
  <si>
    <t>15/246.635</t>
  </si>
  <si>
    <t>15/266.635</t>
  </si>
  <si>
    <t>15/286.635</t>
  </si>
  <si>
    <t>15/306.635</t>
  </si>
  <si>
    <t>15/326.635</t>
  </si>
  <si>
    <t>15/346.635</t>
  </si>
  <si>
    <t>15/366.635</t>
  </si>
  <si>
    <t>15/386.635</t>
  </si>
  <si>
    <t>15/406.635</t>
  </si>
  <si>
    <t>15/426.635</t>
  </si>
  <si>
    <t>15/446.635</t>
  </si>
  <si>
    <t>15/466.635</t>
  </si>
  <si>
    <t>15/486.635</t>
  </si>
  <si>
    <t>15/506.635</t>
  </si>
  <si>
    <t>15/526.635</t>
  </si>
  <si>
    <t>15/546.635</t>
  </si>
  <si>
    <t>15/566.635</t>
  </si>
  <si>
    <t>15/586.635</t>
  </si>
  <si>
    <t>15/606.635</t>
  </si>
  <si>
    <t>15/626.635</t>
  </si>
  <si>
    <t>15/646.635</t>
  </si>
  <si>
    <t>15/666.635</t>
  </si>
  <si>
    <t>15/686.635</t>
  </si>
  <si>
    <t>15/706.635</t>
  </si>
  <si>
    <t>15/726.635</t>
  </si>
  <si>
    <t>15/746.635</t>
  </si>
  <si>
    <t>15/766.635</t>
  </si>
  <si>
    <t>15/786.635</t>
  </si>
  <si>
    <t>15/806.635</t>
  </si>
  <si>
    <t>15/826.635</t>
  </si>
  <si>
    <t>15/846.635</t>
  </si>
  <si>
    <t>15/866.635</t>
  </si>
  <si>
    <t>15/886.635</t>
  </si>
  <si>
    <t>15/906.635</t>
  </si>
  <si>
    <t>15/926.635</t>
  </si>
  <si>
    <t>15/946.635</t>
  </si>
  <si>
    <t>15/966.635</t>
  </si>
  <si>
    <t>15/986.635</t>
  </si>
  <si>
    <t>15/1006.635</t>
  </si>
  <si>
    <t>15/1009.630-16/000.000</t>
  </si>
  <si>
    <t>16/017.005</t>
  </si>
  <si>
    <t>16/037.005</t>
  </si>
  <si>
    <t>16/057.005</t>
  </si>
  <si>
    <t>16/077.005</t>
  </si>
  <si>
    <t>16/097.005</t>
  </si>
  <si>
    <t>16/117.005</t>
  </si>
  <si>
    <t>16/137.005</t>
  </si>
  <si>
    <t>16/157.005</t>
  </si>
  <si>
    <t>16/177.005</t>
  </si>
  <si>
    <t>16/197.005</t>
  </si>
  <si>
    <t>16/217.005</t>
  </si>
  <si>
    <t>16/237.005</t>
  </si>
  <si>
    <t>16/257.005</t>
  </si>
  <si>
    <t>16/277.005</t>
  </si>
  <si>
    <t>16/297.005</t>
  </si>
  <si>
    <t>16/317.005</t>
  </si>
  <si>
    <t>16/337.005</t>
  </si>
  <si>
    <t>16/357.005</t>
  </si>
  <si>
    <t>16/377.005</t>
  </si>
  <si>
    <t>16/397.005</t>
  </si>
  <si>
    <t>16/417.005</t>
  </si>
  <si>
    <t>16/437.005</t>
  </si>
  <si>
    <t>16/457.005</t>
  </si>
  <si>
    <t>16/477.005</t>
  </si>
  <si>
    <t>16/497.005</t>
  </si>
  <si>
    <t>16/517.005</t>
  </si>
  <si>
    <t>16/537.005</t>
  </si>
  <si>
    <t>16/557.005</t>
  </si>
  <si>
    <t>16/577.005</t>
  </si>
  <si>
    <t>16/597.005</t>
  </si>
  <si>
    <t>16/617.005</t>
  </si>
  <si>
    <t>16/637.005</t>
  </si>
  <si>
    <t>16/657.005</t>
  </si>
  <si>
    <t>16/677.005</t>
  </si>
  <si>
    <t>16/697.005</t>
  </si>
  <si>
    <t>16/717.005</t>
  </si>
  <si>
    <t>16/737.005</t>
  </si>
  <si>
    <t>16/757.005</t>
  </si>
  <si>
    <t>16/777.005</t>
  </si>
  <si>
    <t>16/797.005</t>
  </si>
  <si>
    <t>16/817.005</t>
  </si>
  <si>
    <t>16/837.005</t>
  </si>
  <si>
    <t>16/857.005</t>
  </si>
  <si>
    <t>16/877.005</t>
  </si>
  <si>
    <t>16/897.005</t>
  </si>
  <si>
    <t>16/917.005</t>
  </si>
  <si>
    <t>16/937.005</t>
  </si>
  <si>
    <t>16/957.005</t>
  </si>
  <si>
    <t>16/977.005</t>
  </si>
  <si>
    <t>16/983.060-17/000.000</t>
  </si>
  <si>
    <t>17/013.945</t>
  </si>
  <si>
    <t>17/033.945</t>
  </si>
  <si>
    <t>17/053.945</t>
  </si>
  <si>
    <t>17/073.945</t>
  </si>
  <si>
    <t>17/093.945</t>
  </si>
  <si>
    <t>17/113.945</t>
  </si>
  <si>
    <t>17/133.945</t>
  </si>
  <si>
    <t>17/153.945</t>
  </si>
  <si>
    <t>17/173.945</t>
  </si>
  <si>
    <t>17/193.945</t>
  </si>
  <si>
    <t>17/213.945</t>
  </si>
  <si>
    <t>17/233.945</t>
  </si>
  <si>
    <t>17/253.945</t>
  </si>
  <si>
    <t>17/273.945</t>
  </si>
  <si>
    <t>17/293.945</t>
  </si>
  <si>
    <t>17/313.945</t>
  </si>
  <si>
    <t>17/333.945</t>
  </si>
  <si>
    <t>17/353.945</t>
  </si>
  <si>
    <t>17/373.945</t>
  </si>
  <si>
    <t>17/393.945</t>
  </si>
  <si>
    <t>17/413.945</t>
  </si>
  <si>
    <t>17/433.945</t>
  </si>
  <si>
    <t>17/453.945</t>
  </si>
  <si>
    <t>17/473.945</t>
  </si>
  <si>
    <t>17/493.945</t>
  </si>
  <si>
    <t>17/513.945</t>
  </si>
  <si>
    <t>17/533.945</t>
  </si>
  <si>
    <t>17/553.945</t>
  </si>
  <si>
    <t>17/573.945</t>
  </si>
  <si>
    <t>17/593.945</t>
  </si>
  <si>
    <t>17/613.945</t>
  </si>
  <si>
    <t>17/633.945</t>
  </si>
  <si>
    <t>17/653.945</t>
  </si>
  <si>
    <t>17/673.945</t>
  </si>
  <si>
    <t>17/693.945</t>
  </si>
  <si>
    <t>17/713.945</t>
  </si>
  <si>
    <t>17/733.945</t>
  </si>
  <si>
    <t>17/753.945</t>
  </si>
  <si>
    <t>17/773.945</t>
  </si>
  <si>
    <t>17/793.945</t>
  </si>
  <si>
    <t>17/813.945</t>
  </si>
  <si>
    <t>17/833.945</t>
  </si>
  <si>
    <t>17/853.945</t>
  </si>
  <si>
    <t>17/873.945</t>
  </si>
  <si>
    <t>17/893.945</t>
  </si>
  <si>
    <t>17/913.945</t>
  </si>
  <si>
    <t>17/933.945</t>
  </si>
  <si>
    <t>17/953.945</t>
  </si>
  <si>
    <t>17/973.945</t>
  </si>
  <si>
    <t>17/993.945</t>
  </si>
  <si>
    <t>17/1013.945</t>
  </si>
  <si>
    <t>17/1015.180-18/000.000</t>
  </si>
  <si>
    <t>18/018.765</t>
  </si>
  <si>
    <t>18/038.765</t>
  </si>
  <si>
    <t>18/058.765</t>
  </si>
  <si>
    <t>18/078.765</t>
  </si>
  <si>
    <t>18/098.765</t>
  </si>
  <si>
    <t>18/118.765</t>
  </si>
  <si>
    <t>18/138.765</t>
  </si>
  <si>
    <t>18/158.765</t>
  </si>
  <si>
    <t>18/178.765</t>
  </si>
  <si>
    <t>18/198.765</t>
  </si>
  <si>
    <t>18/218.765</t>
  </si>
  <si>
    <t>18/238.765</t>
  </si>
  <si>
    <t>18/258.765</t>
  </si>
  <si>
    <t>18/278.765</t>
  </si>
  <si>
    <t>18/298.765</t>
  </si>
  <si>
    <t>18/318.765</t>
  </si>
  <si>
    <t>18/338.765</t>
  </si>
  <si>
    <t>18/358.765</t>
  </si>
  <si>
    <t>18/378.765</t>
  </si>
  <si>
    <t>18/398.765</t>
  </si>
  <si>
    <t>18/418.765</t>
  </si>
  <si>
    <t>18/438.765</t>
  </si>
  <si>
    <t>18/458.765</t>
  </si>
  <si>
    <t>18/478.765</t>
  </si>
  <si>
    <t>18/498.765</t>
  </si>
  <si>
    <t>18/518.765</t>
  </si>
  <si>
    <t>18/538.765</t>
  </si>
  <si>
    <t>18/558.765</t>
  </si>
  <si>
    <t>18/578.765</t>
  </si>
  <si>
    <t>18/598.765</t>
  </si>
  <si>
    <t>18/618.765</t>
  </si>
  <si>
    <t>18/638.765</t>
  </si>
  <si>
    <t>18/658.765</t>
  </si>
  <si>
    <t>18/678.765</t>
  </si>
  <si>
    <t>18/698.765</t>
  </si>
  <si>
    <t>18/718.765</t>
  </si>
  <si>
    <t>18/738.765</t>
  </si>
  <si>
    <t>18/758.765</t>
  </si>
  <si>
    <t>18/778.765</t>
  </si>
  <si>
    <t>18/798.765</t>
  </si>
  <si>
    <t>18/818.765</t>
  </si>
  <si>
    <t>18/838.765</t>
  </si>
  <si>
    <t>18/858.765</t>
  </si>
  <si>
    <t>18/878.765</t>
  </si>
  <si>
    <t>18/898.765</t>
  </si>
  <si>
    <t>18/918.765</t>
  </si>
  <si>
    <t>18/938.765</t>
  </si>
  <si>
    <t>18/958.765</t>
  </si>
  <si>
    <t>18/978.765</t>
  </si>
  <si>
    <t>18/998.765</t>
  </si>
  <si>
    <t>18/1000.500-19/000.000</t>
  </si>
  <si>
    <t>19/018.265</t>
  </si>
  <si>
    <t>19/038.265</t>
  </si>
  <si>
    <t>19/058.265</t>
  </si>
  <si>
    <t>19/078.265</t>
  </si>
  <si>
    <t>19/098.265</t>
  </si>
  <si>
    <t>19/118.265</t>
  </si>
  <si>
    <t>19/138.265</t>
  </si>
  <si>
    <t>19/158.265</t>
  </si>
  <si>
    <t>19/178.265</t>
  </si>
  <si>
    <t>19/198.265</t>
  </si>
  <si>
    <t>19/218.265</t>
  </si>
  <si>
    <t>19/238.265</t>
  </si>
  <si>
    <t>19/258.265</t>
  </si>
  <si>
    <t>19/278.265</t>
  </si>
  <si>
    <t>19/298.265</t>
  </si>
  <si>
    <t>19/318.265</t>
  </si>
  <si>
    <t>19/338.265</t>
  </si>
  <si>
    <t>19/358.265</t>
  </si>
  <si>
    <t>19/378.265</t>
  </si>
  <si>
    <t>19/398.265</t>
  </si>
  <si>
    <t>19/418.265</t>
  </si>
  <si>
    <t>19/438.265</t>
  </si>
  <si>
    <t>19/458.265</t>
  </si>
  <si>
    <t>19/478.265</t>
  </si>
  <si>
    <t>19/498.265</t>
  </si>
  <si>
    <t>19/518.265</t>
  </si>
  <si>
    <t>19/538.265</t>
  </si>
  <si>
    <t>19/558.265</t>
  </si>
  <si>
    <t>19/578.265</t>
  </si>
  <si>
    <t>19/598.265</t>
  </si>
  <si>
    <t>19/618.265</t>
  </si>
  <si>
    <t>19/638.265</t>
  </si>
  <si>
    <t>19/658.265</t>
  </si>
  <si>
    <t>19/678.265</t>
  </si>
  <si>
    <t>19/698.265</t>
  </si>
  <si>
    <t>19/718.265</t>
  </si>
  <si>
    <t>19/738.265</t>
  </si>
  <si>
    <t>19/758.265</t>
  </si>
  <si>
    <t>19/778.265</t>
  </si>
  <si>
    <t>19/798.265</t>
  </si>
  <si>
    <t>19/818.265</t>
  </si>
  <si>
    <t>19/838.265</t>
  </si>
  <si>
    <t>19/858.265</t>
  </si>
  <si>
    <t>19/878.265</t>
  </si>
  <si>
    <t>19/898.265</t>
  </si>
  <si>
    <t>19/918.265</t>
  </si>
  <si>
    <t>19/938.265</t>
  </si>
  <si>
    <t>19/958.265</t>
  </si>
  <si>
    <t>19/978.265</t>
  </si>
  <si>
    <t>19/998.265</t>
  </si>
  <si>
    <t>19/1000.810-20/000.000</t>
  </si>
  <si>
    <t>20/017.455</t>
  </si>
  <si>
    <t>20/037.455</t>
  </si>
  <si>
    <t>20/057.455</t>
  </si>
  <si>
    <t>20/077.455</t>
  </si>
  <si>
    <t>20/097.455</t>
  </si>
  <si>
    <t>20/117.455</t>
  </si>
  <si>
    <t>20/137.455</t>
  </si>
  <si>
    <t>20/157.455</t>
  </si>
  <si>
    <t>20/177.455</t>
  </si>
  <si>
    <t>20/197.455</t>
  </si>
  <si>
    <t>20/217.455</t>
  </si>
  <si>
    <t>20/237.455</t>
  </si>
  <si>
    <t>20/257.455</t>
  </si>
  <si>
    <t>20/277.455</t>
  </si>
  <si>
    <t>20/297.455</t>
  </si>
  <si>
    <t>20/317.455</t>
  </si>
  <si>
    <t>20/337.455</t>
  </si>
  <si>
    <t>20/357.455</t>
  </si>
  <si>
    <t>20/377.455</t>
  </si>
  <si>
    <t>20/397.455</t>
  </si>
  <si>
    <t>20/417.455</t>
  </si>
  <si>
    <t>20/437.455</t>
  </si>
  <si>
    <t>20/457.455</t>
  </si>
  <si>
    <t>20/477.455</t>
  </si>
  <si>
    <t>20/497.455</t>
  </si>
  <si>
    <t>20/517.455</t>
  </si>
  <si>
    <t>20/537.455</t>
  </si>
  <si>
    <t>20/557.455</t>
  </si>
  <si>
    <t>20/577.455</t>
  </si>
  <si>
    <t>20/597.455</t>
  </si>
  <si>
    <t>20/617.455</t>
  </si>
  <si>
    <t>20/637.455</t>
  </si>
  <si>
    <t>20/657.455</t>
  </si>
  <si>
    <t>20/677.455</t>
  </si>
  <si>
    <t>20/697.455</t>
  </si>
  <si>
    <t>20/717.455</t>
  </si>
  <si>
    <t>20/737.455</t>
  </si>
  <si>
    <t>20/757.455</t>
  </si>
  <si>
    <t>20/777.455</t>
  </si>
  <si>
    <t>20/797.455</t>
  </si>
  <si>
    <t>20/817.455</t>
  </si>
  <si>
    <t>20/837.455</t>
  </si>
  <si>
    <t>20/857.455</t>
  </si>
  <si>
    <t>20/877.455</t>
  </si>
  <si>
    <t>20/897.455</t>
  </si>
  <si>
    <t>20/917.455</t>
  </si>
  <si>
    <t>20/937.455</t>
  </si>
  <si>
    <t>20/957.455</t>
  </si>
  <si>
    <t>20/977.455</t>
  </si>
  <si>
    <t>20/997.455</t>
  </si>
  <si>
    <t>20/1000.900-21/000.000</t>
  </si>
  <si>
    <t>21/016.555</t>
  </si>
  <si>
    <t>21/036.555</t>
  </si>
  <si>
    <t>21/056.555</t>
  </si>
  <si>
    <t>21/076.555</t>
  </si>
  <si>
    <t>21/096.555</t>
  </si>
  <si>
    <t>21/116.555</t>
  </si>
  <si>
    <t>21/136.555</t>
  </si>
  <si>
    <t>21/156.555</t>
  </si>
  <si>
    <t>21/176.555</t>
  </si>
  <si>
    <t>21/196.555</t>
  </si>
  <si>
    <t>21/216.555</t>
  </si>
  <si>
    <t>21/236.555</t>
  </si>
  <si>
    <t>21/256.555</t>
  </si>
  <si>
    <t>21/276.555</t>
  </si>
  <si>
    <t>21/296.555</t>
  </si>
  <si>
    <t>21/316.555</t>
  </si>
  <si>
    <t>21/336.555</t>
  </si>
  <si>
    <t>21/356.555</t>
  </si>
  <si>
    <t>21/376.555</t>
  </si>
  <si>
    <t>21/396.555</t>
  </si>
  <si>
    <t>21/416.555</t>
  </si>
  <si>
    <t>21/436.555</t>
  </si>
  <si>
    <t>21/456.555</t>
  </si>
  <si>
    <t>21/476.555</t>
  </si>
  <si>
    <t>21/496.555</t>
  </si>
  <si>
    <t>21/516.555</t>
  </si>
  <si>
    <t>21/536.555</t>
  </si>
  <si>
    <t>21/556.555</t>
  </si>
  <si>
    <t>21/576.555</t>
  </si>
  <si>
    <t>21/596.555</t>
  </si>
  <si>
    <t>21/616.555</t>
  </si>
  <si>
    <t>21/636.555</t>
  </si>
  <si>
    <t>21/656.555</t>
  </si>
  <si>
    <t>21/676.555</t>
  </si>
  <si>
    <t>21/696.555</t>
  </si>
  <si>
    <t>21/716.555</t>
  </si>
  <si>
    <t>21/736.555</t>
  </si>
  <si>
    <t>21/756.555</t>
  </si>
  <si>
    <t>21/776.555</t>
  </si>
  <si>
    <t>21/796.555</t>
  </si>
  <si>
    <t>21/816.555</t>
  </si>
  <si>
    <t>21/836.555</t>
  </si>
  <si>
    <t>21/856.555</t>
  </si>
  <si>
    <t>21/876.555</t>
  </si>
  <si>
    <t>21/896.555</t>
  </si>
  <si>
    <t>21/916.555</t>
  </si>
  <si>
    <t>21/936.555</t>
  </si>
  <si>
    <t>21/956.555</t>
  </si>
  <si>
    <t>21/976.555</t>
  </si>
  <si>
    <t>21/996.555</t>
  </si>
  <si>
    <t>21/1000.070-22/000.000</t>
  </si>
  <si>
    <t>22/016.485</t>
  </si>
  <si>
    <t>22/036.485</t>
  </si>
  <si>
    <t>22/056.485</t>
  </si>
  <si>
    <t>22/076.485</t>
  </si>
  <si>
    <t>22/096.485</t>
  </si>
  <si>
    <t>22/116.485</t>
  </si>
  <si>
    <t>22/136.485</t>
  </si>
  <si>
    <t>22/156.485</t>
  </si>
  <si>
    <t>22/176.485</t>
  </si>
  <si>
    <t>22/196.485</t>
  </si>
  <si>
    <t>22/216.485</t>
  </si>
  <si>
    <t>22/236.485</t>
  </si>
  <si>
    <t>22/256.485</t>
  </si>
  <si>
    <t>22/276.485</t>
  </si>
  <si>
    <t>22/296.485</t>
  </si>
  <si>
    <t>22/316.485</t>
  </si>
  <si>
    <t>22/336.485</t>
  </si>
  <si>
    <t>22/356.485</t>
  </si>
  <si>
    <t>22/376.485</t>
  </si>
  <si>
    <t>22/396.485</t>
  </si>
  <si>
    <t>22/416.485</t>
  </si>
  <si>
    <t>22/436.485</t>
  </si>
  <si>
    <t>22/456.485</t>
  </si>
  <si>
    <t>22/476.485</t>
  </si>
  <si>
    <t>22/496.485</t>
  </si>
  <si>
    <t>22/516.485</t>
  </si>
  <si>
    <t>22/536.485</t>
  </si>
  <si>
    <t>22/556.485</t>
  </si>
  <si>
    <t>22/576.485</t>
  </si>
  <si>
    <t>22/596.485</t>
  </si>
  <si>
    <t>22/616.485</t>
  </si>
  <si>
    <t>22/636.485</t>
  </si>
  <si>
    <t>22/656.485</t>
  </si>
  <si>
    <t>22/676.485</t>
  </si>
  <si>
    <t>22/696.485</t>
  </si>
  <si>
    <t>22/716.485</t>
  </si>
  <si>
    <t>22/736.485</t>
  </si>
  <si>
    <t>22/756.485</t>
  </si>
  <si>
    <t>22/776.485</t>
  </si>
  <si>
    <t>22/796.485</t>
  </si>
  <si>
    <t>22/816.485</t>
  </si>
  <si>
    <t>22/836.485</t>
  </si>
  <si>
    <t>22/856.485</t>
  </si>
  <si>
    <t>22/876.485</t>
  </si>
  <si>
    <t>22/896.485</t>
  </si>
  <si>
    <t>22/916.485</t>
  </si>
  <si>
    <t>22/936.485</t>
  </si>
  <si>
    <t>22/956.485</t>
  </si>
  <si>
    <t>22/976.485</t>
  </si>
  <si>
    <t>22/996.485</t>
  </si>
  <si>
    <t>22/998.860-23/000.000</t>
  </si>
  <si>
    <t>23/017.625</t>
  </si>
  <si>
    <t>23/037.625</t>
  </si>
  <si>
    <t>23/057.625</t>
  </si>
  <si>
    <t>23/077.625</t>
  </si>
  <si>
    <t>23/097.625</t>
  </si>
  <si>
    <t>23/117.625</t>
  </si>
  <si>
    <t>23/137.625</t>
  </si>
  <si>
    <t>23/157.625</t>
  </si>
  <si>
    <t>23/177.625</t>
  </si>
  <si>
    <t>23/197.625</t>
  </si>
  <si>
    <t>23/217.625</t>
  </si>
  <si>
    <t>23/237.625</t>
  </si>
  <si>
    <t>23/257.625</t>
  </si>
  <si>
    <t>23/277.625</t>
  </si>
  <si>
    <t>23/297.625</t>
  </si>
  <si>
    <t>23/317.625</t>
  </si>
  <si>
    <t>23/337.625</t>
  </si>
  <si>
    <t>23/357.625</t>
  </si>
  <si>
    <t>23/377.625</t>
  </si>
  <si>
    <t>23/397.625</t>
  </si>
  <si>
    <t>23/417.625</t>
  </si>
  <si>
    <t>23/437.625</t>
  </si>
  <si>
    <t>23/457.625</t>
  </si>
  <si>
    <t>23/477.625</t>
  </si>
  <si>
    <t>23/497.625</t>
  </si>
  <si>
    <t>23/517.625</t>
  </si>
  <si>
    <t>23/537.625</t>
  </si>
  <si>
    <t>23/557.625</t>
  </si>
  <si>
    <t>23/577.625</t>
  </si>
  <si>
    <t>23/597.625</t>
  </si>
  <si>
    <t>23/617.625</t>
  </si>
  <si>
    <t>23/637.625</t>
  </si>
  <si>
    <t>23/657.625</t>
  </si>
  <si>
    <t>23/677.625</t>
  </si>
  <si>
    <t>23/697.625</t>
  </si>
  <si>
    <t>23/717.625</t>
  </si>
  <si>
    <t>23/737.625</t>
  </si>
  <si>
    <t>23/757.625</t>
  </si>
  <si>
    <t>23/777.625</t>
  </si>
  <si>
    <t>23/797.625</t>
  </si>
  <si>
    <t>23/817.625</t>
  </si>
  <si>
    <t>23/837.625</t>
  </si>
  <si>
    <t>23/857.625</t>
  </si>
  <si>
    <t>23/877.625</t>
  </si>
  <si>
    <t>23/897.625</t>
  </si>
  <si>
    <t>23/917.625</t>
  </si>
  <si>
    <t>23/937.625</t>
  </si>
  <si>
    <t>23/957.625</t>
  </si>
  <si>
    <t>23/977.625</t>
  </si>
  <si>
    <t>23/997.625</t>
  </si>
  <si>
    <t>23/1001.160-24/000.000</t>
  </si>
  <si>
    <t>24/016.465</t>
  </si>
  <si>
    <t>24/036.465</t>
  </si>
  <si>
    <t>24/056.465</t>
  </si>
  <si>
    <t>24/076.465</t>
  </si>
  <si>
    <t>24/096.465</t>
  </si>
  <si>
    <t>24/116.465</t>
  </si>
  <si>
    <t>24/136.465</t>
  </si>
  <si>
    <t>24/156.465</t>
  </si>
  <si>
    <t>24/176.465</t>
  </si>
  <si>
    <t>24/196.465</t>
  </si>
  <si>
    <t>24/216.465</t>
  </si>
  <si>
    <t>24/236.465</t>
  </si>
  <si>
    <t>24/256.465</t>
  </si>
  <si>
    <t>24/276.465</t>
  </si>
  <si>
    <t>24/296.465</t>
  </si>
  <si>
    <t>24/316.465</t>
  </si>
  <si>
    <t>24/336.465</t>
  </si>
  <si>
    <t>24/356.465</t>
  </si>
  <si>
    <t>24/376.465</t>
  </si>
  <si>
    <t>24/396.465</t>
  </si>
  <si>
    <t>24/416.465</t>
  </si>
  <si>
    <t>24/436.465</t>
  </si>
  <si>
    <t>24/456.465</t>
  </si>
  <si>
    <t>24/476.465</t>
  </si>
  <si>
    <t>24/496.465</t>
  </si>
  <si>
    <t>24/516.465</t>
  </si>
  <si>
    <t>24/536.465</t>
  </si>
  <si>
    <t>24/556.465</t>
  </si>
  <si>
    <t>24/576.465</t>
  </si>
  <si>
    <t>24/596.465</t>
  </si>
  <si>
    <t>24/616.465</t>
  </si>
  <si>
    <t>24/636.465</t>
  </si>
  <si>
    <t>24/656.465</t>
  </si>
  <si>
    <t>24/676.465</t>
  </si>
  <si>
    <t>24/696.465</t>
  </si>
  <si>
    <t>24/716.465</t>
  </si>
  <si>
    <t>24/736.465</t>
  </si>
  <si>
    <t>24/756.465</t>
  </si>
  <si>
    <t>24/776.465</t>
  </si>
  <si>
    <t>24/796.465</t>
  </si>
  <si>
    <t>24/816.465</t>
  </si>
  <si>
    <t>24/836.465</t>
  </si>
  <si>
    <t>24/856.465</t>
  </si>
  <si>
    <t>24/876.465</t>
  </si>
  <si>
    <t>24/896.465</t>
  </si>
  <si>
    <t>24/916.465</t>
  </si>
  <si>
    <t>24/936.465</t>
  </si>
  <si>
    <t>24/956.465</t>
  </si>
  <si>
    <t>24/976.465</t>
  </si>
  <si>
    <t>24/996.465</t>
  </si>
  <si>
    <t>24/1000.000-25/000.000</t>
  </si>
  <si>
    <t>25/016.465</t>
  </si>
  <si>
    <t>25/036.465</t>
  </si>
  <si>
    <t>25/056.465</t>
  </si>
  <si>
    <t>25/076.465</t>
  </si>
  <si>
    <t>25/096.465</t>
  </si>
  <si>
    <t>25/116.465</t>
  </si>
  <si>
    <t>25/136.465</t>
  </si>
  <si>
    <t>25/156.465</t>
  </si>
  <si>
    <t>25/176.465</t>
  </si>
  <si>
    <t>25/196.465</t>
  </si>
  <si>
    <t>25/216.465</t>
  </si>
  <si>
    <t>25/236.465</t>
  </si>
  <si>
    <t>25/256.465</t>
  </si>
  <si>
    <t>25/276.465</t>
  </si>
  <si>
    <t>25/296.465</t>
  </si>
  <si>
    <t>25/316.465</t>
  </si>
  <si>
    <t>25/336.465</t>
  </si>
  <si>
    <t>25/356.465</t>
  </si>
  <si>
    <t>25/376.465</t>
  </si>
  <si>
    <t>25/396.465</t>
  </si>
  <si>
    <t>25/416.465</t>
  </si>
  <si>
    <t>25/436.465</t>
  </si>
  <si>
    <t>25/456.465</t>
  </si>
  <si>
    <t>25/476.465</t>
  </si>
  <si>
    <t>25/496.465</t>
  </si>
  <si>
    <t>25/516.465</t>
  </si>
  <si>
    <t>25/536.465</t>
  </si>
  <si>
    <t>25/556.465</t>
  </si>
  <si>
    <t>25/576.465</t>
  </si>
  <si>
    <t>25/596.465</t>
  </si>
  <si>
    <t>25/616.465</t>
  </si>
  <si>
    <t>25/636.465</t>
  </si>
  <si>
    <t>25/656.465</t>
  </si>
  <si>
    <t>25/676.465</t>
  </si>
  <si>
    <t>25/696.465</t>
  </si>
  <si>
    <t>25/716.465</t>
  </si>
  <si>
    <t>25/736.465</t>
  </si>
  <si>
    <t>25/756.465</t>
  </si>
  <si>
    <t>25/776.465</t>
  </si>
  <si>
    <t>25/796.465</t>
  </si>
  <si>
    <t>25/816.465</t>
  </si>
  <si>
    <t>25/836.465</t>
  </si>
  <si>
    <t>25/856.465</t>
  </si>
  <si>
    <t>25/876.465</t>
  </si>
  <si>
    <t>25/896.465</t>
  </si>
  <si>
    <t>25/916.465</t>
  </si>
  <si>
    <t>25/936.465</t>
  </si>
  <si>
    <t>25/956.465</t>
  </si>
  <si>
    <t>25/976.465</t>
  </si>
  <si>
    <t>25/996.465</t>
  </si>
  <si>
    <t>25/1000.610-26/000.000</t>
  </si>
  <si>
    <t>26/015.855</t>
  </si>
  <si>
    <t>26/035.855</t>
  </si>
  <si>
    <t>26/055.855</t>
  </si>
  <si>
    <t>26/075.855</t>
  </si>
  <si>
    <t>26/095.855</t>
  </si>
  <si>
    <t>26/115.855</t>
  </si>
  <si>
    <t>26/135.855</t>
  </si>
  <si>
    <t>26/155.855</t>
  </si>
  <si>
    <t>26/175.855</t>
  </si>
  <si>
    <t>26/195.855</t>
  </si>
  <si>
    <t>26/215.855</t>
  </si>
  <si>
    <t>26/235.855</t>
  </si>
  <si>
    <t>26/255.855</t>
  </si>
  <si>
    <t>26/275.855</t>
  </si>
  <si>
    <t>26/295.855</t>
  </si>
  <si>
    <t>26/315.855</t>
  </si>
  <si>
    <t>26/335.855</t>
  </si>
  <si>
    <t>26/355.855</t>
  </si>
  <si>
    <t>26/375.855</t>
  </si>
  <si>
    <t>26/395.855</t>
  </si>
  <si>
    <t>26/415.855</t>
  </si>
  <si>
    <t>26/435.855</t>
  </si>
  <si>
    <t>26/455.855</t>
  </si>
  <si>
    <t>26/475.855</t>
  </si>
  <si>
    <t>26/495.855</t>
  </si>
  <si>
    <t>26/515.855</t>
  </si>
  <si>
    <t>26/535.855</t>
  </si>
  <si>
    <t>26/555.855</t>
  </si>
  <si>
    <t>26/575.855</t>
  </si>
  <si>
    <t>26/595.855</t>
  </si>
  <si>
    <t>26/615.855</t>
  </si>
  <si>
    <t>26/635.855</t>
  </si>
  <si>
    <t>26/655.855</t>
  </si>
  <si>
    <t>26/675.855</t>
  </si>
  <si>
    <t>26/695.855</t>
  </si>
  <si>
    <t>26/715.855</t>
  </si>
  <si>
    <t>26/735.855</t>
  </si>
  <si>
    <t>26/755.855</t>
  </si>
  <si>
    <t>26/775.855</t>
  </si>
  <si>
    <t>26/795.855</t>
  </si>
  <si>
    <t>26/815.855</t>
  </si>
  <si>
    <t>26/835.855</t>
  </si>
  <si>
    <t>26/855.855</t>
  </si>
  <si>
    <t>26/875.855</t>
  </si>
  <si>
    <t>26/895.855</t>
  </si>
  <si>
    <t>26/915.855</t>
  </si>
  <si>
    <t>26/935.855</t>
  </si>
  <si>
    <t>26/955.855</t>
  </si>
  <si>
    <t>26/975.855</t>
  </si>
  <si>
    <t>26/995.855</t>
  </si>
  <si>
    <t>26/1000.580-27/000.000</t>
  </si>
  <si>
    <t>27/015.275</t>
  </si>
  <si>
    <t>27/035.275</t>
  </si>
  <si>
    <t>27/055.275</t>
  </si>
  <si>
    <t>27/075.275</t>
  </si>
  <si>
    <t>27/095.275</t>
  </si>
  <si>
    <t>27/115.275</t>
  </si>
  <si>
    <t>27/135.275</t>
  </si>
  <si>
    <t>27/155.275</t>
  </si>
  <si>
    <t>27/175.275</t>
  </si>
  <si>
    <t>27/195.275</t>
  </si>
  <si>
    <t>27/215.275</t>
  </si>
  <si>
    <t>27/235.275</t>
  </si>
  <si>
    <t>27/255.275</t>
  </si>
  <si>
    <t>27/275.275</t>
  </si>
  <si>
    <t>27/295.275</t>
  </si>
  <si>
    <t>27/315.275</t>
  </si>
  <si>
    <t>27/335.275</t>
  </si>
  <si>
    <t>27/355.275</t>
  </si>
  <si>
    <t>27/375.275</t>
  </si>
  <si>
    <t>27/395.275</t>
  </si>
  <si>
    <t>27/415.275</t>
  </si>
  <si>
    <t>27/435.275</t>
  </si>
  <si>
    <t>27/455.275</t>
  </si>
  <si>
    <t>27/475.275</t>
  </si>
  <si>
    <t>27/495.275</t>
  </si>
  <si>
    <t>27/515.275</t>
  </si>
  <si>
    <t>27/535.275</t>
  </si>
  <si>
    <t>27/555.275</t>
  </si>
  <si>
    <t>27/575.275</t>
  </si>
  <si>
    <t>27/595.275</t>
  </si>
  <si>
    <t>27/615.275</t>
  </si>
  <si>
    <t>27/635.275</t>
  </si>
  <si>
    <t>27/655.275</t>
  </si>
  <si>
    <t>27/675.275</t>
  </si>
  <si>
    <t>27/695.275</t>
  </si>
  <si>
    <t>27/715.275</t>
  </si>
  <si>
    <t>27/735.275</t>
  </si>
  <si>
    <t>27/755.275</t>
  </si>
  <si>
    <t>27/775.275</t>
  </si>
  <si>
    <t>27/795.275</t>
  </si>
  <si>
    <t>27/815.275</t>
  </si>
  <si>
    <t>27/835.275</t>
  </si>
  <si>
    <t>27/855.275</t>
  </si>
  <si>
    <t>27/875.275</t>
  </si>
  <si>
    <t>27/895.275</t>
  </si>
  <si>
    <t>27/915.275</t>
  </si>
  <si>
    <t>27/935.275</t>
  </si>
  <si>
    <t>27/955.275</t>
  </si>
  <si>
    <t>27/975.275</t>
  </si>
  <si>
    <t>27/995.275</t>
  </si>
  <si>
    <t>27/1000.370-28/000.000</t>
  </si>
  <si>
    <t>28/014.905</t>
  </si>
  <si>
    <t>28/034.905</t>
  </si>
  <si>
    <t>28/054.905</t>
  </si>
  <si>
    <t>28/074.905</t>
  </si>
  <si>
    <t>28/094.905</t>
  </si>
  <si>
    <t>28/114.905</t>
  </si>
  <si>
    <t>28/134.905</t>
  </si>
  <si>
    <t>28/154.905</t>
  </si>
  <si>
    <t>28/174.905</t>
  </si>
  <si>
    <t>28/194.905</t>
  </si>
  <si>
    <t>28/214.905</t>
  </si>
  <si>
    <t>28/234.905</t>
  </si>
  <si>
    <t>28/254.905</t>
  </si>
  <si>
    <t>28/274.905</t>
  </si>
  <si>
    <t>28/294.905</t>
  </si>
  <si>
    <t>28/314.905</t>
  </si>
  <si>
    <t>28/334.905</t>
  </si>
  <si>
    <t>28/354.905</t>
  </si>
  <si>
    <t>28/374.905</t>
  </si>
  <si>
    <t>28/394.905</t>
  </si>
  <si>
    <t>28/414.905</t>
  </si>
  <si>
    <t>28/434.905</t>
  </si>
  <si>
    <t>28/454.905</t>
  </si>
  <si>
    <t>28/474.905</t>
  </si>
  <si>
    <t>28/494.905</t>
  </si>
  <si>
    <t>28/514.905</t>
  </si>
  <si>
    <t>28/534.905</t>
  </si>
  <si>
    <t>28/554.905</t>
  </si>
  <si>
    <t>28/574.905</t>
  </si>
  <si>
    <t>28/594.905</t>
  </si>
  <si>
    <t>28/614.905</t>
  </si>
  <si>
    <t>28/634.905</t>
  </si>
  <si>
    <t>28/654.905</t>
  </si>
  <si>
    <t>28/674.905</t>
  </si>
  <si>
    <t>28/694.905</t>
  </si>
  <si>
    <t>28/714.905</t>
  </si>
  <si>
    <t>28/734.905</t>
  </si>
  <si>
    <t>28/754.905</t>
  </si>
  <si>
    <t>28/774.905</t>
  </si>
  <si>
    <t>28/794.905</t>
  </si>
  <si>
    <t>28/814.905</t>
  </si>
  <si>
    <t>28/834.905</t>
  </si>
  <si>
    <t>28/854.905</t>
  </si>
  <si>
    <t>28/874.905</t>
  </si>
  <si>
    <t>28/894.905</t>
  </si>
  <si>
    <t>28/914.905</t>
  </si>
  <si>
    <t>28/934.905</t>
  </si>
  <si>
    <t>28/954.905</t>
  </si>
  <si>
    <t>28/974.905</t>
  </si>
  <si>
    <t>28/994.905</t>
  </si>
  <si>
    <t>28/1002.160-29/000.000</t>
  </si>
  <si>
    <t>29/012.745</t>
  </si>
  <si>
    <t>29/032.745</t>
  </si>
  <si>
    <t>29/052.745</t>
  </si>
  <si>
    <t>29/072.745</t>
  </si>
  <si>
    <t>29/092.745</t>
  </si>
  <si>
    <t>29/112.745</t>
  </si>
  <si>
    <t>29/132.745</t>
  </si>
  <si>
    <t>29/152.745</t>
  </si>
  <si>
    <t>29/172.745</t>
  </si>
  <si>
    <t>29/192.745</t>
  </si>
  <si>
    <t>29/212.745</t>
  </si>
  <si>
    <t>29/232.745</t>
  </si>
  <si>
    <t>29/252.745</t>
  </si>
  <si>
    <t>29/272.745</t>
  </si>
  <si>
    <t>29/292.745</t>
  </si>
  <si>
    <t>29/312.745</t>
  </si>
  <si>
    <t>29/332.745</t>
  </si>
  <si>
    <t>29/352.745</t>
  </si>
  <si>
    <t>29/372.745</t>
  </si>
  <si>
    <t>29/392.745</t>
  </si>
  <si>
    <t>29/412.745</t>
  </si>
  <si>
    <t>29/432.745</t>
  </si>
  <si>
    <t>29/452.745</t>
  </si>
  <si>
    <t>29/472.745</t>
  </si>
  <si>
    <t>29/492.745</t>
  </si>
  <si>
    <t>29/512.745</t>
  </si>
  <si>
    <t>29/532.745</t>
  </si>
  <si>
    <t>29/552.745</t>
  </si>
  <si>
    <t>29/572.745</t>
  </si>
  <si>
    <t>29/592.745</t>
  </si>
  <si>
    <t>29/612.745</t>
  </si>
  <si>
    <t>29/632.745</t>
  </si>
  <si>
    <t>29/652.745</t>
  </si>
  <si>
    <t>29/672.745</t>
  </si>
  <si>
    <t>29/692.745</t>
  </si>
  <si>
    <t>29/712.745</t>
  </si>
  <si>
    <t>29/732.745</t>
  </si>
  <si>
    <t>29/752.745</t>
  </si>
  <si>
    <t>29/772.745</t>
  </si>
  <si>
    <t>29/792.745</t>
  </si>
  <si>
    <t>29/812.745</t>
  </si>
  <si>
    <t>29/832.745</t>
  </si>
  <si>
    <t>29/852.745</t>
  </si>
  <si>
    <t>29/872.745</t>
  </si>
  <si>
    <t>29/892.745</t>
  </si>
  <si>
    <t>29/912.745</t>
  </si>
  <si>
    <t>29/932.745</t>
  </si>
  <si>
    <t>29/952.745</t>
  </si>
  <si>
    <t>29/972.745</t>
  </si>
  <si>
    <t>29/992.745</t>
  </si>
  <si>
    <t>29/1000.600-30/000.000</t>
  </si>
  <si>
    <t>30/012.145</t>
  </si>
  <si>
    <t>30/032.145</t>
  </si>
  <si>
    <t>30/052.145</t>
  </si>
  <si>
    <t>30/072.145</t>
  </si>
  <si>
    <t>30/092.145</t>
  </si>
  <si>
    <t>30/112.145</t>
  </si>
  <si>
    <t>30/132.145</t>
  </si>
  <si>
    <t>30/152.145</t>
  </si>
  <si>
    <t>30/172.145</t>
  </si>
  <si>
    <t>30/192.145</t>
  </si>
  <si>
    <t>30/212.145</t>
  </si>
  <si>
    <t>30/232.145</t>
  </si>
  <si>
    <t>30/252.145</t>
  </si>
  <si>
    <t>30/272.145</t>
  </si>
  <si>
    <t>30/292.145</t>
  </si>
  <si>
    <t>30/312.145</t>
  </si>
  <si>
    <t>30/332.145</t>
  </si>
  <si>
    <t>30/352.145</t>
  </si>
  <si>
    <t>30/372.145</t>
  </si>
  <si>
    <t>30/392.145</t>
  </si>
  <si>
    <t>30/412.145</t>
  </si>
  <si>
    <t>30/432.145</t>
  </si>
  <si>
    <t>30/452.145</t>
  </si>
  <si>
    <t>30/472.145</t>
  </si>
  <si>
    <t>30/492.145</t>
  </si>
  <si>
    <t>30/512.145</t>
  </si>
  <si>
    <t>30/532.145</t>
  </si>
  <si>
    <t>30/552.145</t>
  </si>
  <si>
    <t>30/572.145</t>
  </si>
  <si>
    <t>30/592.145</t>
  </si>
  <si>
    <t>30/612.145</t>
  </si>
  <si>
    <t>30/632.145</t>
  </si>
  <si>
    <t>30/652.145</t>
  </si>
  <si>
    <t>30/672.145</t>
  </si>
  <si>
    <t>30/692.145</t>
  </si>
  <si>
    <t>30/712.145</t>
  </si>
  <si>
    <t>30/732.145</t>
  </si>
  <si>
    <t>30/752.145</t>
  </si>
  <si>
    <t>30/772.145</t>
  </si>
  <si>
    <t>30/792.145</t>
  </si>
  <si>
    <t>30/812.145</t>
  </si>
  <si>
    <t>30/832.145</t>
  </si>
  <si>
    <t>30/852.145</t>
  </si>
  <si>
    <t>30/872.145</t>
  </si>
  <si>
    <t>30/892.145</t>
  </si>
  <si>
    <t>30/912.145</t>
  </si>
  <si>
    <t>30/932.145</t>
  </si>
  <si>
    <t>30/952.145</t>
  </si>
  <si>
    <t>30/972.145</t>
  </si>
  <si>
    <t>30/976.960-31/000.000</t>
  </si>
  <si>
    <t>31/015.185</t>
  </si>
  <si>
    <t>31/035.185</t>
  </si>
  <si>
    <t>31/055.185</t>
  </si>
  <si>
    <t>31/075.185</t>
  </si>
  <si>
    <t>31/095.185</t>
  </si>
  <si>
    <t>31/115.185</t>
  </si>
  <si>
    <t>31/135.185</t>
  </si>
  <si>
    <t>31/155.185</t>
  </si>
  <si>
    <t>31/175.185</t>
  </si>
  <si>
    <t>31/195.185</t>
  </si>
  <si>
    <t>31/215.185</t>
  </si>
  <si>
    <t>31/235.185</t>
  </si>
  <si>
    <t>31/255.185</t>
  </si>
  <si>
    <t>31/275.185</t>
  </si>
  <si>
    <t>31/295.185</t>
  </si>
  <si>
    <t>31/315.185</t>
  </si>
  <si>
    <t>31/335.185</t>
  </si>
  <si>
    <t>31/355.185</t>
  </si>
  <si>
    <t>31/375.185</t>
  </si>
  <si>
    <t>31/395.185</t>
  </si>
  <si>
    <t>31/415.185</t>
  </si>
  <si>
    <t>31/435.185</t>
  </si>
  <si>
    <t>31/455.185</t>
  </si>
  <si>
    <t>31/475.185</t>
  </si>
  <si>
    <t>31/495.185</t>
  </si>
  <si>
    <t>31/515.185</t>
  </si>
  <si>
    <t>31/535.185</t>
  </si>
  <si>
    <t>31/555.185</t>
  </si>
  <si>
    <t>31/575.185</t>
  </si>
  <si>
    <t>31/595.185</t>
  </si>
  <si>
    <t>31/615.185</t>
  </si>
  <si>
    <t>31/635.185</t>
  </si>
  <si>
    <t>31/655.185</t>
  </si>
  <si>
    <t>31/675.185</t>
  </si>
  <si>
    <t>31/695.185</t>
  </si>
  <si>
    <t>31/715.185</t>
  </si>
  <si>
    <t>31/735.185</t>
  </si>
  <si>
    <t>31/755.185</t>
  </si>
  <si>
    <t>31/775.185</t>
  </si>
  <si>
    <t>31/795.185</t>
  </si>
  <si>
    <t>31/815.185</t>
  </si>
  <si>
    <t>31/835.185</t>
  </si>
  <si>
    <t>31/855.185</t>
  </si>
  <si>
    <t>31/875.185</t>
  </si>
  <si>
    <t>31/895.185</t>
  </si>
  <si>
    <t>31/915.185</t>
  </si>
  <si>
    <t>31/935.185</t>
  </si>
  <si>
    <t>31/955.185</t>
  </si>
  <si>
    <t>31/975.185</t>
  </si>
  <si>
    <t>31/995.185</t>
  </si>
  <si>
    <t>31/1000.890-32/000.000</t>
  </si>
  <si>
    <t>32/014.295</t>
  </si>
  <si>
    <t>32/034.295</t>
  </si>
  <si>
    <t>32/054.295</t>
  </si>
  <si>
    <t>32/074.295</t>
  </si>
  <si>
    <t>32/094.295</t>
  </si>
  <si>
    <t>32/114.295</t>
  </si>
  <si>
    <t>32/134.295</t>
  </si>
  <si>
    <t>32/154.295</t>
  </si>
  <si>
    <t>32/174.295</t>
  </si>
  <si>
    <t>32/194.295</t>
  </si>
  <si>
    <t>32/214.295</t>
  </si>
  <si>
    <t>32/234.295</t>
  </si>
  <si>
    <t>32/254.295</t>
  </si>
  <si>
    <t>32/274.295</t>
  </si>
  <si>
    <t>32/294.295</t>
  </si>
  <si>
    <t>32/314.295</t>
  </si>
  <si>
    <t>32/334.295</t>
  </si>
  <si>
    <t>32/354.295</t>
  </si>
  <si>
    <t>32/374.295</t>
  </si>
  <si>
    <t>32/394.295</t>
  </si>
  <si>
    <t>32/414.295</t>
  </si>
  <si>
    <t>32/434.295</t>
  </si>
  <si>
    <t>32/454.295</t>
  </si>
  <si>
    <t>32/474.295</t>
  </si>
  <si>
    <t>32/494.295</t>
  </si>
  <si>
    <t>32/514.295</t>
  </si>
  <si>
    <t>32/534.295</t>
  </si>
  <si>
    <t>32/554.295</t>
  </si>
  <si>
    <t>32/574.295</t>
  </si>
  <si>
    <t>32/594.295</t>
  </si>
  <si>
    <t>32/614.295</t>
  </si>
  <si>
    <t>32/634.295</t>
  </si>
  <si>
    <t>32/654.295</t>
  </si>
  <si>
    <t>32/674.295</t>
  </si>
  <si>
    <t>32/694.295</t>
  </si>
  <si>
    <t>32/714.295</t>
  </si>
  <si>
    <t>32/734.295</t>
  </si>
  <si>
    <t>32/754.295</t>
  </si>
  <si>
    <t>32/774.295</t>
  </si>
  <si>
    <t>32/794.295</t>
  </si>
  <si>
    <t>32/814.295</t>
  </si>
  <si>
    <t>32/834.295</t>
  </si>
  <si>
    <t>32/854.295</t>
  </si>
  <si>
    <t>32/874.295</t>
  </si>
  <si>
    <t>32/894.295</t>
  </si>
  <si>
    <t>32/914.295</t>
  </si>
  <si>
    <t>32/934.295</t>
  </si>
  <si>
    <t>32/954.295</t>
  </si>
  <si>
    <t>32/974.295</t>
  </si>
  <si>
    <t>32/994.295</t>
  </si>
  <si>
    <t>32/1000.420-33/000.000</t>
  </si>
  <si>
    <t>33/013.875</t>
  </si>
  <si>
    <t>33/033.875</t>
  </si>
  <si>
    <t>33/053.875</t>
  </si>
  <si>
    <t>33/073.875</t>
  </si>
  <si>
    <t>33/093.875</t>
  </si>
  <si>
    <t>33/113.875</t>
  </si>
  <si>
    <t>33/133.875</t>
  </si>
  <si>
    <t>33/153.875</t>
  </si>
  <si>
    <t>33/173.875</t>
  </si>
  <si>
    <t>33/193.875</t>
  </si>
  <si>
    <t>33/213.875</t>
  </si>
  <si>
    <t>33/233.875</t>
  </si>
  <si>
    <t>33/253.875</t>
  </si>
  <si>
    <t>33/273.875</t>
  </si>
  <si>
    <t>33/293.875</t>
  </si>
  <si>
    <t>33/313.875</t>
  </si>
  <si>
    <t>33/333.875</t>
  </si>
  <si>
    <t>33/353.875</t>
  </si>
  <si>
    <t>33/373.875</t>
  </si>
  <si>
    <t>33/393.875</t>
  </si>
  <si>
    <t>33/413.875</t>
  </si>
  <si>
    <t>33/433.875</t>
  </si>
  <si>
    <t>33/453.875</t>
  </si>
  <si>
    <t>33/473.875</t>
  </si>
  <si>
    <t>33/493.875</t>
  </si>
  <si>
    <t>33/513.875</t>
  </si>
  <si>
    <t>33/533.875</t>
  </si>
  <si>
    <t>33/553.875</t>
  </si>
  <si>
    <t>33/573.875</t>
  </si>
  <si>
    <t>33/593.875</t>
  </si>
  <si>
    <t>33/613.875</t>
  </si>
  <si>
    <t>33/633.875</t>
  </si>
  <si>
    <t>33/653.875</t>
  </si>
  <si>
    <t>33/673.875</t>
  </si>
  <si>
    <t>33/693.875</t>
  </si>
  <si>
    <t>33/713.875</t>
  </si>
  <si>
    <t>33/733.875</t>
  </si>
  <si>
    <t>33/753.875</t>
  </si>
  <si>
    <t>33/773.875</t>
  </si>
  <si>
    <t>33/793.875</t>
  </si>
  <si>
    <t>33/813.875</t>
  </si>
  <si>
    <t>33/833.875</t>
  </si>
  <si>
    <t>33/853.875</t>
  </si>
  <si>
    <t>33/873.875</t>
  </si>
  <si>
    <t>33/893.875</t>
  </si>
  <si>
    <t>33/913.875</t>
  </si>
  <si>
    <t>33/933.875</t>
  </si>
  <si>
    <t>33/953.875</t>
  </si>
  <si>
    <t>33/973.875</t>
  </si>
  <si>
    <t>33/993.875</t>
  </si>
  <si>
    <t>33/995.550-34/000.000</t>
  </si>
  <si>
    <t>34/018.325</t>
  </si>
  <si>
    <t>34/038.325</t>
  </si>
  <si>
    <t>34/058.325</t>
  </si>
  <si>
    <t>34/078.325</t>
  </si>
  <si>
    <t>34/098.325</t>
  </si>
  <si>
    <t>34/118.325</t>
  </si>
  <si>
    <t>34/138.325</t>
  </si>
  <si>
    <t>34/158.325</t>
  </si>
  <si>
    <t>34/178.325</t>
  </si>
  <si>
    <t>34/198.325</t>
  </si>
  <si>
    <t>34/218.325</t>
  </si>
  <si>
    <t>34/238.325</t>
  </si>
  <si>
    <t>34/258.325</t>
  </si>
  <si>
    <t>34/278.325</t>
  </si>
  <si>
    <t>34/298.325</t>
  </si>
  <si>
    <t>34/318.325</t>
  </si>
  <si>
    <t>34/338.325</t>
  </si>
  <si>
    <t>34/358.325</t>
  </si>
  <si>
    <t>34/378.325</t>
  </si>
  <si>
    <t>34/398.325</t>
  </si>
  <si>
    <t>34/418.325</t>
  </si>
  <si>
    <t>34/438.325</t>
  </si>
  <si>
    <t>34/458.325</t>
  </si>
  <si>
    <t>34/478.325</t>
  </si>
  <si>
    <t>34/498.325</t>
  </si>
  <si>
    <t>34/518.325</t>
  </si>
  <si>
    <t>34/538.325</t>
  </si>
  <si>
    <t>34/558.325</t>
  </si>
  <si>
    <t>34/578.325</t>
  </si>
  <si>
    <t>34/598.325</t>
  </si>
  <si>
    <t>34/618.325</t>
  </si>
  <si>
    <t>34/638.325</t>
  </si>
  <si>
    <t>34/658.325</t>
  </si>
  <si>
    <t>34/678.325</t>
  </si>
  <si>
    <t>34/698.325</t>
  </si>
  <si>
    <t>34/718.325</t>
  </si>
  <si>
    <t>34/738.325</t>
  </si>
  <si>
    <t>34/758.325</t>
  </si>
  <si>
    <t>34/778.325</t>
  </si>
  <si>
    <t>34/798.325</t>
  </si>
  <si>
    <t>34/818.325</t>
  </si>
  <si>
    <t>34/838.325</t>
  </si>
  <si>
    <t>34/858.325</t>
  </si>
  <si>
    <t>34/878.325</t>
  </si>
  <si>
    <t>34/898.325</t>
  </si>
  <si>
    <t>34/918.325</t>
  </si>
  <si>
    <t>34/938.325</t>
  </si>
  <si>
    <t>34/958.325</t>
  </si>
  <si>
    <t>34/978.325</t>
  </si>
  <si>
    <t>34/986.840-35/000.000</t>
  </si>
  <si>
    <t>35/011.485</t>
  </si>
  <si>
    <t>35/031.485</t>
  </si>
  <si>
    <t>35/051.485</t>
  </si>
  <si>
    <t>35/071.485</t>
  </si>
  <si>
    <t>35/091.485</t>
  </si>
  <si>
    <t>35/111.485</t>
  </si>
  <si>
    <t>35/131.485</t>
  </si>
  <si>
    <t>35/151.485</t>
  </si>
  <si>
    <t>35/171.485</t>
  </si>
  <si>
    <t>35/191.485</t>
  </si>
  <si>
    <t>35/211.485</t>
  </si>
  <si>
    <t>35/231.485</t>
  </si>
  <si>
    <t>35/251.485</t>
  </si>
  <si>
    <t>35/271.485</t>
  </si>
  <si>
    <t>35/291.485</t>
  </si>
  <si>
    <t>35/311.485</t>
  </si>
  <si>
    <t>35/331.485</t>
  </si>
  <si>
    <t>35/351.485</t>
  </si>
  <si>
    <t>35/371.485</t>
  </si>
  <si>
    <t>35/391.485</t>
  </si>
  <si>
    <t>35/411.485</t>
  </si>
  <si>
    <t>35/431.485</t>
  </si>
  <si>
    <t>35/451.485</t>
  </si>
  <si>
    <t>35/471.485</t>
  </si>
  <si>
    <t>35/491.485</t>
  </si>
  <si>
    <t>35/511.485</t>
  </si>
  <si>
    <t>35/531.485</t>
  </si>
  <si>
    <t>35/551.485</t>
  </si>
  <si>
    <t>35/571.485</t>
  </si>
  <si>
    <t>35/591.485</t>
  </si>
  <si>
    <t>35/611.485</t>
  </si>
  <si>
    <t>35/631.485</t>
  </si>
  <si>
    <t>35/651.485</t>
  </si>
  <si>
    <t>35/671.485</t>
  </si>
  <si>
    <t>35/691.485</t>
  </si>
  <si>
    <t>35/711.485</t>
  </si>
  <si>
    <t>35/731.485</t>
  </si>
  <si>
    <t>35/751.485</t>
  </si>
  <si>
    <t>35/771.485</t>
  </si>
  <si>
    <t>35/791.485</t>
  </si>
  <si>
    <t>35/811.485</t>
  </si>
  <si>
    <t>35/831.485</t>
  </si>
  <si>
    <t>35/851.485</t>
  </si>
  <si>
    <t>35/871.485</t>
  </si>
  <si>
    <t>35/891.485</t>
  </si>
  <si>
    <t>35/911.485</t>
  </si>
  <si>
    <t>35/931.485</t>
  </si>
  <si>
    <t>35/951.485</t>
  </si>
  <si>
    <t>35/971.485</t>
  </si>
  <si>
    <t>35/991.485</t>
  </si>
  <si>
    <t>35/999.690-36/000.000</t>
  </si>
  <si>
    <t>36/011.795</t>
  </si>
  <si>
    <t>36/031.795</t>
  </si>
  <si>
    <t>36/051.795</t>
  </si>
  <si>
    <t>36/071.795</t>
  </si>
  <si>
    <t>36/091.795</t>
  </si>
  <si>
    <t>36/111.795</t>
  </si>
  <si>
    <t>36/131.795</t>
  </si>
  <si>
    <t>36/151.795</t>
  </si>
  <si>
    <t>36/171.795</t>
  </si>
  <si>
    <t>36/191.795</t>
  </si>
  <si>
    <t>36/211.795</t>
  </si>
  <si>
    <t>36/231.795</t>
  </si>
  <si>
    <t>36/251.795</t>
  </si>
  <si>
    <t>36/271.795</t>
  </si>
  <si>
    <t>36/291.795</t>
  </si>
  <si>
    <t>36/311.795</t>
  </si>
  <si>
    <t>36/331.795</t>
  </si>
  <si>
    <t>36/351.795</t>
  </si>
  <si>
    <t>36/371.795</t>
  </si>
  <si>
    <t>36/391.795</t>
  </si>
  <si>
    <t>36/411.795</t>
  </si>
  <si>
    <t>36/431.795</t>
  </si>
  <si>
    <t>36/451.795</t>
  </si>
  <si>
    <t>36/471.795</t>
  </si>
  <si>
    <t>36/491.795</t>
  </si>
  <si>
    <t>36/511.795</t>
  </si>
  <si>
    <t>36/531.795</t>
  </si>
  <si>
    <t>36/551.795</t>
  </si>
  <si>
    <t>36/571.795</t>
  </si>
  <si>
    <t>36/591.795</t>
  </si>
  <si>
    <t>36/611.795</t>
  </si>
  <si>
    <t>36/631.795</t>
  </si>
  <si>
    <t>36/651.795</t>
  </si>
  <si>
    <t>36/671.795</t>
  </si>
  <si>
    <t>36/691.795</t>
  </si>
  <si>
    <t>36/711.795</t>
  </si>
  <si>
    <t>36/731.795</t>
  </si>
  <si>
    <t>36/751.795</t>
  </si>
  <si>
    <t>36/771.795</t>
  </si>
  <si>
    <t>36/791.795</t>
  </si>
  <si>
    <t>36/811.795</t>
  </si>
  <si>
    <t>36/831.795</t>
  </si>
  <si>
    <t>36/851.795</t>
  </si>
  <si>
    <t>36/871.795</t>
  </si>
  <si>
    <t>36/891.795</t>
  </si>
  <si>
    <t>36/911.795</t>
  </si>
  <si>
    <t>36/931.795</t>
  </si>
  <si>
    <t>36/951.795</t>
  </si>
  <si>
    <t>36/971.795</t>
  </si>
  <si>
    <t>36/991.795</t>
  </si>
  <si>
    <t>36/997.320-37/000.000</t>
  </si>
  <si>
    <t>37/014.475</t>
  </si>
  <si>
    <t>37/034.475</t>
  </si>
  <si>
    <t>37/054.475</t>
  </si>
  <si>
    <t>37/074.475</t>
  </si>
  <si>
    <t>37/094.475</t>
  </si>
  <si>
    <t>37/114.475</t>
  </si>
  <si>
    <t>37/134.475</t>
  </si>
  <si>
    <t>37/154.475</t>
  </si>
  <si>
    <t>37/174.475</t>
  </si>
  <si>
    <t>37/194.475</t>
  </si>
  <si>
    <t>37/214.475</t>
  </si>
  <si>
    <t>37/234.475</t>
  </si>
  <si>
    <t>37/254.475</t>
  </si>
  <si>
    <t>37/274.475</t>
  </si>
  <si>
    <t>37/294.475</t>
  </si>
  <si>
    <t>37/314.475</t>
  </si>
  <si>
    <t>37/334.475</t>
  </si>
  <si>
    <t>37/354.475</t>
  </si>
  <si>
    <t>37/374.475</t>
  </si>
  <si>
    <t>37/394.475</t>
  </si>
  <si>
    <t>37/414.475</t>
  </si>
  <si>
    <t>37/434.475</t>
  </si>
  <si>
    <t>37/454.475</t>
  </si>
  <si>
    <t>37/474.475</t>
  </si>
  <si>
    <t>37/494.475</t>
  </si>
  <si>
    <t>37/514.475</t>
  </si>
  <si>
    <t>37/534.475</t>
  </si>
  <si>
    <t>37/554.475</t>
  </si>
  <si>
    <t>37/574.475</t>
  </si>
  <si>
    <t>37/594.475</t>
  </si>
  <si>
    <t>37/614.475</t>
  </si>
  <si>
    <t>37/634.475</t>
  </si>
  <si>
    <t>37/654.475</t>
  </si>
  <si>
    <t>37/674.475</t>
  </si>
  <si>
    <t>37/694.475</t>
  </si>
  <si>
    <t>37/714.475</t>
  </si>
  <si>
    <t>37/734.475</t>
  </si>
  <si>
    <t>37/754.475</t>
  </si>
  <si>
    <t>37/774.475</t>
  </si>
  <si>
    <t>37/794.475</t>
  </si>
  <si>
    <t>37/814.475</t>
  </si>
  <si>
    <t>37/834.475</t>
  </si>
  <si>
    <t>37/854.475</t>
  </si>
  <si>
    <t>37/874.475</t>
  </si>
  <si>
    <t>37/894.475</t>
  </si>
  <si>
    <t>37/914.475</t>
  </si>
  <si>
    <t>37/934.475</t>
  </si>
  <si>
    <t>37/954.475</t>
  </si>
  <si>
    <t>37/974.475</t>
  </si>
  <si>
    <t>37/994.475</t>
  </si>
  <si>
    <t>37/1000.680-38/000.000</t>
  </si>
  <si>
    <t>38/013.795</t>
  </si>
  <si>
    <t>38/033.795</t>
  </si>
  <si>
    <t>38/053.795</t>
  </si>
  <si>
    <t>38/073.795</t>
  </si>
  <si>
    <t>38/093.795</t>
  </si>
  <si>
    <t>38/113.795</t>
  </si>
  <si>
    <t>38/133.795</t>
  </si>
  <si>
    <t>38/153.795</t>
  </si>
  <si>
    <t>38/173.795</t>
  </si>
  <si>
    <t>38/193.795</t>
  </si>
  <si>
    <t>38/213.795</t>
  </si>
  <si>
    <t>38/233.795</t>
  </si>
  <si>
    <t>38/253.795</t>
  </si>
  <si>
    <t>38/273.795</t>
  </si>
  <si>
    <t>38/293.795</t>
  </si>
  <si>
    <t>38/313.795</t>
  </si>
  <si>
    <t>38/333.795</t>
  </si>
  <si>
    <t>38/353.795</t>
  </si>
  <si>
    <t>38/373.795</t>
  </si>
  <si>
    <t>38/393.795</t>
  </si>
  <si>
    <t>38/413.795</t>
  </si>
  <si>
    <t>38/433.795</t>
  </si>
  <si>
    <t>38/453.795</t>
  </si>
  <si>
    <t>38/473.795</t>
  </si>
  <si>
    <t>38/493.795</t>
  </si>
  <si>
    <t>38/513.795</t>
  </si>
  <si>
    <t>38/533.795</t>
  </si>
  <si>
    <t>38/553.795</t>
  </si>
  <si>
    <t>38/573.795</t>
  </si>
  <si>
    <t>38/593.795</t>
  </si>
  <si>
    <t>38/613.795</t>
  </si>
  <si>
    <t>38/633.795</t>
  </si>
  <si>
    <t>38/653.795</t>
  </si>
  <si>
    <t>38/673.795</t>
  </si>
  <si>
    <t>38/693.795</t>
  </si>
  <si>
    <t>38/713.795</t>
  </si>
  <si>
    <t>38/733.795</t>
  </si>
  <si>
    <t>38/753.795</t>
  </si>
  <si>
    <t>38/773.795</t>
  </si>
  <si>
    <t>38/793.795</t>
  </si>
  <si>
    <t>38/813.795</t>
  </si>
  <si>
    <t>38/833.795</t>
  </si>
  <si>
    <t>38/853.795</t>
  </si>
  <si>
    <t>38/873.795</t>
  </si>
  <si>
    <t>38/893.795</t>
  </si>
  <si>
    <t>38/913.795</t>
  </si>
  <si>
    <t>38/933.795</t>
  </si>
  <si>
    <t>38/953.795</t>
  </si>
  <si>
    <t>38/973.795</t>
  </si>
  <si>
    <t>38/993.795</t>
  </si>
  <si>
    <t>38/1006.790-39/000.000</t>
  </si>
  <si>
    <t>39/007.005</t>
  </si>
  <si>
    <t>39/027.005</t>
  </si>
  <si>
    <t>39/047.005</t>
  </si>
  <si>
    <t>39/067.005</t>
  </si>
  <si>
    <t>39/087.005</t>
  </si>
  <si>
    <t>39/107.005</t>
  </si>
  <si>
    <t>39/127.005</t>
  </si>
  <si>
    <t>39/147.005</t>
  </si>
  <si>
    <t>39/167.005</t>
  </si>
  <si>
    <t>39/187.005</t>
  </si>
  <si>
    <t>39/207.005</t>
  </si>
  <si>
    <t>39/227.005</t>
  </si>
  <si>
    <t>39/247.005</t>
  </si>
  <si>
    <t>39/267.005</t>
  </si>
  <si>
    <t>39/287.005</t>
  </si>
  <si>
    <t>39/307.005</t>
  </si>
  <si>
    <t>39/327.005</t>
  </si>
  <si>
    <t>39/347.005</t>
  </si>
  <si>
    <t>39/367.005</t>
  </si>
  <si>
    <t>39/387.005</t>
  </si>
  <si>
    <t>39/407.005</t>
  </si>
  <si>
    <t>39/427.005</t>
  </si>
  <si>
    <t>39/447.005</t>
  </si>
  <si>
    <t>39/467.005</t>
  </si>
  <si>
    <t>39/487.005</t>
  </si>
  <si>
    <t>39/507.005</t>
  </si>
  <si>
    <t>39/527.005</t>
  </si>
  <si>
    <t>39/547.005</t>
  </si>
  <si>
    <t>39/567.005</t>
  </si>
  <si>
    <t>39/587.005</t>
  </si>
  <si>
    <t>39/607.005</t>
  </si>
  <si>
    <t>39/627.005</t>
  </si>
  <si>
    <t>39/647.005</t>
  </si>
  <si>
    <t>39/667.005</t>
  </si>
  <si>
    <t>39/687.005</t>
  </si>
  <si>
    <t>39/707.005</t>
  </si>
  <si>
    <t>39/727.005</t>
  </si>
  <si>
    <t>39/747.005</t>
  </si>
  <si>
    <t>39/767.005</t>
  </si>
  <si>
    <t>39/787.005</t>
  </si>
  <si>
    <t>39/807.005</t>
  </si>
  <si>
    <t>39/827.005</t>
  </si>
  <si>
    <t>39/847.005</t>
  </si>
  <si>
    <t>39/867.005</t>
  </si>
  <si>
    <t>39/887.005</t>
  </si>
  <si>
    <t>39/907.005</t>
  </si>
  <si>
    <t>39/927.005</t>
  </si>
  <si>
    <t>39/947.005</t>
  </si>
  <si>
    <t>39/967.005</t>
  </si>
  <si>
    <t>39/987.005</t>
  </si>
  <si>
    <t>39/1001.530-40/000.000</t>
  </si>
  <si>
    <t>40/005.475</t>
  </si>
  <si>
    <t>40/025.475</t>
  </si>
  <si>
    <t>40/045.475</t>
  </si>
  <si>
    <t>40/065.475</t>
  </si>
  <si>
    <t>40/085.475</t>
  </si>
  <si>
    <t>40/105.475</t>
  </si>
  <si>
    <t>40/125.475</t>
  </si>
  <si>
    <t>40/145.475</t>
  </si>
  <si>
    <t>40/165.475</t>
  </si>
  <si>
    <t>40/185.475</t>
  </si>
  <si>
    <t>40/205.475</t>
  </si>
  <si>
    <t>40/225.475</t>
  </si>
  <si>
    <t>40/245.475</t>
  </si>
  <si>
    <t>40/265.475</t>
  </si>
  <si>
    <t>40/285.475</t>
  </si>
  <si>
    <t>40/305.475</t>
  </si>
  <si>
    <t>40/325.475</t>
  </si>
  <si>
    <t>40/345.475</t>
  </si>
  <si>
    <t>40/365.475</t>
  </si>
  <si>
    <t>40/385.475</t>
  </si>
  <si>
    <t>40/405.475</t>
  </si>
  <si>
    <t>40/425.475</t>
  </si>
  <si>
    <t>40/445.475</t>
  </si>
  <si>
    <t>40/465.475</t>
  </si>
  <si>
    <t>40/485.475</t>
  </si>
  <si>
    <t>40/505.475</t>
  </si>
  <si>
    <t>40/525.475</t>
  </si>
  <si>
    <t>40/545.475</t>
  </si>
  <si>
    <t>40/565.475</t>
  </si>
  <si>
    <t>40/585.475</t>
  </si>
  <si>
    <t>40/605.475</t>
  </si>
  <si>
    <t>40/625.475</t>
  </si>
  <si>
    <t>40/645.475</t>
  </si>
  <si>
    <t>40/665.475</t>
  </si>
  <si>
    <t>40/685.475</t>
  </si>
  <si>
    <t>40/705.475</t>
  </si>
  <si>
    <t>40/725.475</t>
  </si>
  <si>
    <t>40/745.475</t>
  </si>
  <si>
    <t>40/765.475</t>
  </si>
  <si>
    <t>40/785.475</t>
  </si>
  <si>
    <t>40/805.475</t>
  </si>
  <si>
    <t>40/825.475</t>
  </si>
  <si>
    <t>40/845.475</t>
  </si>
  <si>
    <t>40/865.475</t>
  </si>
  <si>
    <t>40/885.475</t>
  </si>
  <si>
    <t>40/905.475</t>
  </si>
  <si>
    <t>40/925.475</t>
  </si>
  <si>
    <t>40/945.475</t>
  </si>
  <si>
    <t>40/965.475</t>
  </si>
  <si>
    <t>40/985.475</t>
  </si>
  <si>
    <t>40/1001.230-41/000.000</t>
  </si>
  <si>
    <t>41/004.245</t>
  </si>
  <si>
    <t>41/024.245</t>
  </si>
  <si>
    <t>41/044.245</t>
  </si>
  <si>
    <t>41/064.245</t>
  </si>
  <si>
    <t>41/084.245</t>
  </si>
  <si>
    <t>41/104.245</t>
  </si>
  <si>
    <t>41/124.245</t>
  </si>
  <si>
    <t>41/144.245</t>
  </si>
  <si>
    <t>41/164.245</t>
  </si>
  <si>
    <t>41/184.245</t>
  </si>
  <si>
    <t>41/204.245</t>
  </si>
  <si>
    <t>41/224.245</t>
  </si>
  <si>
    <t>41/244.245</t>
  </si>
  <si>
    <t>41/264.245</t>
  </si>
  <si>
    <t>41/284.245</t>
  </si>
  <si>
    <t>41/304.245</t>
  </si>
  <si>
    <t>41/324.245</t>
  </si>
  <si>
    <t>41/344.245</t>
  </si>
  <si>
    <t>41/364.245</t>
  </si>
  <si>
    <t>41/384.245</t>
  </si>
  <si>
    <t>41/404.245</t>
  </si>
  <si>
    <t>41/424.245</t>
  </si>
  <si>
    <t>41/444.245</t>
  </si>
  <si>
    <t>41/464.245</t>
  </si>
  <si>
    <t>41/484.245</t>
  </si>
  <si>
    <t>41/504.245</t>
  </si>
  <si>
    <t>41/524.245</t>
  </si>
  <si>
    <t>41/544.245</t>
  </si>
  <si>
    <t>41/564.245</t>
  </si>
  <si>
    <t>41/584.245</t>
  </si>
  <si>
    <t>41/604.245</t>
  </si>
  <si>
    <t>41/624.245</t>
  </si>
  <si>
    <t>41/644.245</t>
  </si>
  <si>
    <t>41/664.245</t>
  </si>
  <si>
    <t>41/684.245</t>
  </si>
  <si>
    <t>41/704.245</t>
  </si>
  <si>
    <t>41/724.245</t>
  </si>
  <si>
    <t>41/744.245</t>
  </si>
  <si>
    <t>41/764.245</t>
  </si>
  <si>
    <t>41/784.245</t>
  </si>
  <si>
    <t>41/804.245</t>
  </si>
  <si>
    <t>41/824.245</t>
  </si>
  <si>
    <t>41/844.245</t>
  </si>
  <si>
    <t>41/864.245</t>
  </si>
  <si>
    <t>41/884.245</t>
  </si>
  <si>
    <t>41/904.245</t>
  </si>
  <si>
    <t>41/924.245</t>
  </si>
  <si>
    <t>41/944.245</t>
  </si>
  <si>
    <t>41/964.245</t>
  </si>
  <si>
    <t>41/984.245</t>
  </si>
  <si>
    <t>41/1001.120-42/000.000</t>
  </si>
  <si>
    <t>42/003.125</t>
  </si>
  <si>
    <t>42/023.125</t>
  </si>
  <si>
    <t>42/043.125</t>
  </si>
  <si>
    <t>42/063.125</t>
  </si>
  <si>
    <t>42/083.125</t>
  </si>
  <si>
    <t>42/103.125</t>
  </si>
  <si>
    <t>42/123.125</t>
  </si>
  <si>
    <t>42/143.125</t>
  </si>
  <si>
    <t>42/163.125</t>
  </si>
  <si>
    <t>42/183.125</t>
  </si>
  <si>
    <t>42/203.125</t>
  </si>
  <si>
    <t>42/223.125</t>
  </si>
  <si>
    <t>42/243.125</t>
  </si>
  <si>
    <t>42/263.125</t>
  </si>
  <si>
    <t>42/283.125</t>
  </si>
  <si>
    <t>42/303.125</t>
  </si>
  <si>
    <t>42/323.125</t>
  </si>
  <si>
    <t>42/343.125</t>
  </si>
  <si>
    <t>42/363.125</t>
  </si>
  <si>
    <t>42/383.125</t>
  </si>
  <si>
    <t>42/403.125</t>
  </si>
  <si>
    <t>42/423.125</t>
  </si>
  <si>
    <t>42/443.125</t>
  </si>
  <si>
    <t>42/463.125</t>
  </si>
  <si>
    <t>42/483.125</t>
  </si>
  <si>
    <t>42/503.125</t>
  </si>
  <si>
    <t>42/523.125</t>
  </si>
  <si>
    <t>42/543.125</t>
  </si>
  <si>
    <t>42/563.125</t>
  </si>
  <si>
    <t>42/583.125</t>
  </si>
  <si>
    <t>42/603.125</t>
  </si>
  <si>
    <t>42/623.125</t>
  </si>
  <si>
    <t>42/643.125</t>
  </si>
  <si>
    <t>42/663.125</t>
  </si>
  <si>
    <t>42/683.125</t>
  </si>
  <si>
    <t>42/703.125</t>
  </si>
  <si>
    <t>42/723.125</t>
  </si>
  <si>
    <t>42/743.125</t>
  </si>
  <si>
    <t>42/763.125</t>
  </si>
  <si>
    <t>42/783.125</t>
  </si>
  <si>
    <t>42/803.125</t>
  </si>
  <si>
    <t>42/823.125</t>
  </si>
  <si>
    <t>42/843.125</t>
  </si>
  <si>
    <t>42/863.125</t>
  </si>
  <si>
    <t>42/883.125</t>
  </si>
  <si>
    <t>42/903.125</t>
  </si>
  <si>
    <t>42/923.125</t>
  </si>
  <si>
    <t>42/943.125</t>
  </si>
  <si>
    <t>42/963.125</t>
  </si>
  <si>
    <t>42/983.125</t>
  </si>
  <si>
    <t>42/997.020-43/000.000</t>
  </si>
  <si>
    <t>43/006.105</t>
  </si>
  <si>
    <t>43/026.105</t>
  </si>
  <si>
    <t>43/046.105</t>
  </si>
  <si>
    <t>43/066.105</t>
  </si>
  <si>
    <t>43/086.105</t>
  </si>
  <si>
    <t>43/106.105</t>
  </si>
  <si>
    <t>43/126.105</t>
  </si>
  <si>
    <t>43/146.105</t>
  </si>
  <si>
    <t>43/166.105</t>
  </si>
  <si>
    <t>43/186.105</t>
  </si>
  <si>
    <t>43/206.105</t>
  </si>
  <si>
    <t>43/226.105</t>
  </si>
  <si>
    <t>43/246.105</t>
  </si>
  <si>
    <t>43/266.105</t>
  </si>
  <si>
    <t>43/286.105</t>
  </si>
  <si>
    <t>43/306.105</t>
  </si>
  <si>
    <t>43/326.105</t>
  </si>
  <si>
    <t>43/346.105</t>
  </si>
  <si>
    <t>43/366.105</t>
  </si>
  <si>
    <t>43/386.105</t>
  </si>
  <si>
    <t>43/406.105</t>
  </si>
  <si>
    <t>43/426.105</t>
  </si>
  <si>
    <t>43/446.105</t>
  </si>
  <si>
    <t>43/466.105</t>
  </si>
  <si>
    <t>43/486.105</t>
  </si>
  <si>
    <t>43/506.105</t>
  </si>
  <si>
    <t>43/526.105</t>
  </si>
  <si>
    <t>43/546.105</t>
  </si>
  <si>
    <t>43/566.105</t>
  </si>
  <si>
    <t>43/586.105</t>
  </si>
  <si>
    <t>43/606.105</t>
  </si>
  <si>
    <t>43/626.105</t>
  </si>
  <si>
    <t>43/646.105</t>
  </si>
  <si>
    <t>43/666.105</t>
  </si>
  <si>
    <t>43/686.105</t>
  </si>
  <si>
    <t>43/706.105</t>
  </si>
  <si>
    <t>43/726.105</t>
  </si>
  <si>
    <t>43/746.105</t>
  </si>
  <si>
    <t>43/766.105</t>
  </si>
  <si>
    <t>43/786.105</t>
  </si>
  <si>
    <t>43/806.105</t>
  </si>
  <si>
    <t>43/826.105</t>
  </si>
  <si>
    <t>43/846.105</t>
  </si>
  <si>
    <t>43/866.105</t>
  </si>
  <si>
    <t>43/886.105</t>
  </si>
  <si>
    <t>43/906.105</t>
  </si>
  <si>
    <t>43/926.105</t>
  </si>
  <si>
    <t>43/946.105</t>
  </si>
  <si>
    <t>43/966.105</t>
  </si>
  <si>
    <t>43/986.105</t>
  </si>
  <si>
    <t>43/1003.980-44/000.000</t>
  </si>
  <si>
    <t>44/002.125</t>
  </si>
  <si>
    <t>44/022.125</t>
  </si>
  <si>
    <t>44/042.125</t>
  </si>
  <si>
    <t>44/062.125</t>
  </si>
  <si>
    <t>44/082.125</t>
  </si>
  <si>
    <t>44/102.125</t>
  </si>
  <si>
    <t>44/122.125</t>
  </si>
  <si>
    <t>44/142.125</t>
  </si>
  <si>
    <t>44/162.125</t>
  </si>
  <si>
    <t>44/182.125</t>
  </si>
  <si>
    <t>44/202.125</t>
  </si>
  <si>
    <t>44/222.125</t>
  </si>
  <si>
    <t>44/242.125</t>
  </si>
  <si>
    <t>44/262.125</t>
  </si>
  <si>
    <t>44/282.125</t>
  </si>
  <si>
    <t>44/302.125</t>
  </si>
  <si>
    <t>44/322.125</t>
  </si>
  <si>
    <t>44/342.125</t>
  </si>
  <si>
    <t>44/362.125</t>
  </si>
  <si>
    <t>44/382.125</t>
  </si>
  <si>
    <t>44/402.125</t>
  </si>
  <si>
    <t>44/422.125</t>
  </si>
  <si>
    <t>44/442.125</t>
  </si>
  <si>
    <t>44/462.125</t>
  </si>
  <si>
    <t>44/482.125</t>
  </si>
  <si>
    <t>44/502.125</t>
  </si>
  <si>
    <t>44/522.125</t>
  </si>
  <si>
    <t>44/542.125</t>
  </si>
  <si>
    <t>44/562.125</t>
  </si>
  <si>
    <t>44/582.125</t>
  </si>
  <si>
    <t>44/602.125</t>
  </si>
  <si>
    <t>44/622.125</t>
  </si>
  <si>
    <t>44/642.125</t>
  </si>
  <si>
    <t>44/662.125</t>
  </si>
  <si>
    <t>44/682.125</t>
  </si>
  <si>
    <t>44/702.125</t>
  </si>
  <si>
    <t>44/722.125</t>
  </si>
  <si>
    <t>44/742.125</t>
  </si>
  <si>
    <t>44/762.125</t>
  </si>
  <si>
    <t>44/782.125</t>
  </si>
  <si>
    <t>44/802.125</t>
  </si>
  <si>
    <t>44/822.125</t>
  </si>
  <si>
    <t>44/842.125</t>
  </si>
  <si>
    <t>44/862.125</t>
  </si>
  <si>
    <t>44/882.125</t>
  </si>
  <si>
    <t>44/902.125</t>
  </si>
  <si>
    <t>44/922.125</t>
  </si>
  <si>
    <t>44/942.125</t>
  </si>
  <si>
    <t>44/962.125</t>
  </si>
  <si>
    <t>44/982.125</t>
  </si>
  <si>
    <t>44/997.650-45/000.000</t>
  </si>
  <si>
    <t>45/004.475</t>
  </si>
  <si>
    <t>45/024.475</t>
  </si>
  <si>
    <t>45/044.475</t>
  </si>
  <si>
    <t>45/064.475</t>
  </si>
  <si>
    <t>45/084.475</t>
  </si>
  <si>
    <t>45/104.475</t>
  </si>
  <si>
    <t>45/124.475</t>
  </si>
  <si>
    <t>45/144.475</t>
  </si>
  <si>
    <t>45/164.475</t>
  </si>
  <si>
    <t>45/184.475</t>
  </si>
  <si>
    <t>45/204.475</t>
  </si>
  <si>
    <t>45/224.475</t>
  </si>
  <si>
    <t>45/244.475</t>
  </si>
  <si>
    <t>45/264.475</t>
  </si>
  <si>
    <t>45/284.475</t>
  </si>
  <si>
    <t>45/304.475</t>
  </si>
  <si>
    <t>45/324.475</t>
  </si>
  <si>
    <t>45/344.475</t>
  </si>
  <si>
    <t>45/364.475</t>
  </si>
  <si>
    <t>45/384.475</t>
  </si>
  <si>
    <t>45/404.475</t>
  </si>
  <si>
    <t>45/424.475</t>
  </si>
  <si>
    <t>45/444.475</t>
  </si>
  <si>
    <t>45/464.475</t>
  </si>
  <si>
    <t>45/484.475</t>
  </si>
  <si>
    <t>45/504.475</t>
  </si>
  <si>
    <t>45/524.475</t>
  </si>
  <si>
    <t>45/544.475</t>
  </si>
  <si>
    <t>45/564.475</t>
  </si>
  <si>
    <t>45/584.475</t>
  </si>
  <si>
    <t>45/604.475</t>
  </si>
  <si>
    <t>45/624.475</t>
  </si>
  <si>
    <t>45/644.475</t>
  </si>
  <si>
    <t>45/664.475</t>
  </si>
  <si>
    <t>45/684.475</t>
  </si>
  <si>
    <t>45/704.475</t>
  </si>
  <si>
    <t>45/724.475</t>
  </si>
  <si>
    <t>45/744.475</t>
  </si>
  <si>
    <t>45/764.475</t>
  </si>
  <si>
    <t>45/784.475</t>
  </si>
  <si>
    <t>45/804.475</t>
  </si>
  <si>
    <t>45/824.475</t>
  </si>
  <si>
    <t>45/844.475</t>
  </si>
  <si>
    <t>45/864.475</t>
  </si>
  <si>
    <t>45/884.475</t>
  </si>
  <si>
    <t>45/904.475</t>
  </si>
  <si>
    <t>45/924.475</t>
  </si>
  <si>
    <t>45/944.475</t>
  </si>
  <si>
    <t>45/964.475</t>
  </si>
  <si>
    <t>45/984.475</t>
  </si>
  <si>
    <t>45/1003.840-46/000.000</t>
  </si>
  <si>
    <t>46/000.635</t>
  </si>
  <si>
    <t>46/020.635</t>
  </si>
  <si>
    <t>46/040.635</t>
  </si>
  <si>
    <t>46/060.635</t>
  </si>
  <si>
    <t>46/080.635</t>
  </si>
  <si>
    <t>46/100.635</t>
  </si>
  <si>
    <t>46/120.635</t>
  </si>
  <si>
    <t>46/140.635</t>
  </si>
  <si>
    <t>46/160.635</t>
  </si>
  <si>
    <t>46/180.635</t>
  </si>
  <si>
    <t>46/200.635</t>
  </si>
  <si>
    <t>46/220.635</t>
  </si>
  <si>
    <t>46/240.635</t>
  </si>
  <si>
    <t>46/260.635</t>
  </si>
  <si>
    <t>46/280.635</t>
  </si>
  <si>
    <t>46/300.635</t>
  </si>
  <si>
    <t>46/320.635</t>
  </si>
  <si>
    <t>46/340.635</t>
  </si>
  <si>
    <t>46/360.635</t>
  </si>
  <si>
    <t>46/380.635</t>
  </si>
  <si>
    <t>46/400.635</t>
  </si>
  <si>
    <t>46/420.635</t>
  </si>
  <si>
    <t>46/440.635</t>
  </si>
  <si>
    <t>46/460.635</t>
  </si>
  <si>
    <t>46/480.635</t>
  </si>
  <si>
    <t>46/500.635</t>
  </si>
  <si>
    <t>46/520.635</t>
  </si>
  <si>
    <t>46/540.635</t>
  </si>
  <si>
    <t>46/560.635</t>
  </si>
  <si>
    <t>46/580.635</t>
  </si>
  <si>
    <t>46/600.635</t>
  </si>
  <si>
    <t>46/620.635</t>
  </si>
  <si>
    <t>46/640.635</t>
  </si>
  <si>
    <t>46/660.635</t>
  </si>
  <si>
    <t>46/680.635</t>
  </si>
  <si>
    <t>46/700.635</t>
  </si>
  <si>
    <t>46/720.635</t>
  </si>
  <si>
    <t>46/740.635</t>
  </si>
  <si>
    <t>46/760.635</t>
  </si>
  <si>
    <t>46/780.635</t>
  </si>
  <si>
    <t>46/800.635</t>
  </si>
  <si>
    <t>46/820.635</t>
  </si>
  <si>
    <t>46/840.635</t>
  </si>
  <si>
    <t>46/860.635</t>
  </si>
  <si>
    <t>46/880.635</t>
  </si>
  <si>
    <t>46/900.635</t>
  </si>
  <si>
    <t>46/920.635</t>
  </si>
  <si>
    <t>46/940.635</t>
  </si>
  <si>
    <t>46/960.635</t>
  </si>
  <si>
    <t>46/980.635</t>
  </si>
  <si>
    <t>46/996.690-47/000.000</t>
  </si>
  <si>
    <t>47/003.945</t>
  </si>
  <si>
    <t>47/023.945</t>
  </si>
  <si>
    <t>47/043.945</t>
  </si>
  <si>
    <t>47/063.945</t>
  </si>
  <si>
    <t>47/083.945</t>
  </si>
  <si>
    <t>47/103.945</t>
  </si>
  <si>
    <t>47/123.945</t>
  </si>
  <si>
    <t>47/143.945</t>
  </si>
  <si>
    <t>47/163.945</t>
  </si>
  <si>
    <t>47/183.945</t>
  </si>
  <si>
    <t>47/203.945</t>
  </si>
  <si>
    <t>47/223.945</t>
  </si>
  <si>
    <t>47/243.945</t>
  </si>
  <si>
    <t>47/263.945</t>
  </si>
  <si>
    <t>47/283.945</t>
  </si>
  <si>
    <t>47/303.945</t>
  </si>
  <si>
    <t>47/323.945</t>
  </si>
  <si>
    <t>47/343.945</t>
  </si>
  <si>
    <t>47/363.945</t>
  </si>
  <si>
    <t>47/383.945</t>
  </si>
  <si>
    <t>47/403.945</t>
  </si>
  <si>
    <t>47/423.945</t>
  </si>
  <si>
    <t>47/443.945</t>
  </si>
  <si>
    <t>47/463.945</t>
  </si>
  <si>
    <t>47/483.945</t>
  </si>
  <si>
    <t>47/503.945</t>
  </si>
  <si>
    <t>47/523.945</t>
  </si>
  <si>
    <t>47/543.945</t>
  </si>
  <si>
    <t>47/563.945</t>
  </si>
  <si>
    <t>47/583.945</t>
  </si>
  <si>
    <t>47/603.945</t>
  </si>
  <si>
    <t>47/623.945</t>
  </si>
  <si>
    <t>47/643.945</t>
  </si>
  <si>
    <t>47/663.945</t>
  </si>
  <si>
    <t>47/683.945</t>
  </si>
  <si>
    <t>47/703.945</t>
  </si>
  <si>
    <t>47/723.945</t>
  </si>
  <si>
    <t>47/743.945</t>
  </si>
  <si>
    <t>47/763.945</t>
  </si>
  <si>
    <t>47/783.945</t>
  </si>
  <si>
    <t>47/803.945</t>
  </si>
  <si>
    <t>47/823.945</t>
  </si>
  <si>
    <t>47/843.945</t>
  </si>
  <si>
    <t>47/863.945</t>
  </si>
  <si>
    <t>47/883.945</t>
  </si>
  <si>
    <t>47/903.945</t>
  </si>
  <si>
    <t>47/923.945</t>
  </si>
  <si>
    <t>47/943.945</t>
  </si>
  <si>
    <t>47/963.945</t>
  </si>
  <si>
    <t>47/983.945</t>
  </si>
  <si>
    <t>47/1003.945</t>
  </si>
  <si>
    <t>47/1006.440-48/000.000</t>
  </si>
  <si>
    <t>48/017.505</t>
  </si>
  <si>
    <t>48/037.505</t>
  </si>
  <si>
    <t>48/057.505</t>
  </si>
  <si>
    <t>48/077.505</t>
  </si>
  <si>
    <t>48/097.505</t>
  </si>
  <si>
    <t>48/117.505</t>
  </si>
  <si>
    <t>48/137.505</t>
  </si>
  <si>
    <t>48/157.505</t>
  </si>
  <si>
    <t>48/177.505</t>
  </si>
  <si>
    <t>48/197.505</t>
  </si>
  <si>
    <t>48/217.505</t>
  </si>
  <si>
    <t>48/237.505</t>
  </si>
  <si>
    <t>48/257.505</t>
  </si>
  <si>
    <t>48/277.505</t>
  </si>
  <si>
    <t>48/297.505</t>
  </si>
  <si>
    <t>48/317.505</t>
  </si>
  <si>
    <t>48/337.505</t>
  </si>
  <si>
    <t>48/357.505</t>
  </si>
  <si>
    <t>48/377.505</t>
  </si>
  <si>
    <t>48/397.505</t>
  </si>
  <si>
    <t>48/417.505</t>
  </si>
  <si>
    <t>48/437.505</t>
  </si>
  <si>
    <t>48/457.505</t>
  </si>
  <si>
    <t>48/477.505</t>
  </si>
  <si>
    <t>48/497.505</t>
  </si>
  <si>
    <t>48/517.505</t>
  </si>
  <si>
    <t>48/537.505</t>
  </si>
  <si>
    <t>48/557.505</t>
  </si>
  <si>
    <t>48/577.505</t>
  </si>
  <si>
    <t>48/597.505</t>
  </si>
  <si>
    <t>48/617.505</t>
  </si>
  <si>
    <t>48/637.505</t>
  </si>
  <si>
    <t>48/657.505</t>
  </si>
  <si>
    <t>48/677.505</t>
  </si>
  <si>
    <t>48/697.505</t>
  </si>
  <si>
    <t>48/717.505</t>
  </si>
  <si>
    <t>48/737.505</t>
  </si>
  <si>
    <t>48/757.505</t>
  </si>
  <si>
    <t>48/777.505</t>
  </si>
  <si>
    <t>48/797.505</t>
  </si>
  <si>
    <t>48/817.505</t>
  </si>
  <si>
    <t>48/837.505</t>
  </si>
  <si>
    <t>48/857.505</t>
  </si>
  <si>
    <t>48/877.505</t>
  </si>
  <si>
    <t>48/897.505</t>
  </si>
  <si>
    <t>48/917.505</t>
  </si>
  <si>
    <t>48/937.505</t>
  </si>
  <si>
    <t>48/957.505</t>
  </si>
  <si>
    <t>48/977.505</t>
  </si>
  <si>
    <t>48/997.505</t>
  </si>
  <si>
    <t>48/999.450-49/000.000</t>
  </si>
  <si>
    <t>49/018.055</t>
  </si>
  <si>
    <t>49/038.055</t>
  </si>
  <si>
    <t>49/058.055</t>
  </si>
  <si>
    <t>49/078.055</t>
  </si>
  <si>
    <t>49/098.055</t>
  </si>
  <si>
    <t>49/118.055</t>
  </si>
  <si>
    <t>49/138.055</t>
  </si>
  <si>
    <t>49/158.055</t>
  </si>
  <si>
    <t>49/178.055</t>
  </si>
  <si>
    <t>49/198.055</t>
  </si>
  <si>
    <t>49/218.055</t>
  </si>
  <si>
    <t>49/238.055</t>
  </si>
  <si>
    <t>49/258.055</t>
  </si>
  <si>
    <t>49/278.055</t>
  </si>
  <si>
    <t>49/298.055</t>
  </si>
  <si>
    <t>49/318.055</t>
  </si>
  <si>
    <t>49/338.055</t>
  </si>
  <si>
    <t>49/358.055</t>
  </si>
  <si>
    <t>49/378.055</t>
  </si>
  <si>
    <t>49/398.055</t>
  </si>
  <si>
    <t>49/418.055</t>
  </si>
  <si>
    <t>49/438.055</t>
  </si>
  <si>
    <t>49/458.055</t>
  </si>
  <si>
    <t>49/478.055</t>
  </si>
  <si>
    <t>49/498.055</t>
  </si>
  <si>
    <t>49/518.055</t>
  </si>
  <si>
    <t>49/538.055</t>
  </si>
  <si>
    <t>49/558.055</t>
  </si>
  <si>
    <t>49/578.055</t>
  </si>
  <si>
    <t>49/598.055</t>
  </si>
  <si>
    <t>49/618.055</t>
  </si>
  <si>
    <t>49/638.055</t>
  </si>
  <si>
    <t>49/658.055</t>
  </si>
  <si>
    <t>49/678.055</t>
  </si>
  <si>
    <t>49/698.055</t>
  </si>
  <si>
    <t>49/718.055</t>
  </si>
  <si>
    <t>49/738.055</t>
  </si>
  <si>
    <t>49/758.055</t>
  </si>
  <si>
    <t>49/778.055</t>
  </si>
  <si>
    <t>49/798.055</t>
  </si>
  <si>
    <t>49/818.055</t>
  </si>
  <si>
    <t>49/838.055</t>
  </si>
  <si>
    <t>49/858.055</t>
  </si>
  <si>
    <t>49/878.055</t>
  </si>
  <si>
    <t>49/898.055</t>
  </si>
  <si>
    <t>49/918.055</t>
  </si>
  <si>
    <t>49/938.055</t>
  </si>
  <si>
    <t>49/958.055</t>
  </si>
  <si>
    <t>49/978.055</t>
  </si>
  <si>
    <t>49/998.055</t>
  </si>
  <si>
    <t>49/999.790-50/000.000</t>
  </si>
  <si>
    <t>50/018.265</t>
  </si>
  <si>
    <t>50/038.265</t>
  </si>
  <si>
    <t>50/058.265</t>
  </si>
  <si>
    <t>50/078.265</t>
  </si>
  <si>
    <t>50/098.265</t>
  </si>
  <si>
    <t>50/118.265</t>
  </si>
  <si>
    <t>50/138.265</t>
  </si>
  <si>
    <t>50/158.265</t>
  </si>
  <si>
    <t>50/178.265</t>
  </si>
  <si>
    <t>50/198.265</t>
  </si>
  <si>
    <t>50/218.265</t>
  </si>
  <si>
    <t>50/238.265</t>
  </si>
  <si>
    <t>50/258.265</t>
  </si>
  <si>
    <t>50/278.265</t>
  </si>
  <si>
    <t>50/298.265</t>
  </si>
  <si>
    <t>50/318.265</t>
  </si>
  <si>
    <t>50/338.265</t>
  </si>
  <si>
    <t>50/358.265</t>
  </si>
  <si>
    <t>50/378.265</t>
  </si>
  <si>
    <t>50/398.265</t>
  </si>
  <si>
    <t>50/418.265</t>
  </si>
  <si>
    <t>50/438.265</t>
  </si>
  <si>
    <t>50/458.265</t>
  </si>
  <si>
    <t>50/478.265</t>
  </si>
  <si>
    <t>50/498.265</t>
  </si>
  <si>
    <t>50/518.265</t>
  </si>
  <si>
    <t>50/538.265</t>
  </si>
  <si>
    <t>50/558.265</t>
  </si>
  <si>
    <t>50/578.265</t>
  </si>
  <si>
    <t>50/598.265</t>
  </si>
  <si>
    <t>50/618.265</t>
  </si>
  <si>
    <t>50/638.265</t>
  </si>
  <si>
    <t>50/658.265</t>
  </si>
  <si>
    <t>50/678.265</t>
  </si>
  <si>
    <t>50/698.265</t>
  </si>
  <si>
    <t>50/718.265</t>
  </si>
  <si>
    <t>50/738.265</t>
  </si>
  <si>
    <t>50/758.265</t>
  </si>
  <si>
    <t>50/778.265</t>
  </si>
  <si>
    <t>50/798.265</t>
  </si>
  <si>
    <t>50/818.265</t>
  </si>
  <si>
    <t>50/838.265</t>
  </si>
  <si>
    <t>50/858.265</t>
  </si>
  <si>
    <t>50/878.265</t>
  </si>
  <si>
    <t>50/898.265</t>
  </si>
  <si>
    <t>50/918.265</t>
  </si>
  <si>
    <t>50/938.265</t>
  </si>
  <si>
    <t>50/958.265</t>
  </si>
  <si>
    <t>50/978.265</t>
  </si>
  <si>
    <t>50/998.265</t>
  </si>
  <si>
    <t>50/999.940-51/000.000</t>
  </si>
  <si>
    <t>51/018.325</t>
  </si>
  <si>
    <t>51/038.325</t>
  </si>
  <si>
    <t>51/058.325</t>
  </si>
  <si>
    <t>51/078.325</t>
  </si>
  <si>
    <t>51/098.325</t>
  </si>
  <si>
    <t>51/118.325</t>
  </si>
  <si>
    <t>51/138.325</t>
  </si>
  <si>
    <t>51/158.325</t>
  </si>
  <si>
    <t>51/178.325</t>
  </si>
  <si>
    <t>51/198.325</t>
  </si>
  <si>
    <t>51/218.325</t>
  </si>
  <si>
    <t>51/238.325</t>
  </si>
  <si>
    <t>51/258.325</t>
  </si>
  <si>
    <t>51/278.325</t>
  </si>
  <si>
    <t>51/298.325</t>
  </si>
  <si>
    <t>51/318.325</t>
  </si>
  <si>
    <t>51/338.325</t>
  </si>
  <si>
    <t>51/358.325</t>
  </si>
  <si>
    <t>51/378.325</t>
  </si>
  <si>
    <t>51/398.325</t>
  </si>
  <si>
    <t>51/418.325</t>
  </si>
  <si>
    <t>51/438.325</t>
  </si>
  <si>
    <t>51/458.325</t>
  </si>
  <si>
    <t>51/478.325</t>
  </si>
  <si>
    <t>51/498.325</t>
  </si>
  <si>
    <t>51/518.325</t>
  </si>
  <si>
    <t>51/538.325</t>
  </si>
  <si>
    <t>51/558.325</t>
  </si>
  <si>
    <t>51/578.325</t>
  </si>
  <si>
    <t>51/598.325</t>
  </si>
  <si>
    <t>51/618.325</t>
  </si>
  <si>
    <t>51/638.325</t>
  </si>
  <si>
    <t>51/658.325</t>
  </si>
  <si>
    <t>51/678.325</t>
  </si>
  <si>
    <t>51/698.325</t>
  </si>
  <si>
    <t>51/718.325</t>
  </si>
  <si>
    <t>51/738.325</t>
  </si>
  <si>
    <t>51/758.325</t>
  </si>
  <si>
    <t>51/778.325</t>
  </si>
  <si>
    <t>51/798.325</t>
  </si>
  <si>
    <t>51/818.325</t>
  </si>
  <si>
    <t>51/838.325</t>
  </si>
  <si>
    <t>51/858.325</t>
  </si>
  <si>
    <t>51/878.325</t>
  </si>
  <si>
    <t>51/898.325</t>
  </si>
  <si>
    <t>51/918.325</t>
  </si>
  <si>
    <t>51/938.325</t>
  </si>
  <si>
    <t>51/958.325</t>
  </si>
  <si>
    <t>51/978.325</t>
  </si>
  <si>
    <t>51/998.325</t>
  </si>
  <si>
    <t>51/1015.830-52/000.000</t>
  </si>
  <si>
    <t>52/002.495</t>
  </si>
  <si>
    <t>52/022.495</t>
  </si>
  <si>
    <t>52/042.495</t>
  </si>
  <si>
    <t>52/062.495</t>
  </si>
  <si>
    <t>52/082.495</t>
  </si>
  <si>
    <t>52/102.495</t>
  </si>
  <si>
    <t>52/122.495</t>
  </si>
  <si>
    <t>52/142.495</t>
  </si>
  <si>
    <t>52/162.495</t>
  </si>
  <si>
    <t>52/182.495</t>
  </si>
  <si>
    <t>52/202.495</t>
  </si>
  <si>
    <t>52/222.495</t>
  </si>
  <si>
    <t>52/242.495</t>
  </si>
  <si>
    <t>52/262.495</t>
  </si>
  <si>
    <t>52/282.495</t>
  </si>
  <si>
    <t>52/302.495</t>
  </si>
  <si>
    <t>52/322.495</t>
  </si>
  <si>
    <t>52/342.495</t>
  </si>
  <si>
    <t>52/362.495</t>
  </si>
  <si>
    <t>52/382.495</t>
  </si>
  <si>
    <t>52/402.495</t>
  </si>
  <si>
    <t>52/422.495</t>
  </si>
  <si>
    <t>52/442.495</t>
  </si>
  <si>
    <t>52/462.495</t>
  </si>
  <si>
    <t>52/482.495</t>
  </si>
  <si>
    <t>52/502.495</t>
  </si>
  <si>
    <t>52/522.495</t>
  </si>
  <si>
    <t>52/542.495</t>
  </si>
  <si>
    <t>52/562.495</t>
  </si>
  <si>
    <t>52/582.495</t>
  </si>
  <si>
    <t>52/602.495</t>
  </si>
  <si>
    <t>52/622.495</t>
  </si>
  <si>
    <t>52/642.495</t>
  </si>
  <si>
    <t>52/662.495</t>
  </si>
  <si>
    <t>52/682.495</t>
  </si>
  <si>
    <t>52/702.495</t>
  </si>
  <si>
    <t>52/722.495</t>
  </si>
  <si>
    <t>52/742.495</t>
  </si>
  <si>
    <t>52/762.495</t>
  </si>
  <si>
    <t>52/782.495</t>
  </si>
  <si>
    <t>52/802.495</t>
  </si>
  <si>
    <t>52/822.495</t>
  </si>
  <si>
    <t>52/842.495</t>
  </si>
  <si>
    <t>52/862.495</t>
  </si>
  <si>
    <t>52/882.495</t>
  </si>
  <si>
    <t>52/902.495</t>
  </si>
  <si>
    <t>52/922.495</t>
  </si>
  <si>
    <t>52/942.495</t>
  </si>
  <si>
    <t>52/962.495</t>
  </si>
  <si>
    <t>52/982.495</t>
  </si>
  <si>
    <t>52/1002.495</t>
  </si>
  <si>
    <t>52/1022.495</t>
  </si>
  <si>
    <t>52/1027.020-53/000.000</t>
  </si>
  <si>
    <t>53/015.475</t>
  </si>
  <si>
    <t>53/035.475</t>
  </si>
  <si>
    <t>53/055.475</t>
  </si>
  <si>
    <t>53/075.475</t>
  </si>
  <si>
    <t>53/095.475</t>
  </si>
  <si>
    <t>53/115.475</t>
  </si>
  <si>
    <t>53/135.475</t>
  </si>
  <si>
    <t>53/155.475</t>
  </si>
  <si>
    <t>53/175.475</t>
  </si>
  <si>
    <t>53/195.475</t>
  </si>
  <si>
    <t>53/215.475</t>
  </si>
  <si>
    <t>53/235.475</t>
  </si>
  <si>
    <t>53/255.475</t>
  </si>
  <si>
    <t>53/275.475</t>
  </si>
  <si>
    <t>53/295.475</t>
  </si>
  <si>
    <t>53/315.475</t>
  </si>
  <si>
    <t>53/335.475</t>
  </si>
  <si>
    <t>53/355.475</t>
  </si>
  <si>
    <t>53/375.475</t>
  </si>
  <si>
    <t>53/395.475</t>
  </si>
  <si>
    <t>53/415.475</t>
  </si>
  <si>
    <t>53/435.475</t>
  </si>
  <si>
    <t>53/455.475</t>
  </si>
  <si>
    <t>53/475.475</t>
  </si>
  <si>
    <t>53/495.475</t>
  </si>
  <si>
    <t>53/515.475</t>
  </si>
  <si>
    <t>53/535.475</t>
  </si>
  <si>
    <t>53/555.475</t>
  </si>
  <si>
    <t>53/575.475</t>
  </si>
  <si>
    <t>53/595.475</t>
  </si>
  <si>
    <t>53/615.475</t>
  </si>
  <si>
    <t>53/635.475</t>
  </si>
  <si>
    <t>53/655.475</t>
  </si>
  <si>
    <t>53/675.475</t>
  </si>
  <si>
    <t>53/695.475</t>
  </si>
  <si>
    <t>53/715.475</t>
  </si>
  <si>
    <t>53/735.475</t>
  </si>
  <si>
    <t>53/755.475</t>
  </si>
  <si>
    <t>53/775.475</t>
  </si>
  <si>
    <t>53/795.475</t>
  </si>
  <si>
    <t>53/815.475</t>
  </si>
  <si>
    <t>53/835.475</t>
  </si>
  <si>
    <t>53/855.475</t>
  </si>
  <si>
    <t>53/875.475</t>
  </si>
  <si>
    <t>53/895.475</t>
  </si>
  <si>
    <t>53/915.475</t>
  </si>
  <si>
    <t>53/935.475</t>
  </si>
  <si>
    <t>53/955.475</t>
  </si>
  <si>
    <t>53/959.910-54/000.000</t>
  </si>
  <si>
    <t>54/015.565</t>
  </si>
  <si>
    <t>54/035.565</t>
  </si>
  <si>
    <t>54/055.565</t>
  </si>
  <si>
    <t>54/075.565</t>
  </si>
  <si>
    <t>54/095.565</t>
  </si>
  <si>
    <t>54/115.565</t>
  </si>
  <si>
    <t>54/135.565</t>
  </si>
  <si>
    <t>54/155.565</t>
  </si>
  <si>
    <t>54/175.565</t>
  </si>
  <si>
    <t>54/195.565</t>
  </si>
  <si>
    <t>54/215.565</t>
  </si>
  <si>
    <t>54/235.565</t>
  </si>
  <si>
    <t>54/255.565</t>
  </si>
  <si>
    <t>54/275.565</t>
  </si>
  <si>
    <t>54/295.565</t>
  </si>
  <si>
    <t>54/315.565</t>
  </si>
  <si>
    <t>54/335.565</t>
  </si>
  <si>
    <t>54/355.565</t>
  </si>
  <si>
    <t>54/375.565</t>
  </si>
  <si>
    <t>54/395.565</t>
  </si>
  <si>
    <t>54/415.565</t>
  </si>
  <si>
    <t>54/435.565</t>
  </si>
  <si>
    <t>54/455.565</t>
  </si>
  <si>
    <t>54/475.565</t>
  </si>
  <si>
    <t>54/495.565</t>
  </si>
  <si>
    <t>54/515.565</t>
  </si>
  <si>
    <t>54/535.565</t>
  </si>
  <si>
    <t>54/555.565</t>
  </si>
  <si>
    <t>54/575.565</t>
  </si>
  <si>
    <t>54/595.565</t>
  </si>
  <si>
    <t>54/615.565</t>
  </si>
  <si>
    <t>54/635.565</t>
  </si>
  <si>
    <t>54/655.565</t>
  </si>
  <si>
    <t>54/675.565</t>
  </si>
  <si>
    <t>54/695.565</t>
  </si>
  <si>
    <t>54/715.565</t>
  </si>
  <si>
    <t>54/735.565</t>
  </si>
  <si>
    <t>54/755.565</t>
  </si>
  <si>
    <t>54/775.565</t>
  </si>
  <si>
    <t>54/795.565</t>
  </si>
  <si>
    <t>54/815.565</t>
  </si>
  <si>
    <t>54/835.565</t>
  </si>
  <si>
    <t>54/855.565</t>
  </si>
  <si>
    <t>54/875.565</t>
  </si>
  <si>
    <t>54/895.565</t>
  </si>
  <si>
    <t>54/915.565</t>
  </si>
  <si>
    <t>54/935.565</t>
  </si>
  <si>
    <t>54/955.565</t>
  </si>
  <si>
    <t>54/975.565</t>
  </si>
  <si>
    <t>54/995.565</t>
  </si>
  <si>
    <t>54/999.460-55/000.000</t>
  </si>
  <si>
    <t>55/016.105</t>
  </si>
  <si>
    <t>55/036.105</t>
  </si>
  <si>
    <t>55/056.105</t>
  </si>
  <si>
    <t>55/076.105</t>
  </si>
  <si>
    <t>55/096.105</t>
  </si>
  <si>
    <t>55/116.105</t>
  </si>
  <si>
    <t>55/136.105</t>
  </si>
  <si>
    <t>55/156.105</t>
  </si>
  <si>
    <t>55/176.105</t>
  </si>
  <si>
    <t>55/196.105</t>
  </si>
  <si>
    <t>55/216.105</t>
  </si>
  <si>
    <t>55/236.105</t>
  </si>
  <si>
    <t>55/256.105</t>
  </si>
  <si>
    <t>55/276.105</t>
  </si>
  <si>
    <t>55/296.105</t>
  </si>
  <si>
    <t>55/316.105</t>
  </si>
  <si>
    <t>55/336.105</t>
  </si>
  <si>
    <t>55/356.105</t>
  </si>
  <si>
    <t>55/376.105</t>
  </si>
  <si>
    <t>55/396.105</t>
  </si>
  <si>
    <t>55/416.105</t>
  </si>
  <si>
    <t>55/436.105</t>
  </si>
  <si>
    <t>55/456.105</t>
  </si>
  <si>
    <t>55/476.105</t>
  </si>
  <si>
    <t>55/496.105</t>
  </si>
  <si>
    <t>55/516.105</t>
  </si>
  <si>
    <t>55/536.105</t>
  </si>
  <si>
    <t>55/556.105</t>
  </si>
  <si>
    <t>55/576.105</t>
  </si>
  <si>
    <t>55/596.105</t>
  </si>
  <si>
    <t>55/616.105</t>
  </si>
  <si>
    <t>55/636.105</t>
  </si>
  <si>
    <t>55/656.105</t>
  </si>
  <si>
    <t>55/676.105</t>
  </si>
  <si>
    <t>55/696.105</t>
  </si>
  <si>
    <t>55/716.105</t>
  </si>
  <si>
    <t>55/736.105</t>
  </si>
  <si>
    <t>55/756.105</t>
  </si>
  <si>
    <t>55/776.105</t>
  </si>
  <si>
    <t>55/796.105</t>
  </si>
  <si>
    <t>55/816.105</t>
  </si>
  <si>
    <t>55/836.105</t>
  </si>
  <si>
    <t>55/856.105</t>
  </si>
  <si>
    <t>55/876.105</t>
  </si>
  <si>
    <t>55/896.105</t>
  </si>
  <si>
    <t>55/916.105</t>
  </si>
  <si>
    <t>55/936.105</t>
  </si>
  <si>
    <t>55/956.105</t>
  </si>
  <si>
    <t>55/976.105</t>
  </si>
  <si>
    <t>55/996.105</t>
  </si>
  <si>
    <t>55/999.630-56/000.000</t>
  </si>
  <si>
    <t>56/016.475</t>
  </si>
  <si>
    <t>56/036.475</t>
  </si>
  <si>
    <t>56/056.475</t>
  </si>
  <si>
    <t>56/076.475</t>
  </si>
  <si>
    <t>56/096.475</t>
  </si>
  <si>
    <t>56/116.475</t>
  </si>
  <si>
    <t>56/136.475</t>
  </si>
  <si>
    <t>56/156.475</t>
  </si>
  <si>
    <t>56/176.475</t>
  </si>
  <si>
    <t>56/196.475</t>
  </si>
  <si>
    <t>56/216.475</t>
  </si>
  <si>
    <t>56/236.475</t>
  </si>
  <si>
    <t>56/256.475</t>
  </si>
  <si>
    <t>56/276.475</t>
  </si>
  <si>
    <t>56/296.475</t>
  </si>
  <si>
    <t>56/316.475</t>
  </si>
  <si>
    <t>56/336.475</t>
  </si>
  <si>
    <t>56/356.475</t>
  </si>
  <si>
    <t>56/376.475</t>
  </si>
  <si>
    <t>56/396.475</t>
  </si>
  <si>
    <t>56/416.475</t>
  </si>
  <si>
    <t>56/436.475</t>
  </si>
  <si>
    <t>56/456.475</t>
  </si>
  <si>
    <t>56/476.475</t>
  </si>
  <si>
    <t>56/496.475</t>
  </si>
  <si>
    <t>56/516.475</t>
  </si>
  <si>
    <t>56/536.475</t>
  </si>
  <si>
    <t>56/556.475</t>
  </si>
  <si>
    <t>56/576.475</t>
  </si>
  <si>
    <t>56/596.475</t>
  </si>
  <si>
    <t>56/616.475</t>
  </si>
  <si>
    <t>56/636.475</t>
  </si>
  <si>
    <t>56/656.475</t>
  </si>
  <si>
    <t>56/676.475</t>
  </si>
  <si>
    <t>56/696.475</t>
  </si>
  <si>
    <t>56/716.475</t>
  </si>
  <si>
    <t>56/736.475</t>
  </si>
  <si>
    <t>56/756.475</t>
  </si>
  <si>
    <t>56/776.475</t>
  </si>
  <si>
    <t>56/796.475</t>
  </si>
  <si>
    <t>56/816.475</t>
  </si>
  <si>
    <t>56/836.475</t>
  </si>
  <si>
    <t>56/856.475</t>
  </si>
  <si>
    <t>56/876.475</t>
  </si>
  <si>
    <t>56/896.475</t>
  </si>
  <si>
    <t>56/916.475</t>
  </si>
  <si>
    <t>56/936.475</t>
  </si>
  <si>
    <t>56/956.475</t>
  </si>
  <si>
    <t>56/976.475</t>
  </si>
  <si>
    <t>56/996.475</t>
  </si>
  <si>
    <t>56/1001.570-57/000.000</t>
  </si>
  <si>
    <t>57/014.905</t>
  </si>
  <si>
    <t>57/034.905</t>
  </si>
  <si>
    <t>57/054.905</t>
  </si>
  <si>
    <t>57/074.905</t>
  </si>
  <si>
    <t>57/094.905</t>
  </si>
  <si>
    <t>57/114.905</t>
  </si>
  <si>
    <t>57/134.905</t>
  </si>
  <si>
    <t>57/154.905</t>
  </si>
  <si>
    <t>57/174.905</t>
  </si>
  <si>
    <t>57/194.905</t>
  </si>
  <si>
    <t>57/214.905</t>
  </si>
  <si>
    <t>57/234.905</t>
  </si>
  <si>
    <t>57/254.905</t>
  </si>
  <si>
    <t>57/274.905</t>
  </si>
  <si>
    <t>57/294.905</t>
  </si>
  <si>
    <t>57/314.905</t>
  </si>
  <si>
    <t>57/334.905</t>
  </si>
  <si>
    <t>57/354.905</t>
  </si>
  <si>
    <t>57/374.905</t>
  </si>
  <si>
    <t>57/394.905</t>
  </si>
  <si>
    <t>57/414.905</t>
  </si>
  <si>
    <t>57/434.905</t>
  </si>
  <si>
    <t>57/454.905</t>
  </si>
  <si>
    <t>57/474.905</t>
  </si>
  <si>
    <t>57/494.905</t>
  </si>
  <si>
    <t>57/514.905</t>
  </si>
  <si>
    <t>57/534.905</t>
  </si>
  <si>
    <t>57/554.905</t>
  </si>
  <si>
    <t>57/574.905</t>
  </si>
  <si>
    <t>57/594.905</t>
  </si>
  <si>
    <t>57/614.905</t>
  </si>
  <si>
    <t>57/634.905</t>
  </si>
  <si>
    <t>57/654.905</t>
  </si>
  <si>
    <t>57/674.905</t>
  </si>
  <si>
    <t>57/694.905</t>
  </si>
  <si>
    <t>57/714.905</t>
  </si>
  <si>
    <t>57/734.905</t>
  </si>
  <si>
    <t>57/754.905</t>
  </si>
  <si>
    <t>57/774.905</t>
  </si>
  <si>
    <t>57/794.905</t>
  </si>
  <si>
    <t>57/814.905</t>
  </si>
  <si>
    <t>57/834.905</t>
  </si>
  <si>
    <t>57/854.905</t>
  </si>
  <si>
    <t>57/874.905</t>
  </si>
  <si>
    <t>57/894.905</t>
  </si>
  <si>
    <t>57/914.905</t>
  </si>
  <si>
    <t>57/934.905</t>
  </si>
  <si>
    <t>57/954.905</t>
  </si>
  <si>
    <t>57/974.905</t>
  </si>
  <si>
    <t>57/994.905</t>
  </si>
  <si>
    <t>57/998.700-58/000.000</t>
  </si>
  <si>
    <t>58/016.205</t>
  </si>
  <si>
    <t>58/036.205</t>
  </si>
  <si>
    <t>58/056.205</t>
  </si>
  <si>
    <t>58/076.205</t>
  </si>
  <si>
    <t>58/096.205</t>
  </si>
  <si>
    <t>58/116.205</t>
  </si>
  <si>
    <t>58/136.205</t>
  </si>
  <si>
    <t>58/156.205</t>
  </si>
  <si>
    <t>58/176.205</t>
  </si>
  <si>
    <t>58/196.205</t>
  </si>
  <si>
    <t>58/216.205</t>
  </si>
  <si>
    <t>58/236.205</t>
  </si>
  <si>
    <t>58/256.205</t>
  </si>
  <si>
    <t>58/276.205</t>
  </si>
  <si>
    <t>58/296.205</t>
  </si>
  <si>
    <t>58/316.205</t>
  </si>
  <si>
    <t>58/336.205</t>
  </si>
  <si>
    <t>58/356.205</t>
  </si>
  <si>
    <t>58/376.205</t>
  </si>
  <si>
    <t>58/396.205</t>
  </si>
  <si>
    <t>58/416.205</t>
  </si>
  <si>
    <t>58/436.205</t>
  </si>
  <si>
    <t>58/456.205</t>
  </si>
  <si>
    <t>58/476.205</t>
  </si>
  <si>
    <t>58/496.205</t>
  </si>
  <si>
    <t>58/516.205</t>
  </si>
  <si>
    <t>58/536.205</t>
  </si>
  <si>
    <t>58/556.205</t>
  </si>
  <si>
    <t>58/576.205</t>
  </si>
  <si>
    <t>58/596.205</t>
  </si>
  <si>
    <t>58/616.205</t>
  </si>
  <si>
    <t>58/636.205</t>
  </si>
  <si>
    <t>58/656.205</t>
  </si>
  <si>
    <t>58/676.205</t>
  </si>
  <si>
    <t>58/696.205</t>
  </si>
  <si>
    <t>58/716.205</t>
  </si>
  <si>
    <t>58/736.205</t>
  </si>
  <si>
    <t>58/756.205</t>
  </si>
  <si>
    <t>58/776.205</t>
  </si>
  <si>
    <t>58/796.205</t>
  </si>
  <si>
    <t>58/816.205</t>
  </si>
  <si>
    <t>58/836.205</t>
  </si>
  <si>
    <t>58/856.205</t>
  </si>
  <si>
    <t>58/876.205</t>
  </si>
  <si>
    <t>58/896.205</t>
  </si>
  <si>
    <t>58/916.205</t>
  </si>
  <si>
    <t>58/936.205</t>
  </si>
  <si>
    <t>58/956.205</t>
  </si>
  <si>
    <t>58/976.205</t>
  </si>
  <si>
    <t>58/996.205</t>
  </si>
  <si>
    <t>58/998.660-59/000.000</t>
  </si>
  <si>
    <t>59/017.545</t>
  </si>
  <si>
    <t>59/037.545</t>
  </si>
  <si>
    <t>59/057.545</t>
  </si>
  <si>
    <t>59/077.545</t>
  </si>
  <si>
    <t>59/097.545</t>
  </si>
  <si>
    <t>59/117.545</t>
  </si>
  <si>
    <t>59/137.545</t>
  </si>
  <si>
    <t>59/157.545</t>
  </si>
  <si>
    <t>59/177.545</t>
  </si>
  <si>
    <t>59/197.545</t>
  </si>
  <si>
    <t>59/217.545</t>
  </si>
  <si>
    <t>59/237.545</t>
  </si>
  <si>
    <t>59/257.545</t>
  </si>
  <si>
    <t>59/277.545</t>
  </si>
  <si>
    <t>59/297.545</t>
  </si>
  <si>
    <t>59/317.545</t>
  </si>
  <si>
    <t>59/337.545</t>
  </si>
  <si>
    <t>59/357.545</t>
  </si>
  <si>
    <t>59/377.545</t>
  </si>
  <si>
    <t>59/397.545</t>
  </si>
  <si>
    <t>59/417.545</t>
  </si>
  <si>
    <t>59/437.545</t>
  </si>
  <si>
    <t>59/457.545</t>
  </si>
  <si>
    <t>59/477.545</t>
  </si>
  <si>
    <t>59/497.545</t>
  </si>
  <si>
    <t>59/517.545</t>
  </si>
  <si>
    <t>59/537.545</t>
  </si>
  <si>
    <t>59/557.545</t>
  </si>
  <si>
    <t>59/577.545</t>
  </si>
  <si>
    <t>59/597.545</t>
  </si>
  <si>
    <t>59/617.545</t>
  </si>
  <si>
    <t>59/637.545</t>
  </si>
  <si>
    <t>59/657.545</t>
  </si>
  <si>
    <t>59/677.545</t>
  </si>
  <si>
    <t>59/697.545</t>
  </si>
  <si>
    <t>59/717.545</t>
  </si>
  <si>
    <t>59/737.545</t>
  </si>
  <si>
    <t>59/757.545</t>
  </si>
  <si>
    <t>59/777.545</t>
  </si>
  <si>
    <t>59/797.545</t>
  </si>
  <si>
    <t>59/817.545</t>
  </si>
  <si>
    <t>59/837.545</t>
  </si>
  <si>
    <t>59/857.545</t>
  </si>
  <si>
    <t>59/877.545</t>
  </si>
  <si>
    <t>59/897.545</t>
  </si>
  <si>
    <t>59/917.545</t>
  </si>
  <si>
    <t>59/937.545</t>
  </si>
  <si>
    <t>59/957.545</t>
  </si>
  <si>
    <t>59/977.545</t>
  </si>
  <si>
    <t>59/997.545</t>
  </si>
  <si>
    <t>59/1001.070-60/000.000</t>
  </si>
  <si>
    <t>60/016.475</t>
  </si>
  <si>
    <t>60/036.475</t>
  </si>
  <si>
    <t>60/056.475</t>
  </si>
  <si>
    <t>60/076.475</t>
  </si>
  <si>
    <t>60/096.475</t>
  </si>
  <si>
    <t>60/116.475</t>
  </si>
  <si>
    <t>60/136.475</t>
  </si>
  <si>
    <t>60/156.475</t>
  </si>
  <si>
    <t>60/176.475</t>
  </si>
  <si>
    <t>60/196.475</t>
  </si>
  <si>
    <t>60/216.475</t>
  </si>
  <si>
    <t>60/236.475</t>
  </si>
  <si>
    <t>60/256.475</t>
  </si>
  <si>
    <t>60/276.475</t>
  </si>
  <si>
    <t>60/296.475</t>
  </si>
  <si>
    <t>60/316.475</t>
  </si>
  <si>
    <t>60/336.475</t>
  </si>
  <si>
    <t>60/356.475</t>
  </si>
  <si>
    <t>60/376.475</t>
  </si>
  <si>
    <t>60/396.475</t>
  </si>
  <si>
    <t>60/416.475</t>
  </si>
  <si>
    <t>60/436.475</t>
  </si>
  <si>
    <t>60/456.475</t>
  </si>
  <si>
    <t>60/476.475</t>
  </si>
  <si>
    <t>60/496.475</t>
  </si>
  <si>
    <t>60/516.475</t>
  </si>
  <si>
    <t>60/536.475</t>
  </si>
  <si>
    <t>60/556.475</t>
  </si>
  <si>
    <t>60/576.475</t>
  </si>
  <si>
    <t>60/596.475</t>
  </si>
  <si>
    <t>60/616.475</t>
  </si>
  <si>
    <t>60/636.475</t>
  </si>
  <si>
    <t>60/656.475</t>
  </si>
  <si>
    <t>60/676.475</t>
  </si>
  <si>
    <t>60/696.475</t>
  </si>
  <si>
    <t>60/716.475</t>
  </si>
  <si>
    <t>60/736.475</t>
  </si>
  <si>
    <t>60/756.475</t>
  </si>
  <si>
    <t>60/776.475</t>
  </si>
  <si>
    <t>60/796.475</t>
  </si>
  <si>
    <t>60/816.475</t>
  </si>
  <si>
    <t>60/836.475</t>
  </si>
  <si>
    <t>60/856.475</t>
  </si>
  <si>
    <t>60/876.475</t>
  </si>
  <si>
    <t>60/896.475</t>
  </si>
  <si>
    <t>60/916.475</t>
  </si>
  <si>
    <t>60/936.475</t>
  </si>
  <si>
    <t>60/956.475</t>
  </si>
  <si>
    <t>60/976.475</t>
  </si>
  <si>
    <t>60/992.040-61/000.000</t>
  </si>
  <si>
    <t>61/004.435</t>
  </si>
  <si>
    <t>LEVEL</t>
  </si>
  <si>
    <t>61/024.435</t>
  </si>
  <si>
    <t>61/044.435</t>
  </si>
  <si>
    <t>61/064.435</t>
  </si>
  <si>
    <t>61/084.435</t>
  </si>
  <si>
    <t>61/104.435</t>
  </si>
  <si>
    <t>61/124.435</t>
  </si>
  <si>
    <t>61/144.435</t>
  </si>
  <si>
    <t>61/164.435</t>
  </si>
  <si>
    <t>61/184.435</t>
  </si>
  <si>
    <t>61/204.435</t>
  </si>
  <si>
    <t>61/224.435</t>
  </si>
  <si>
    <t>61/244.435</t>
  </si>
  <si>
    <t>61/264.435</t>
  </si>
  <si>
    <t>61/284.435</t>
  </si>
  <si>
    <t>61/304.435</t>
  </si>
  <si>
    <t>61/324.435</t>
  </si>
  <si>
    <t>61/344.435</t>
  </si>
  <si>
    <t>61/364.435</t>
  </si>
  <si>
    <t>61/384.435</t>
  </si>
  <si>
    <t>61/404.435</t>
  </si>
  <si>
    <t>61/424.435</t>
  </si>
  <si>
    <t>61/444.435</t>
  </si>
  <si>
    <t>61/464.435</t>
  </si>
  <si>
    <t>61/484.435</t>
  </si>
  <si>
    <t>61/504.435</t>
  </si>
  <si>
    <t>61/524.435</t>
  </si>
  <si>
    <t>61/544.435</t>
  </si>
  <si>
    <t>61/558.529</t>
  </si>
  <si>
    <t>15/713.000</t>
  </si>
  <si>
    <t>15/664.000</t>
  </si>
  <si>
    <t>YARD LIMIT</t>
  </si>
  <si>
    <t>F 116</t>
  </si>
  <si>
    <t>15/813.000</t>
  </si>
  <si>
    <t>TOP POINT &amp; SRJ 50B</t>
  </si>
  <si>
    <t>SRJ 50A &amp; FM</t>
  </si>
  <si>
    <t>F 400</t>
  </si>
  <si>
    <t>FALL</t>
  </si>
  <si>
    <t>F 3085</t>
  </si>
  <si>
    <t>RISE</t>
  </si>
  <si>
    <t>F 316</t>
  </si>
  <si>
    <t>F 924</t>
  </si>
  <si>
    <t>F 920</t>
  </si>
  <si>
    <t>F 109</t>
  </si>
  <si>
    <t>F 472</t>
  </si>
  <si>
    <t>F  319</t>
  </si>
  <si>
    <t>16/459.000</t>
  </si>
  <si>
    <t>16/409.000</t>
  </si>
  <si>
    <t>TOP POINT &amp; SRJ 100</t>
  </si>
  <si>
    <t>16/289.000</t>
  </si>
  <si>
    <t xml:space="preserve">SRJ 101 </t>
  </si>
  <si>
    <t>27/297.000</t>
  </si>
  <si>
    <t>F 164</t>
  </si>
  <si>
    <t>F  550</t>
  </si>
  <si>
    <t>F  271</t>
  </si>
  <si>
    <t>R 231</t>
  </si>
  <si>
    <t>27/347.000</t>
  </si>
  <si>
    <t xml:space="preserve">TOP POINT &amp; SRJ 50B </t>
  </si>
  <si>
    <t>27/444.000</t>
  </si>
  <si>
    <t>SRJ 50A</t>
  </si>
  <si>
    <t>F  1174</t>
  </si>
  <si>
    <t>F  10215</t>
  </si>
  <si>
    <t>28/423.000</t>
  </si>
  <si>
    <t>SRJ 65A</t>
  </si>
  <si>
    <t>28/230.000</t>
  </si>
  <si>
    <t>SRIVAIKUNDAM (SVV)</t>
  </si>
  <si>
    <t>R  3218</t>
  </si>
  <si>
    <t>TOP POINT &amp; SRJ 65A</t>
  </si>
  <si>
    <t>28/569.000</t>
  </si>
  <si>
    <t>SEYDUNGANALLUR (SDNR)</t>
  </si>
  <si>
    <t>16/063.000</t>
  </si>
  <si>
    <t>R 225</t>
  </si>
  <si>
    <t>F 904</t>
  </si>
  <si>
    <t>R 1991</t>
  </si>
  <si>
    <t>37/806.000</t>
  </si>
  <si>
    <t>37/856.000</t>
  </si>
  <si>
    <t>37/955.000</t>
  </si>
  <si>
    <t>39/087.000</t>
  </si>
  <si>
    <t xml:space="preserve">TOP POINT &amp; SRJ 65B </t>
  </si>
  <si>
    <t>39/037.000</t>
  </si>
  <si>
    <t>38/974.000</t>
  </si>
  <si>
    <t>R 406</t>
  </si>
  <si>
    <t>R 603</t>
  </si>
  <si>
    <t>R 714</t>
  </si>
  <si>
    <t>NAZARETH (NZT)</t>
  </si>
  <si>
    <t>38/726.000</t>
  </si>
  <si>
    <t>R 11115</t>
  </si>
  <si>
    <t>51/530.000</t>
  </si>
  <si>
    <t>TOP POINT &amp; SRJ 50B &amp; FM</t>
  </si>
  <si>
    <t>51/580.000</t>
  </si>
  <si>
    <t>51/677.000</t>
  </si>
  <si>
    <t>51/706.000</t>
  </si>
  <si>
    <t>SRJ 52B &amp; FM</t>
  </si>
  <si>
    <t>52/753.000</t>
  </si>
  <si>
    <t>TOP POINT &amp;  65B</t>
  </si>
  <si>
    <t>52/703.000</t>
  </si>
  <si>
    <t>52/593.000</t>
  </si>
  <si>
    <t>TS 65A</t>
  </si>
  <si>
    <t>ARUMUGANERI (ANY)</t>
  </si>
  <si>
    <t>52/055.000</t>
  </si>
  <si>
    <t>60/570.000</t>
  </si>
  <si>
    <t>61/538.000</t>
  </si>
  <si>
    <t>SRJ 59B &amp; SRJ 60</t>
  </si>
  <si>
    <t>61/460.000</t>
  </si>
  <si>
    <t>SRJ 59A</t>
  </si>
  <si>
    <t xml:space="preserve">TIRUCHENDUR TERMINUS (TCN) </t>
  </si>
  <si>
    <t>61/304.000</t>
  </si>
  <si>
    <t>61/147.000</t>
  </si>
  <si>
    <t>SRJ 52A</t>
  </si>
  <si>
    <t>61/067.000</t>
  </si>
  <si>
    <t>SRJ 52B</t>
  </si>
  <si>
    <t>60/711.000</t>
  </si>
  <si>
    <t>60/613.000</t>
  </si>
  <si>
    <t>R 236</t>
  </si>
  <si>
    <t>F 428</t>
  </si>
  <si>
    <t>R 11270</t>
  </si>
  <si>
    <t>F 905</t>
  </si>
  <si>
    <t>F 1693</t>
  </si>
  <si>
    <t>R 413</t>
  </si>
  <si>
    <t>F 3852</t>
  </si>
  <si>
    <t>R 4602</t>
  </si>
  <si>
    <t>RAILWAY.CHAINAGE</t>
  </si>
  <si>
    <t>CHAINAGE</t>
  </si>
  <si>
    <t>DIFFERENCE</t>
  </si>
  <si>
    <t>GRADIENT</t>
  </si>
  <si>
    <t>F 1362</t>
  </si>
  <si>
    <t>DISTANCE</t>
  </si>
  <si>
    <t>ENDING.CH</t>
  </si>
  <si>
    <t>STARTING.RL</t>
  </si>
  <si>
    <t>ENDING.RL</t>
  </si>
  <si>
    <t>STARTING.CH</t>
  </si>
  <si>
    <t>R 371</t>
  </si>
  <si>
    <t>F 408</t>
  </si>
  <si>
    <t>F 692</t>
  </si>
  <si>
    <t>39/180.000</t>
  </si>
  <si>
    <t>39/400.000</t>
  </si>
  <si>
    <t>R 254</t>
  </si>
  <si>
    <t>R 1247</t>
  </si>
  <si>
    <t>R 6650</t>
  </si>
  <si>
    <t>R 2800</t>
  </si>
  <si>
    <t>F 2084</t>
  </si>
  <si>
    <t>F 1016</t>
  </si>
  <si>
    <t xml:space="preserve">C-2 TTC 1   </t>
  </si>
  <si>
    <t>0/659.000</t>
  </si>
  <si>
    <t>0/719.000</t>
  </si>
  <si>
    <t>C-2 TCC 1</t>
  </si>
  <si>
    <t>C-2 TCC 2</t>
  </si>
  <si>
    <t>1/189.000</t>
  </si>
  <si>
    <t>C-2 TTC 2</t>
  </si>
  <si>
    <t>1/232.000</t>
  </si>
  <si>
    <t>1/770.000</t>
  </si>
  <si>
    <t>C-3/SVV TTC 1</t>
  </si>
  <si>
    <t>1/780.000</t>
  </si>
  <si>
    <t>C-3/SVV TTC 2</t>
  </si>
  <si>
    <t>C-3/SVV TCC 1</t>
  </si>
  <si>
    <t>1/850.000</t>
  </si>
  <si>
    <t>1/860.000</t>
  </si>
  <si>
    <t>C-3/SVV TCC 2</t>
  </si>
  <si>
    <t>1/880.000</t>
  </si>
  <si>
    <t>1/890.000</t>
  </si>
  <si>
    <t>2/020.000</t>
  </si>
  <si>
    <t>2/030.000</t>
  </si>
  <si>
    <t>F 284</t>
  </si>
  <si>
    <t>R 8394</t>
  </si>
  <si>
    <t>F 550</t>
  </si>
  <si>
    <t>F 5275</t>
  </si>
  <si>
    <t>3/805.000</t>
  </si>
  <si>
    <t>C-4 TTC 1</t>
  </si>
  <si>
    <t>3/865.000</t>
  </si>
  <si>
    <t>C-4 TCC 1</t>
  </si>
  <si>
    <t>3/995.000</t>
  </si>
  <si>
    <t>C-4 TCC 2</t>
  </si>
  <si>
    <t>4/055.000</t>
  </si>
  <si>
    <t>C-4 TTC 2</t>
  </si>
  <si>
    <t>6/555.000</t>
  </si>
  <si>
    <t>C-5 TTC 1</t>
  </si>
  <si>
    <t>C-5 TCC 1</t>
  </si>
  <si>
    <t>6/615.000</t>
  </si>
  <si>
    <t>6/935.000</t>
  </si>
  <si>
    <t>C-5 TCC 2</t>
  </si>
  <si>
    <t>C-5 TTC 2</t>
  </si>
  <si>
    <t>6/995.000</t>
  </si>
  <si>
    <t>C-6 TTC-1</t>
  </si>
  <si>
    <t>16/354.000</t>
  </si>
  <si>
    <t>16/475.000</t>
  </si>
  <si>
    <t>C-6 TCC-1</t>
  </si>
  <si>
    <t>16/665.000</t>
  </si>
  <si>
    <t>C-6 TCC-2</t>
  </si>
  <si>
    <t>16/785.000</t>
  </si>
  <si>
    <t>C-6 TTC-2</t>
  </si>
  <si>
    <t>18/706.000</t>
  </si>
  <si>
    <t>C-7 TTC 1</t>
  </si>
  <si>
    <t>C-7 TCC 1</t>
  </si>
  <si>
    <t>18/766.000</t>
  </si>
  <si>
    <t>19/276.000</t>
  </si>
  <si>
    <t>C-7 TCC 2</t>
  </si>
  <si>
    <t>C-7 TTC 2</t>
  </si>
  <si>
    <t>R 4815</t>
  </si>
  <si>
    <t>19/336.000</t>
  </si>
  <si>
    <t>C-18 TTC 1</t>
  </si>
  <si>
    <t>39/190.000</t>
  </si>
  <si>
    <t>C-18 TCC 1</t>
  </si>
  <si>
    <t>39/390.000</t>
  </si>
  <si>
    <t>C-18 TCC 2</t>
  </si>
  <si>
    <t>C-18 TTC 2</t>
  </si>
  <si>
    <t>F 575</t>
  </si>
  <si>
    <t>20/980.000</t>
  </si>
  <si>
    <t>C-8 TTC 1</t>
  </si>
  <si>
    <t>21/080.000</t>
  </si>
  <si>
    <t>C-8 TCC 1</t>
  </si>
  <si>
    <t>21/620.000</t>
  </si>
  <si>
    <t>C-8 TCC 2</t>
  </si>
  <si>
    <t>C-8 TTC 2</t>
  </si>
  <si>
    <t>21/720.000</t>
  </si>
  <si>
    <t>22/643.000</t>
  </si>
  <si>
    <t>C-9 TTC 1</t>
  </si>
  <si>
    <t>22/653.000</t>
  </si>
  <si>
    <t>C-9 TCC 1</t>
  </si>
  <si>
    <t>22/913.000</t>
  </si>
  <si>
    <t>C-9 TCC 2</t>
  </si>
  <si>
    <t>22/923.000</t>
  </si>
  <si>
    <t>23/620.000</t>
  </si>
  <si>
    <t>C-10 TTC 1</t>
  </si>
  <si>
    <t>23/680.000</t>
  </si>
  <si>
    <t>C-10 TCC 1</t>
  </si>
  <si>
    <t>23/880.000</t>
  </si>
  <si>
    <t>C-10 TCC 2</t>
  </si>
  <si>
    <t>23/940.000</t>
  </si>
  <si>
    <t>C-10 TTC 2</t>
  </si>
  <si>
    <t>24/497.000</t>
  </si>
  <si>
    <t>C-11 TTC 1</t>
  </si>
  <si>
    <t>24/507.000</t>
  </si>
  <si>
    <t>C-11 TCC 1</t>
  </si>
  <si>
    <t>24/717.000</t>
  </si>
  <si>
    <t>C-11 TCC 2</t>
  </si>
  <si>
    <t>24/727.000</t>
  </si>
  <si>
    <t>C-11 TTC 2</t>
  </si>
  <si>
    <t>24/983.000</t>
  </si>
  <si>
    <t>C-11A TTC 1</t>
  </si>
  <si>
    <t>25/043.000</t>
  </si>
  <si>
    <t>C-11A TCC 1</t>
  </si>
  <si>
    <t>25/123.000</t>
  </si>
  <si>
    <t>C-11A TCC 2</t>
  </si>
  <si>
    <t>25/183.000</t>
  </si>
  <si>
    <t>C-11A TTC 2</t>
  </si>
  <si>
    <t>27/560.000</t>
  </si>
  <si>
    <t>C-12 TTC 1</t>
  </si>
  <si>
    <t>27/570.000</t>
  </si>
  <si>
    <t>C-12 TCC 1</t>
  </si>
  <si>
    <t>27/870.000</t>
  </si>
  <si>
    <t>27/880.000</t>
  </si>
  <si>
    <t>C-12 TCC 2</t>
  </si>
  <si>
    <t>C-12 TTC 2</t>
  </si>
  <si>
    <t>28/876.000</t>
  </si>
  <si>
    <t>C-14 TTC 1</t>
  </si>
  <si>
    <t>28/996.000</t>
  </si>
  <si>
    <t>C-14 TCC 1</t>
  </si>
  <si>
    <t>29/136.000</t>
  </si>
  <si>
    <t>C-14 TCC 2</t>
  </si>
  <si>
    <t>29/246.000</t>
  </si>
  <si>
    <t>C-14 TTC 2</t>
  </si>
  <si>
    <t>30/582.000</t>
  </si>
  <si>
    <t>C-15 TTC 1</t>
  </si>
  <si>
    <t>30/682.000</t>
  </si>
  <si>
    <t>C-15 TCC 1</t>
  </si>
  <si>
    <t>31/012.000</t>
  </si>
  <si>
    <t>C-15 TCC 2</t>
  </si>
  <si>
    <t>31/112.000</t>
  </si>
  <si>
    <t>C-15 TTC 2</t>
  </si>
  <si>
    <t>33/395.000</t>
  </si>
  <si>
    <t>C-16 TTC 1</t>
  </si>
  <si>
    <t>C-16 TCC 1</t>
  </si>
  <si>
    <t>33/405.000</t>
  </si>
  <si>
    <t>33/645.000</t>
  </si>
  <si>
    <t>C-16 TCC 2</t>
  </si>
  <si>
    <t>33/655.000</t>
  </si>
  <si>
    <t>C-16 TTC 2</t>
  </si>
  <si>
    <t>38/032.000</t>
  </si>
  <si>
    <t>C-17 TTC 1</t>
  </si>
  <si>
    <t>38/042.000</t>
  </si>
  <si>
    <t>C-17 TCC 2</t>
  </si>
  <si>
    <t>C-17 TCC 1</t>
  </si>
  <si>
    <t>38/422.000</t>
  </si>
  <si>
    <t>38/432.000</t>
  </si>
  <si>
    <t>C-17 TTC 2</t>
  </si>
  <si>
    <t>46/536.000</t>
  </si>
  <si>
    <t>C-19 TTC 1</t>
  </si>
  <si>
    <t>46/546.000</t>
  </si>
  <si>
    <t>C-19 TCC 1</t>
  </si>
  <si>
    <t>46/836.000</t>
  </si>
  <si>
    <t>46/846.000</t>
  </si>
  <si>
    <t>C-19 TCC 2</t>
  </si>
  <si>
    <t>C-19 TTC 2</t>
  </si>
  <si>
    <t>48/230.000</t>
  </si>
  <si>
    <t>C-20 TTC 1</t>
  </si>
  <si>
    <t>48/300.000</t>
  </si>
  <si>
    <t>C-20 TCC 1</t>
  </si>
  <si>
    <t>48/430.000</t>
  </si>
  <si>
    <t>C-20 TCC 2</t>
  </si>
  <si>
    <t>48/500.000</t>
  </si>
  <si>
    <t>C-20 TTC 2</t>
  </si>
  <si>
    <t>52/283.000</t>
  </si>
  <si>
    <t>C-21 TTC 1</t>
  </si>
  <si>
    <t>52/353.000</t>
  </si>
  <si>
    <t>C-21 TCC 1</t>
  </si>
  <si>
    <t>52/913.000</t>
  </si>
  <si>
    <t>52/843.000</t>
  </si>
  <si>
    <t>C-21 TCC 2</t>
  </si>
  <si>
    <t>C-21 TTC 2</t>
  </si>
  <si>
    <t>R 202</t>
  </si>
  <si>
    <t>R  266</t>
  </si>
  <si>
    <t>R  413</t>
  </si>
  <si>
    <t>R 842</t>
  </si>
  <si>
    <t>F 2648</t>
  </si>
  <si>
    <t>F 327</t>
  </si>
  <si>
    <t>F 1177</t>
  </si>
  <si>
    <t>F 11838</t>
  </si>
  <si>
    <t>R 1152</t>
  </si>
  <si>
    <t>F 279</t>
  </si>
  <si>
    <t>F 1351</t>
  </si>
  <si>
    <t>F 136</t>
  </si>
  <si>
    <t>F 258</t>
  </si>
  <si>
    <t>F 2933</t>
  </si>
  <si>
    <t>R 9665</t>
  </si>
  <si>
    <t>F 1216</t>
  </si>
  <si>
    <t>R 2053</t>
  </si>
  <si>
    <t>F 4607</t>
  </si>
  <si>
    <t>F 4890</t>
  </si>
  <si>
    <t>F 3468</t>
  </si>
  <si>
    <t>F 2154</t>
  </si>
  <si>
    <t>R 420</t>
  </si>
  <si>
    <t>R 432</t>
  </si>
  <si>
    <t>F 2066</t>
  </si>
  <si>
    <t>F 10520</t>
  </si>
  <si>
    <t>R 3729</t>
  </si>
  <si>
    <t>R 199</t>
  </si>
  <si>
    <t>F 2537</t>
  </si>
  <si>
    <t>F 6131</t>
  </si>
  <si>
    <t>F 382</t>
  </si>
  <si>
    <t>F 1512</t>
  </si>
  <si>
    <t>F 11849</t>
  </si>
  <si>
    <t>F 493</t>
  </si>
  <si>
    <t>R 414</t>
  </si>
  <si>
    <t>F 3848</t>
  </si>
  <si>
    <t>R 4603</t>
  </si>
  <si>
    <t>ID</t>
  </si>
  <si>
    <t>CH/G</t>
  </si>
  <si>
    <t>END G</t>
  </si>
  <si>
    <t>START RL</t>
  </si>
  <si>
    <t>END RL</t>
  </si>
  <si>
    <t>A ID</t>
  </si>
  <si>
    <t>R/F</t>
  </si>
  <si>
    <t>R 1 IN 1247</t>
  </si>
  <si>
    <t>R 1 IN 254</t>
  </si>
  <si>
    <t>R 1 IN 8394</t>
  </si>
  <si>
    <t>F 1 IN 284</t>
  </si>
  <si>
    <t>F 1 IN 550</t>
  </si>
  <si>
    <t>F 1 IN 5275</t>
  </si>
  <si>
    <t>R 1 IN 582</t>
  </si>
  <si>
    <t>R 1 IN 202</t>
  </si>
  <si>
    <t>R 1 IN 114</t>
  </si>
  <si>
    <t>R 1 IN  266</t>
  </si>
  <si>
    <t>R 1 IN  413</t>
  </si>
  <si>
    <t>R 1 IN 842</t>
  </si>
  <si>
    <t>R 1 IN 240</t>
  </si>
  <si>
    <t>R 1 IN 172</t>
  </si>
  <si>
    <t>R 1 IN 371</t>
  </si>
  <si>
    <t>F 1 IN 2648</t>
  </si>
  <si>
    <t>F 1 IN 492</t>
  </si>
  <si>
    <t>F 1 IN 316</t>
  </si>
  <si>
    <t>F 1 IN 924</t>
  </si>
  <si>
    <t>F 1 IN 237</t>
  </si>
  <si>
    <t>F 1 IN 134</t>
  </si>
  <si>
    <t>F 1 IN 521</t>
  </si>
  <si>
    <t>R 1 IN 629</t>
  </si>
  <si>
    <t>R 1 IN 6650</t>
  </si>
  <si>
    <t>F 1 IN 920</t>
  </si>
  <si>
    <t>R 1 IN 2800</t>
  </si>
  <si>
    <t>F 1 IN 620</t>
  </si>
  <si>
    <t>F 1 IN 216</t>
  </si>
  <si>
    <t>F 1 IN 2084</t>
  </si>
  <si>
    <t>R 1 IN 893</t>
  </si>
  <si>
    <t>F 1 IN 887</t>
  </si>
  <si>
    <t>F 1 IN 101</t>
  </si>
  <si>
    <t>F 1 IN 223</t>
  </si>
  <si>
    <t>F 1 IN 3085</t>
  </si>
  <si>
    <t>F 1 IN 109</t>
  </si>
  <si>
    <t>F 1 IN 472</t>
  </si>
  <si>
    <t>F 1 IN 116</t>
  </si>
  <si>
    <t>F 1 IN 408</t>
  </si>
  <si>
    <t>F 1 IN 327</t>
  </si>
  <si>
    <t>F 1 IN 1177</t>
  </si>
  <si>
    <t>R 1 IN 270</t>
  </si>
  <si>
    <t>F 1 IN 241</t>
  </si>
  <si>
    <t>F 1 IN 11838</t>
  </si>
  <si>
    <t>R 1 IN 4815</t>
  </si>
  <si>
    <t>R 1 IN 647</t>
  </si>
  <si>
    <t>F 1 IN 1016</t>
  </si>
  <si>
    <t>R 1 IN 1152</t>
  </si>
  <si>
    <t>F 1 IN 279</t>
  </si>
  <si>
    <t>F 1 IN 1351</t>
  </si>
  <si>
    <t>R 1 IN 1637</t>
  </si>
  <si>
    <t>R 1 IN 897</t>
  </si>
  <si>
    <t>F 1 IN 136</t>
  </si>
  <si>
    <t>F 1 IN 258</t>
  </si>
  <si>
    <t>F 1 IN 2933</t>
  </si>
  <si>
    <t>R 1 IN 231</t>
  </si>
  <si>
    <t>F 1 IN 164</t>
  </si>
  <si>
    <t>F 1 IN  271</t>
  </si>
  <si>
    <t>F 1 IN 108</t>
  </si>
  <si>
    <t>F 1 IN  550</t>
  </si>
  <si>
    <t>F 1 IN  708</t>
  </si>
  <si>
    <t>F 1 IN  1174</t>
  </si>
  <si>
    <t>F 1 IN  10215</t>
  </si>
  <si>
    <t>R 1 IN  3218</t>
  </si>
  <si>
    <t>F 1 IN 1362</t>
  </si>
  <si>
    <t>R 1 IN 9665</t>
  </si>
  <si>
    <t>F 1 IN 692</t>
  </si>
  <si>
    <t>F 1 IN 1216</t>
  </si>
  <si>
    <t>R 1 IN 2053</t>
  </si>
  <si>
    <t>F 1 IN 4607</t>
  </si>
  <si>
    <t>F 1 IN 4890</t>
  </si>
  <si>
    <t>R 1 IN 960</t>
  </si>
  <si>
    <t>F 1 IN 3468</t>
  </si>
  <si>
    <t>F 1 IN 8421</t>
  </si>
  <si>
    <t>R 1 IN 743</t>
  </si>
  <si>
    <t>F 1 IN 1176</t>
  </si>
  <si>
    <t>R 1 IN 1472</t>
  </si>
  <si>
    <t>R 1 IN 225</t>
  </si>
  <si>
    <t>F 1 IN 186</t>
  </si>
  <si>
    <t>F 1 IN 904</t>
  </si>
  <si>
    <t>R 1 IN 1991</t>
  </si>
  <si>
    <t>R 1 IN 168</t>
  </si>
  <si>
    <t>R 1 IN 100</t>
  </si>
  <si>
    <t>F 1 IN 2154</t>
  </si>
  <si>
    <t>R 1 IN 420</t>
  </si>
  <si>
    <t>R 1 IN 432</t>
  </si>
  <si>
    <t>R 1 IN 714</t>
  </si>
  <si>
    <t>R 1 IN 123</t>
  </si>
  <si>
    <t>F 1 IN 575</t>
  </si>
  <si>
    <t>F 1 IN 2066</t>
  </si>
  <si>
    <t>F 1 IN 275</t>
  </si>
  <si>
    <t>F 1 IN 10520</t>
  </si>
  <si>
    <t>F 1 IN 236</t>
  </si>
  <si>
    <t>F 1 IN 181</t>
  </si>
  <si>
    <t>F 1 IN 457</t>
  </si>
  <si>
    <t>R 1 IN 1137</t>
  </si>
  <si>
    <t>F 1 IN 328</t>
  </si>
  <si>
    <t>F 1 IN 1076</t>
  </si>
  <si>
    <t>R 1 IN 3729</t>
  </si>
  <si>
    <t>R 1 IN 199</t>
  </si>
  <si>
    <t>F 1 IN 2537</t>
  </si>
  <si>
    <t>F 1 IN 193</t>
  </si>
  <si>
    <t>F 1 IN 121</t>
  </si>
  <si>
    <t>F 1 IN 6131</t>
  </si>
  <si>
    <t>F 1 IN 1646</t>
  </si>
  <si>
    <t>R 1 IN 331</t>
  </si>
  <si>
    <t>F 1 IN 131</t>
  </si>
  <si>
    <t>F 1 IN 822</t>
  </si>
  <si>
    <t>R 1 IN 1884</t>
  </si>
  <si>
    <t>F 1 IN 251</t>
  </si>
  <si>
    <t>F 1 IN 1512</t>
  </si>
  <si>
    <t>F 1 IN 382</t>
  </si>
  <si>
    <t>F 1 IN 11849</t>
  </si>
  <si>
    <t>F 1 IN 493</t>
  </si>
  <si>
    <t>R 1 IN 414</t>
  </si>
  <si>
    <t>F 1 IN 3848</t>
  </si>
  <si>
    <t>R 1 IN 4603</t>
  </si>
  <si>
    <t>F 1 IN 905</t>
  </si>
  <si>
    <t>R 1 IN 11270</t>
  </si>
  <si>
    <t>F 1 IN 745</t>
  </si>
  <si>
    <t>R 1 IN 1523</t>
  </si>
  <si>
    <t>R 1 IN 236</t>
  </si>
  <si>
    <t>F 1 IN 428</t>
  </si>
  <si>
    <t>F 1 IN 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</si>
</sst>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Arial"/>
      <family val="2"/>
    </font>
    <font>
      <sz val="13"/>
      <color rgb="FFFF0000"/>
      <name val="Arial"/>
      <family val="2"/>
    </font>
    <font>
      <b/>
      <sz val="14"/>
      <color rgb="FF002060"/>
      <name val="Arial"/>
      <family val="2"/>
    </font>
    <font>
      <b/>
      <sz val="13"/>
      <color rgb="FFFF0000"/>
      <name val="Arial"/>
      <family val="2"/>
    </font>
    <font>
      <b/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3"/>
      <color theme="1"/>
      <name val="Arial"/>
      <family val="2"/>
    </font>
    <font>
      <sz val="1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Protection="1">
      <protection locked="0"/>
    </xf>
    <xf numFmtId="164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3" fillId="0" borderId="5" xfId="0" applyFont="1" applyBorder="1"/>
    <xf numFmtId="0" fontId="2" fillId="0" borderId="7" xfId="0" applyFont="1" applyBorder="1"/>
    <xf numFmtId="0" fontId="2" fillId="0" borderId="8" xfId="0" applyFont="1" applyBorder="1" applyProtection="1">
      <protection locked="0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/>
    <xf numFmtId="0" fontId="2" fillId="0" borderId="8" xfId="0" applyFont="1" applyBorder="1"/>
    <xf numFmtId="164" fontId="2" fillId="0" borderId="9" xfId="0" applyNumberFormat="1" applyFont="1" applyBorder="1"/>
    <xf numFmtId="0" fontId="2" fillId="0" borderId="11" xfId="0" applyFont="1" applyBorder="1" applyAlignment="1" applyProtection="1">
      <alignment horizont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5" fillId="0" borderId="5" xfId="0" applyFont="1" applyBorder="1"/>
    <xf numFmtId="0" fontId="2" fillId="2" borderId="5" xfId="0" applyFont="1" applyFill="1" applyBorder="1"/>
    <xf numFmtId="0" fontId="2" fillId="2" borderId="0" xfId="0" applyFont="1" applyFill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/>
    <xf numFmtId="164" fontId="0" fillId="0" borderId="6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4" xfId="0" applyBorder="1"/>
    <xf numFmtId="0" fontId="6" fillId="0" borderId="15" xfId="0" applyFont="1" applyBorder="1" applyAlignment="1">
      <alignment horizontal="center" vertical="center"/>
    </xf>
    <xf numFmtId="10" fontId="2" fillId="0" borderId="0" xfId="0" applyNumberFormat="1" applyFont="1"/>
    <xf numFmtId="0" fontId="2" fillId="0" borderId="13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5" fillId="0" borderId="13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1" xfId="0" applyFont="1" applyBorder="1"/>
    <xf numFmtId="0" fontId="5" fillId="0" borderId="12" xfId="0" applyFont="1" applyBorder="1"/>
    <xf numFmtId="0" fontId="5" fillId="2" borderId="13" xfId="0" applyFont="1" applyFill="1" applyBorder="1" applyProtection="1">
      <protection locked="0"/>
    </xf>
    <xf numFmtId="0" fontId="5" fillId="2" borderId="11" xfId="0" applyFont="1" applyFill="1" applyBorder="1" applyProtection="1">
      <protection locked="0"/>
    </xf>
    <xf numFmtId="0" fontId="5" fillId="2" borderId="12" xfId="0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Border="1"/>
    <xf numFmtId="164" fontId="2" fillId="0" borderId="12" xfId="0" applyNumberFormat="1" applyFont="1" applyBorder="1"/>
    <xf numFmtId="164" fontId="2" fillId="2" borderId="6" xfId="0" applyNumberFormat="1" applyFont="1" applyFill="1" applyBorder="1"/>
    <xf numFmtId="0" fontId="10" fillId="0" borderId="5" xfId="0" applyFont="1" applyBorder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1D28-27FA-4DDA-9822-F62EF06807EB}">
  <dimension ref="A1:Z3386"/>
  <sheetViews>
    <sheetView topLeftCell="A13" zoomScale="85" zoomScaleNormal="85" workbookViewId="0">
      <selection activeCell="M53" sqref="M53"/>
    </sheetView>
  </sheetViews>
  <sheetFormatPr defaultRowHeight="16.8" x14ac:dyDescent="0.3"/>
  <cols>
    <col min="1" max="1" width="26.109375" style="3" bestFit="1" customWidth="1"/>
    <col min="2" max="2" width="24.44140625" style="3" customWidth="1"/>
    <col min="3" max="3" width="8.77734375" style="3" bestFit="1" customWidth="1"/>
    <col min="4" max="4" width="10.109375" style="3" customWidth="1"/>
    <col min="5" max="5" width="8.44140625" style="3" bestFit="1" customWidth="1"/>
    <col min="6" max="6" width="15.33203125" style="3" customWidth="1"/>
    <col min="7" max="7" width="7.88671875" style="3" bestFit="1" customWidth="1"/>
    <col min="8" max="13" width="9" style="3" bestFit="1" customWidth="1"/>
    <col min="14" max="14" width="12.109375" style="3" bestFit="1" customWidth="1"/>
    <col min="15" max="15" width="15.44140625" style="3" bestFit="1" customWidth="1"/>
    <col min="16" max="16" width="9" style="3" bestFit="1" customWidth="1"/>
    <col min="17" max="17" width="8.88671875" style="3" bestFit="1" customWidth="1"/>
    <col min="18" max="18" width="9" style="3" bestFit="1" customWidth="1"/>
    <col min="19" max="25" width="8.88671875" style="3"/>
    <col min="26" max="26" width="17.77734375" style="3" bestFit="1" customWidth="1"/>
    <col min="27" max="16384" width="8.88671875" style="3"/>
  </cols>
  <sheetData>
    <row r="1" spans="1:18" ht="17.399999999999999" x14ac:dyDescent="0.3">
      <c r="A1" s="9" t="s">
        <v>51</v>
      </c>
      <c r="B1" s="10" t="s">
        <v>0</v>
      </c>
      <c r="C1" s="10" t="s">
        <v>1</v>
      </c>
      <c r="D1" s="10" t="s">
        <v>2</v>
      </c>
      <c r="E1" s="81" t="s">
        <v>52</v>
      </c>
      <c r="F1" s="81"/>
      <c r="G1" s="82"/>
    </row>
    <row r="2" spans="1:18" x14ac:dyDescent="0.3">
      <c r="A2" s="11" t="s">
        <v>53</v>
      </c>
      <c r="B2" s="7">
        <v>0</v>
      </c>
      <c r="C2" s="7">
        <v>36.531999999999996</v>
      </c>
      <c r="D2" s="6">
        <v>0</v>
      </c>
      <c r="E2" s="83"/>
      <c r="F2" s="84"/>
      <c r="G2" s="85"/>
      <c r="H2" s="4" t="s">
        <v>3300</v>
      </c>
      <c r="J2" s="4"/>
      <c r="O2" s="3">
        <f>1/O3</f>
        <v>8.0192461908580592E-4</v>
      </c>
      <c r="P2" s="3">
        <f>O2*20</f>
        <v>1.6038492381716118E-2</v>
      </c>
      <c r="Q2" s="3" t="s">
        <v>3202</v>
      </c>
      <c r="R2" s="3">
        <v>1247</v>
      </c>
    </row>
    <row r="3" spans="1:18" x14ac:dyDescent="0.3">
      <c r="A3" s="11" t="s">
        <v>54</v>
      </c>
      <c r="B3" s="7">
        <v>20</v>
      </c>
      <c r="C3" s="7">
        <v>36.512</v>
      </c>
      <c r="D3" s="2">
        <f>C3-C2</f>
        <v>-1.9999999999996021E-2</v>
      </c>
      <c r="E3" s="8">
        <f>C2+F3</f>
        <v>36.548038492381714</v>
      </c>
      <c r="F3" s="6">
        <f>P2</f>
        <v>1.6038492381716118E-2</v>
      </c>
      <c r="G3" s="12">
        <f>C3-E3</f>
        <v>-3.6038492381713638E-2</v>
      </c>
      <c r="H3" s="3">
        <f>B2</f>
        <v>0</v>
      </c>
      <c r="I3" s="3">
        <f>B32</f>
        <v>600</v>
      </c>
      <c r="J3" s="3">
        <f>I3-H3</f>
        <v>600</v>
      </c>
      <c r="K3" s="5">
        <f>C2</f>
        <v>36.531999999999996</v>
      </c>
      <c r="L3" s="3">
        <f>C32</f>
        <v>37.012999999999998</v>
      </c>
      <c r="M3" s="5">
        <f>L3-K3</f>
        <v>0.48100000000000165</v>
      </c>
      <c r="N3" s="3">
        <f>J3/M3</f>
        <v>1247.4012474012432</v>
      </c>
      <c r="O3" s="3">
        <v>1247</v>
      </c>
    </row>
    <row r="4" spans="1:18" x14ac:dyDescent="0.3">
      <c r="A4" s="11" t="s">
        <v>55</v>
      </c>
      <c r="B4" s="7">
        <v>40</v>
      </c>
      <c r="C4" s="7">
        <v>36.536000000000001</v>
      </c>
      <c r="D4" s="2">
        <f t="shared" ref="D4:D73" si="0">C4-C3</f>
        <v>2.4000000000000909E-2</v>
      </c>
      <c r="E4" s="8">
        <f>E3+F3</f>
        <v>36.564076984763432</v>
      </c>
      <c r="F4" s="6">
        <f>F3</f>
        <v>1.6038492381716118E-2</v>
      </c>
      <c r="G4" s="12">
        <f>C4-E4</f>
        <v>-2.8076984763430346E-2</v>
      </c>
    </row>
    <row r="5" spans="1:18" x14ac:dyDescent="0.3">
      <c r="A5" s="11" t="s">
        <v>56</v>
      </c>
      <c r="B5" s="7">
        <v>60</v>
      </c>
      <c r="C5" s="7">
        <v>36.514000000000003</v>
      </c>
      <c r="D5" s="2">
        <f t="shared" si="0"/>
        <v>-2.1999999999998465E-2</v>
      </c>
      <c r="E5" s="8">
        <f t="shared" ref="E5:E53" si="1">E4+F4</f>
        <v>36.580115477145149</v>
      </c>
      <c r="F5" s="6">
        <f t="shared" ref="F5:F53" si="2">F4</f>
        <v>1.6038492381716118E-2</v>
      </c>
      <c r="G5" s="12">
        <f t="shared" ref="G5:G53" si="3">C5-E5</f>
        <v>-6.6115477145146428E-2</v>
      </c>
    </row>
    <row r="6" spans="1:18" x14ac:dyDescent="0.3">
      <c r="A6" s="11" t="s">
        <v>57</v>
      </c>
      <c r="B6" s="7">
        <v>80</v>
      </c>
      <c r="C6" s="7">
        <v>36.526000000000003</v>
      </c>
      <c r="D6" s="2">
        <f t="shared" si="0"/>
        <v>1.2000000000000455E-2</v>
      </c>
      <c r="E6" s="8">
        <f t="shared" si="1"/>
        <v>36.596153969526867</v>
      </c>
      <c r="F6" s="6">
        <f t="shared" si="2"/>
        <v>1.6038492381716118E-2</v>
      </c>
      <c r="G6" s="12">
        <f t="shared" si="3"/>
        <v>-7.0153969526863591E-2</v>
      </c>
    </row>
    <row r="7" spans="1:18" x14ac:dyDescent="0.3">
      <c r="A7" s="11" t="s">
        <v>58</v>
      </c>
      <c r="B7" s="7">
        <v>100</v>
      </c>
      <c r="C7" s="7">
        <v>36.51</v>
      </c>
      <c r="D7" s="2">
        <f t="shared" si="0"/>
        <v>-1.6000000000005343E-2</v>
      </c>
      <c r="E7" s="8">
        <f t="shared" si="1"/>
        <v>36.612192461908585</v>
      </c>
      <c r="F7" s="6">
        <f t="shared" si="2"/>
        <v>1.6038492381716118E-2</v>
      </c>
      <c r="G7" s="12">
        <f t="shared" si="3"/>
        <v>-0.10219246190858655</v>
      </c>
    </row>
    <row r="8" spans="1:18" x14ac:dyDescent="0.3">
      <c r="A8" s="11" t="s">
        <v>59</v>
      </c>
      <c r="B8" s="7">
        <v>120</v>
      </c>
      <c r="C8" s="7">
        <v>36.533999999999999</v>
      </c>
      <c r="D8" s="2">
        <f t="shared" si="0"/>
        <v>2.4000000000000909E-2</v>
      </c>
      <c r="E8" s="8">
        <f t="shared" si="1"/>
        <v>36.628230954290302</v>
      </c>
      <c r="F8" s="6">
        <f t="shared" si="2"/>
        <v>1.6038492381716118E-2</v>
      </c>
      <c r="G8" s="12">
        <f t="shared" si="3"/>
        <v>-9.4230954290303259E-2</v>
      </c>
    </row>
    <row r="9" spans="1:18" x14ac:dyDescent="0.3">
      <c r="A9" s="11" t="s">
        <v>60</v>
      </c>
      <c r="B9" s="7">
        <v>140</v>
      </c>
      <c r="C9" s="7">
        <v>36.600999999999999</v>
      </c>
      <c r="D9" s="2">
        <f t="shared" si="0"/>
        <v>6.7000000000000171E-2</v>
      </c>
      <c r="E9" s="8">
        <f t="shared" si="1"/>
        <v>36.64426944667202</v>
      </c>
      <c r="F9" s="6">
        <f t="shared" si="2"/>
        <v>1.6038492381716118E-2</v>
      </c>
      <c r="G9" s="12">
        <f t="shared" si="3"/>
        <v>-4.3269446672020706E-2</v>
      </c>
    </row>
    <row r="10" spans="1:18" x14ac:dyDescent="0.3">
      <c r="A10" s="11" t="s">
        <v>61</v>
      </c>
      <c r="B10" s="7">
        <v>160</v>
      </c>
      <c r="C10" s="7">
        <v>36.665999999999997</v>
      </c>
      <c r="D10" s="2">
        <f t="shared" si="0"/>
        <v>6.4999999999997726E-2</v>
      </c>
      <c r="E10" s="8">
        <f t="shared" si="1"/>
        <v>36.660307939053737</v>
      </c>
      <c r="F10" s="6">
        <f t="shared" si="2"/>
        <v>1.6038492381716118E-2</v>
      </c>
      <c r="G10" s="12">
        <f t="shared" si="3"/>
        <v>5.692060946259403E-3</v>
      </c>
    </row>
    <row r="11" spans="1:18" x14ac:dyDescent="0.3">
      <c r="A11" s="11" t="s">
        <v>62</v>
      </c>
      <c r="B11" s="7">
        <v>180</v>
      </c>
      <c r="C11" s="7">
        <v>36.700000000000003</v>
      </c>
      <c r="D11" s="2">
        <f t="shared" si="0"/>
        <v>3.4000000000006025E-2</v>
      </c>
      <c r="E11" s="8">
        <f t="shared" si="1"/>
        <v>36.676346431435455</v>
      </c>
      <c r="F11" s="6">
        <f t="shared" si="2"/>
        <v>1.6038492381716118E-2</v>
      </c>
      <c r="G11" s="12">
        <f t="shared" si="3"/>
        <v>2.3653568564547811E-2</v>
      </c>
    </row>
    <row r="12" spans="1:18" x14ac:dyDescent="0.3">
      <c r="A12" s="11" t="s">
        <v>63</v>
      </c>
      <c r="B12" s="7">
        <v>200</v>
      </c>
      <c r="C12" s="7">
        <v>36.677999999999997</v>
      </c>
      <c r="D12" s="2">
        <f t="shared" si="0"/>
        <v>-2.2000000000005571E-2</v>
      </c>
      <c r="E12" s="8">
        <f t="shared" si="1"/>
        <v>36.692384923817173</v>
      </c>
      <c r="F12" s="6">
        <f t="shared" si="2"/>
        <v>1.6038492381716118E-2</v>
      </c>
      <c r="G12" s="12">
        <f t="shared" si="3"/>
        <v>-1.4384923817175377E-2</v>
      </c>
    </row>
    <row r="13" spans="1:18" x14ac:dyDescent="0.3">
      <c r="A13" s="11" t="s">
        <v>64</v>
      </c>
      <c r="B13" s="7">
        <v>220</v>
      </c>
      <c r="C13" s="7">
        <v>36.779000000000003</v>
      </c>
      <c r="D13" s="2">
        <f t="shared" si="0"/>
        <v>0.1010000000000062</v>
      </c>
      <c r="E13" s="8">
        <f t="shared" si="1"/>
        <v>36.70842341619889</v>
      </c>
      <c r="F13" s="6">
        <f t="shared" si="2"/>
        <v>1.6038492381716118E-2</v>
      </c>
      <c r="G13" s="12">
        <f t="shared" si="3"/>
        <v>7.0576583801113202E-2</v>
      </c>
    </row>
    <row r="14" spans="1:18" x14ac:dyDescent="0.3">
      <c r="A14" s="11" t="s">
        <v>65</v>
      </c>
      <c r="B14" s="7">
        <v>240</v>
      </c>
      <c r="C14" s="7">
        <v>36.798000000000002</v>
      </c>
      <c r="D14" s="2">
        <f t="shared" si="0"/>
        <v>1.8999999999998352E-2</v>
      </c>
      <c r="E14" s="8">
        <f t="shared" si="1"/>
        <v>36.724461908580608</v>
      </c>
      <c r="F14" s="6">
        <f t="shared" si="2"/>
        <v>1.6038492381716118E-2</v>
      </c>
      <c r="G14" s="12">
        <f>C14-E14</f>
        <v>7.3538091419393936E-2</v>
      </c>
    </row>
    <row r="15" spans="1:18" x14ac:dyDescent="0.3">
      <c r="A15" s="11" t="s">
        <v>66</v>
      </c>
      <c r="B15" s="7">
        <v>260</v>
      </c>
      <c r="C15" s="7">
        <v>36.82</v>
      </c>
      <c r="D15" s="2">
        <f t="shared" si="0"/>
        <v>2.1999999999998465E-2</v>
      </c>
      <c r="E15" s="8">
        <f t="shared" si="1"/>
        <v>36.740500400962326</v>
      </c>
      <c r="F15" s="6">
        <f t="shared" si="2"/>
        <v>1.6038492381716118E-2</v>
      </c>
      <c r="G15" s="12">
        <f t="shared" si="3"/>
        <v>7.9499599037674784E-2</v>
      </c>
    </row>
    <row r="16" spans="1:18" x14ac:dyDescent="0.3">
      <c r="A16" s="11" t="s">
        <v>67</v>
      </c>
      <c r="B16" s="7">
        <v>280</v>
      </c>
      <c r="C16" s="7">
        <v>36.832000000000001</v>
      </c>
      <c r="D16" s="2">
        <f t="shared" si="0"/>
        <v>1.2000000000000455E-2</v>
      </c>
      <c r="E16" s="8">
        <f t="shared" si="1"/>
        <v>36.756538893344043</v>
      </c>
      <c r="F16" s="6">
        <f t="shared" si="2"/>
        <v>1.6038492381716118E-2</v>
      </c>
      <c r="G16" s="12">
        <f t="shared" si="3"/>
        <v>7.5461106655957622E-2</v>
      </c>
    </row>
    <row r="17" spans="1:7" x14ac:dyDescent="0.3">
      <c r="A17" s="11" t="s">
        <v>68</v>
      </c>
      <c r="B17" s="7">
        <v>300</v>
      </c>
      <c r="C17" s="7">
        <v>36.843000000000004</v>
      </c>
      <c r="D17" s="2">
        <f t="shared" si="0"/>
        <v>1.1000000000002785E-2</v>
      </c>
      <c r="E17" s="8">
        <f t="shared" si="1"/>
        <v>36.772577385725761</v>
      </c>
      <c r="F17" s="6">
        <f t="shared" si="2"/>
        <v>1.6038492381716118E-2</v>
      </c>
      <c r="G17" s="12">
        <f t="shared" si="3"/>
        <v>7.042261427424279E-2</v>
      </c>
    </row>
    <row r="18" spans="1:7" x14ac:dyDescent="0.3">
      <c r="A18" s="11" t="s">
        <v>69</v>
      </c>
      <c r="B18" s="7">
        <v>320</v>
      </c>
      <c r="C18" s="7">
        <v>36.838000000000001</v>
      </c>
      <c r="D18" s="2">
        <f>C18-C17</f>
        <v>-5.000000000002558E-3</v>
      </c>
      <c r="E18" s="8">
        <f>E17+F17</f>
        <v>36.788615878107478</v>
      </c>
      <c r="F18" s="6">
        <f>F17</f>
        <v>1.6038492381716118E-2</v>
      </c>
      <c r="G18" s="12">
        <f t="shared" si="3"/>
        <v>4.9384121892522614E-2</v>
      </c>
    </row>
    <row r="19" spans="1:7" x14ac:dyDescent="0.3">
      <c r="A19" s="11" t="s">
        <v>70</v>
      </c>
      <c r="B19" s="7">
        <v>340</v>
      </c>
      <c r="C19" s="7">
        <v>36.807000000000002</v>
      </c>
      <c r="D19" s="2">
        <f t="shared" si="0"/>
        <v>-3.0999999999998806E-2</v>
      </c>
      <c r="E19" s="8">
        <f t="shared" si="1"/>
        <v>36.804654370489196</v>
      </c>
      <c r="F19" s="6">
        <f t="shared" si="2"/>
        <v>1.6038492381716118E-2</v>
      </c>
      <c r="G19" s="12">
        <f t="shared" si="3"/>
        <v>2.3456295108061909E-3</v>
      </c>
    </row>
    <row r="20" spans="1:7" x14ac:dyDescent="0.3">
      <c r="A20" s="11" t="s">
        <v>71</v>
      </c>
      <c r="B20" s="7">
        <v>360</v>
      </c>
      <c r="C20" s="7">
        <v>36.811999999999998</v>
      </c>
      <c r="D20" s="2">
        <f t="shared" si="0"/>
        <v>4.9999999999954525E-3</v>
      </c>
      <c r="E20" s="8">
        <f t="shared" si="1"/>
        <v>36.820692862870914</v>
      </c>
      <c r="F20" s="6">
        <f t="shared" si="2"/>
        <v>1.6038492381716118E-2</v>
      </c>
      <c r="G20" s="12">
        <f t="shared" si="3"/>
        <v>-8.6928628709159739E-3</v>
      </c>
    </row>
    <row r="21" spans="1:7" x14ac:dyDescent="0.3">
      <c r="A21" s="11" t="s">
        <v>72</v>
      </c>
      <c r="B21" s="7">
        <v>380</v>
      </c>
      <c r="C21" s="7">
        <v>36.813000000000002</v>
      </c>
      <c r="D21" s="2">
        <f t="shared" si="0"/>
        <v>1.0000000000047748E-3</v>
      </c>
      <c r="E21" s="8">
        <f t="shared" si="1"/>
        <v>36.836731355252631</v>
      </c>
      <c r="F21" s="6">
        <f t="shared" si="2"/>
        <v>1.6038492381716118E-2</v>
      </c>
      <c r="G21" s="12">
        <f t="shared" si="3"/>
        <v>-2.3731355252628816E-2</v>
      </c>
    </row>
    <row r="22" spans="1:7" x14ac:dyDescent="0.3">
      <c r="A22" s="11" t="s">
        <v>73</v>
      </c>
      <c r="B22" s="7">
        <v>400</v>
      </c>
      <c r="C22" s="7">
        <v>36.819000000000003</v>
      </c>
      <c r="D22" s="2">
        <f t="shared" si="0"/>
        <v>6.0000000000002274E-3</v>
      </c>
      <c r="E22" s="8">
        <f t="shared" si="1"/>
        <v>36.852769847634349</v>
      </c>
      <c r="F22" s="6">
        <f t="shared" si="2"/>
        <v>1.6038492381716118E-2</v>
      </c>
      <c r="G22" s="12">
        <f t="shared" si="3"/>
        <v>-3.3769847634346206E-2</v>
      </c>
    </row>
    <row r="23" spans="1:7" x14ac:dyDescent="0.3">
      <c r="A23" s="11" t="s">
        <v>74</v>
      </c>
      <c r="B23" s="7">
        <v>420</v>
      </c>
      <c r="C23" s="7">
        <v>36.826999999999998</v>
      </c>
      <c r="D23" s="2">
        <f t="shared" si="0"/>
        <v>7.9999999999955662E-3</v>
      </c>
      <c r="E23" s="8">
        <f t="shared" si="1"/>
        <v>36.868808340016066</v>
      </c>
      <c r="F23" s="6">
        <f t="shared" si="2"/>
        <v>1.6038492381716118E-2</v>
      </c>
      <c r="G23" s="12">
        <f t="shared" si="3"/>
        <v>-4.1808340016068257E-2</v>
      </c>
    </row>
    <row r="24" spans="1:7" x14ac:dyDescent="0.3">
      <c r="A24" s="11" t="s">
        <v>75</v>
      </c>
      <c r="B24" s="7">
        <v>440</v>
      </c>
      <c r="C24" s="7">
        <v>36.799999999999997</v>
      </c>
      <c r="D24" s="2">
        <f t="shared" si="0"/>
        <v>-2.7000000000001023E-2</v>
      </c>
      <c r="E24" s="8">
        <f t="shared" si="1"/>
        <v>36.884846832397784</v>
      </c>
      <c r="F24" s="6">
        <f t="shared" si="2"/>
        <v>1.6038492381716118E-2</v>
      </c>
      <c r="G24" s="12">
        <f t="shared" si="3"/>
        <v>-8.4846832397786898E-2</v>
      </c>
    </row>
    <row r="25" spans="1:7" x14ac:dyDescent="0.3">
      <c r="A25" s="11" t="s">
        <v>76</v>
      </c>
      <c r="B25" s="7">
        <v>460</v>
      </c>
      <c r="C25" s="7">
        <v>36.78</v>
      </c>
      <c r="D25" s="2">
        <f t="shared" si="0"/>
        <v>-1.9999999999996021E-2</v>
      </c>
      <c r="E25" s="8">
        <f t="shared" si="1"/>
        <v>36.900885324779502</v>
      </c>
      <c r="F25" s="6">
        <f t="shared" si="2"/>
        <v>1.6038492381716118E-2</v>
      </c>
      <c r="G25" s="12">
        <f t="shared" si="3"/>
        <v>-0.12088532477950054</v>
      </c>
    </row>
    <row r="26" spans="1:7" x14ac:dyDescent="0.3">
      <c r="A26" s="11" t="s">
        <v>77</v>
      </c>
      <c r="B26" s="7">
        <v>480</v>
      </c>
      <c r="C26" s="7">
        <v>36.783999999999999</v>
      </c>
      <c r="D26" s="2">
        <f t="shared" si="0"/>
        <v>3.9999999999977831E-3</v>
      </c>
      <c r="E26" s="8">
        <f t="shared" si="1"/>
        <v>36.916923817161219</v>
      </c>
      <c r="F26" s="6">
        <f t="shared" si="2"/>
        <v>1.6038492381716118E-2</v>
      </c>
      <c r="G26" s="12">
        <f t="shared" si="3"/>
        <v>-0.13292381716122037</v>
      </c>
    </row>
    <row r="27" spans="1:7" x14ac:dyDescent="0.3">
      <c r="A27" s="11" t="s">
        <v>78</v>
      </c>
      <c r="B27" s="7">
        <v>500</v>
      </c>
      <c r="C27" s="7">
        <v>36.813000000000002</v>
      </c>
      <c r="D27" s="2">
        <f t="shared" si="0"/>
        <v>2.9000000000003467E-2</v>
      </c>
      <c r="E27" s="8">
        <f t="shared" si="1"/>
        <v>36.932962309542937</v>
      </c>
      <c r="F27" s="6">
        <f t="shared" si="2"/>
        <v>1.6038492381716118E-2</v>
      </c>
      <c r="G27" s="12">
        <f t="shared" si="3"/>
        <v>-0.11996230954293452</v>
      </c>
    </row>
    <row r="28" spans="1:7" x14ac:dyDescent="0.3">
      <c r="A28" s="11" t="s">
        <v>79</v>
      </c>
      <c r="B28" s="7">
        <v>520</v>
      </c>
      <c r="C28" s="7">
        <v>36.859000000000002</v>
      </c>
      <c r="D28" s="2">
        <f t="shared" si="0"/>
        <v>4.5999999999999375E-2</v>
      </c>
      <c r="E28" s="8">
        <f t="shared" si="1"/>
        <v>36.949000801924655</v>
      </c>
      <c r="F28" s="6">
        <f t="shared" si="2"/>
        <v>1.6038492381716118E-2</v>
      </c>
      <c r="G28" s="12">
        <f t="shared" si="3"/>
        <v>-9.0000801924652762E-2</v>
      </c>
    </row>
    <row r="29" spans="1:7" x14ac:dyDescent="0.3">
      <c r="A29" s="11" t="s">
        <v>80</v>
      </c>
      <c r="B29" s="7">
        <v>540</v>
      </c>
      <c r="C29" s="7">
        <v>36.908000000000001</v>
      </c>
      <c r="D29" s="2">
        <f t="shared" si="0"/>
        <v>4.8999999999999488E-2</v>
      </c>
      <c r="E29" s="8">
        <f t="shared" si="1"/>
        <v>36.965039294306372</v>
      </c>
      <c r="F29" s="6">
        <f t="shared" si="2"/>
        <v>1.6038492381716118E-2</v>
      </c>
      <c r="G29" s="12">
        <f t="shared" si="3"/>
        <v>-5.7039294306370891E-2</v>
      </c>
    </row>
    <row r="30" spans="1:7" x14ac:dyDescent="0.3">
      <c r="A30" s="11" t="s">
        <v>81</v>
      </c>
      <c r="B30" s="7">
        <v>560</v>
      </c>
      <c r="C30" s="7">
        <v>36.957000000000001</v>
      </c>
      <c r="D30" s="2">
        <f t="shared" si="0"/>
        <v>4.8999999999999488E-2</v>
      </c>
      <c r="E30" s="8">
        <f t="shared" si="1"/>
        <v>36.98107778668809</v>
      </c>
      <c r="F30" s="6">
        <f t="shared" si="2"/>
        <v>1.6038492381716118E-2</v>
      </c>
      <c r="G30" s="12">
        <f t="shared" si="3"/>
        <v>-2.407778668808902E-2</v>
      </c>
    </row>
    <row r="31" spans="1:7" x14ac:dyDescent="0.3">
      <c r="A31" s="11" t="s">
        <v>82</v>
      </c>
      <c r="B31" s="7">
        <v>580</v>
      </c>
      <c r="C31" s="7">
        <v>36.981999999999999</v>
      </c>
      <c r="D31" s="2">
        <f t="shared" si="0"/>
        <v>2.4999999999998579E-2</v>
      </c>
      <c r="E31" s="8">
        <f t="shared" si="1"/>
        <v>36.997116279069807</v>
      </c>
      <c r="F31" s="6">
        <f t="shared" si="2"/>
        <v>1.6038492381716118E-2</v>
      </c>
      <c r="G31" s="12">
        <f t="shared" si="3"/>
        <v>-1.5116279069808058E-2</v>
      </c>
    </row>
    <row r="32" spans="1:7" x14ac:dyDescent="0.3">
      <c r="A32" s="11" t="s">
        <v>83</v>
      </c>
      <c r="B32" s="7">
        <v>600</v>
      </c>
      <c r="C32" s="7">
        <v>37.012999999999998</v>
      </c>
      <c r="D32" s="2">
        <f t="shared" si="0"/>
        <v>3.0999999999998806E-2</v>
      </c>
      <c r="E32" s="8">
        <f t="shared" si="1"/>
        <v>37.013154771451525</v>
      </c>
      <c r="F32" s="6">
        <f t="shared" si="2"/>
        <v>1.6038492381716118E-2</v>
      </c>
      <c r="G32" s="12">
        <f t="shared" si="3"/>
        <v>-1.5477145152686944E-4</v>
      </c>
    </row>
    <row r="33" spans="1:18" x14ac:dyDescent="0.3">
      <c r="A33" s="21"/>
      <c r="B33" s="22"/>
      <c r="C33" s="22"/>
      <c r="D33" s="22"/>
      <c r="E33" s="22"/>
      <c r="F33" s="22"/>
      <c r="G33" s="23"/>
      <c r="H33" s="4" t="s">
        <v>3299</v>
      </c>
      <c r="J33" s="4"/>
      <c r="O33" s="3">
        <f>1/O34</f>
        <v>3.937007874015748E-3</v>
      </c>
      <c r="P33" s="3">
        <f>O33*20</f>
        <v>7.874015748031496E-2</v>
      </c>
      <c r="Q33" s="3" t="s">
        <v>3202</v>
      </c>
      <c r="R33" s="3">
        <v>254</v>
      </c>
    </row>
    <row r="34" spans="1:18" x14ac:dyDescent="0.3">
      <c r="A34" s="11" t="s">
        <v>84</v>
      </c>
      <c r="B34" s="7">
        <v>620</v>
      </c>
      <c r="C34" s="7">
        <v>37.057000000000002</v>
      </c>
      <c r="D34" s="2">
        <f>C34-C32</f>
        <v>4.4000000000004036E-2</v>
      </c>
      <c r="E34" s="8">
        <f>E32+F34</f>
        <v>37.091894928931843</v>
      </c>
      <c r="F34" s="6">
        <f>P33</f>
        <v>7.874015748031496E-2</v>
      </c>
      <c r="G34" s="12">
        <f>C34-E34</f>
        <v>-3.4894928931841207E-2</v>
      </c>
      <c r="H34" s="3">
        <f>B32</f>
        <v>600</v>
      </c>
      <c r="I34" s="3">
        <f>B73</f>
        <v>1300</v>
      </c>
      <c r="J34" s="3">
        <f>I34-H34</f>
        <v>700</v>
      </c>
      <c r="K34" s="5">
        <f>E32</f>
        <v>37.013154771451525</v>
      </c>
      <c r="L34" s="3">
        <f>C73</f>
        <v>39.771999999999998</v>
      </c>
      <c r="M34" s="5">
        <f>L34-K34</f>
        <v>2.7588452285484735</v>
      </c>
      <c r="N34" s="3">
        <f>J34/M34</f>
        <v>253.72934761124489</v>
      </c>
      <c r="O34" s="3">
        <v>254</v>
      </c>
    </row>
    <row r="35" spans="1:18" x14ac:dyDescent="0.3">
      <c r="A35" s="11" t="s">
        <v>85</v>
      </c>
      <c r="B35" s="7">
        <v>640</v>
      </c>
      <c r="C35" s="7">
        <v>37.134</v>
      </c>
      <c r="D35" s="2">
        <f t="shared" si="0"/>
        <v>7.6999999999998181E-2</v>
      </c>
      <c r="E35" s="8">
        <f>E34+F34</f>
        <v>37.170635086412162</v>
      </c>
      <c r="F35" s="6">
        <f t="shared" ref="F35" si="4">F34</f>
        <v>7.874015748031496E-2</v>
      </c>
      <c r="G35" s="12">
        <f t="shared" ref="G35" si="5">C35-E35</f>
        <v>-3.6635086412161399E-2</v>
      </c>
    </row>
    <row r="36" spans="1:18" x14ac:dyDescent="0.3">
      <c r="A36" s="11" t="s">
        <v>3306</v>
      </c>
      <c r="B36" s="70" t="s">
        <v>3305</v>
      </c>
      <c r="C36" s="7"/>
      <c r="D36" s="2"/>
      <c r="E36" s="8"/>
      <c r="F36" s="6"/>
      <c r="G36" s="12"/>
    </row>
    <row r="37" spans="1:18" x14ac:dyDescent="0.3">
      <c r="A37" s="11" t="s">
        <v>86</v>
      </c>
      <c r="B37" s="7">
        <v>660</v>
      </c>
      <c r="C37" s="7">
        <v>37.198</v>
      </c>
      <c r="D37" s="2">
        <f>C37-C35</f>
        <v>6.4000000000000057E-2</v>
      </c>
      <c r="E37" s="8">
        <f>E35+F35</f>
        <v>37.24937524389248</v>
      </c>
      <c r="F37" s="6">
        <f>F35</f>
        <v>7.874015748031496E-2</v>
      </c>
      <c r="G37" s="12">
        <f t="shared" si="3"/>
        <v>-5.1375243892479716E-2</v>
      </c>
    </row>
    <row r="38" spans="1:18" x14ac:dyDescent="0.3">
      <c r="A38" s="11" t="s">
        <v>87</v>
      </c>
      <c r="B38" s="7">
        <v>680</v>
      </c>
      <c r="C38" s="7">
        <v>37.286999999999999</v>
      </c>
      <c r="D38" s="2">
        <f t="shared" si="0"/>
        <v>8.8999999999998636E-2</v>
      </c>
      <c r="E38" s="8">
        <f t="shared" si="1"/>
        <v>37.328115401372798</v>
      </c>
      <c r="F38" s="6">
        <f t="shared" si="2"/>
        <v>7.874015748031496E-2</v>
      </c>
      <c r="G38" s="12">
        <f t="shared" si="3"/>
        <v>-4.1115401372799454E-2</v>
      </c>
    </row>
    <row r="39" spans="1:18" x14ac:dyDescent="0.3">
      <c r="A39" s="11" t="s">
        <v>88</v>
      </c>
      <c r="B39" s="7">
        <v>700</v>
      </c>
      <c r="C39" s="7">
        <v>37.384</v>
      </c>
      <c r="D39" s="2">
        <f t="shared" si="0"/>
        <v>9.7000000000001307E-2</v>
      </c>
      <c r="E39" s="8">
        <f t="shared" si="1"/>
        <v>37.406855558853117</v>
      </c>
      <c r="F39" s="6">
        <f t="shared" si="2"/>
        <v>7.874015748031496E-2</v>
      </c>
      <c r="G39" s="12">
        <f t="shared" si="3"/>
        <v>-2.285555885311652E-2</v>
      </c>
    </row>
    <row r="40" spans="1:18" x14ac:dyDescent="0.3">
      <c r="A40" s="11" t="s">
        <v>3307</v>
      </c>
      <c r="B40" s="70" t="s">
        <v>3308</v>
      </c>
      <c r="C40" s="7"/>
      <c r="D40" s="2"/>
      <c r="E40" s="8"/>
      <c r="F40" s="6"/>
      <c r="G40" s="12"/>
    </row>
    <row r="41" spans="1:18" x14ac:dyDescent="0.3">
      <c r="A41" s="11" t="s">
        <v>89</v>
      </c>
      <c r="B41" s="7">
        <v>720</v>
      </c>
      <c r="C41" s="7">
        <v>37.448999999999998</v>
      </c>
      <c r="D41" s="2">
        <f>C41-C39</f>
        <v>6.4999999999997726E-2</v>
      </c>
      <c r="E41" s="8">
        <f>E39+F39</f>
        <v>37.485595716333435</v>
      </c>
      <c r="F41" s="6">
        <f>F39</f>
        <v>7.874015748031496E-2</v>
      </c>
      <c r="G41" s="12">
        <f t="shared" si="3"/>
        <v>-3.6595716333437167E-2</v>
      </c>
    </row>
    <row r="42" spans="1:18" x14ac:dyDescent="0.3">
      <c r="A42" s="11" t="s">
        <v>90</v>
      </c>
      <c r="B42" s="7">
        <v>740</v>
      </c>
      <c r="C42" s="7">
        <v>37.491999999999997</v>
      </c>
      <c r="D42" s="2">
        <f t="shared" si="0"/>
        <v>4.2999999999999261E-2</v>
      </c>
      <c r="E42" s="8">
        <f t="shared" si="1"/>
        <v>37.564335873813754</v>
      </c>
      <c r="F42" s="6">
        <f t="shared" si="2"/>
        <v>7.874015748031496E-2</v>
      </c>
      <c r="G42" s="12">
        <f t="shared" si="3"/>
        <v>-7.233587381375628E-2</v>
      </c>
    </row>
    <row r="43" spans="1:18" x14ac:dyDescent="0.3">
      <c r="A43" s="11" t="s">
        <v>91</v>
      </c>
      <c r="B43" s="7">
        <v>760</v>
      </c>
      <c r="C43" s="7">
        <v>37.524999999999999</v>
      </c>
      <c r="D43" s="2">
        <f t="shared" si="0"/>
        <v>3.3000000000001251E-2</v>
      </c>
      <c r="E43" s="8">
        <f t="shared" si="1"/>
        <v>37.643076031294072</v>
      </c>
      <c r="F43" s="6">
        <f t="shared" si="2"/>
        <v>7.874015748031496E-2</v>
      </c>
      <c r="G43" s="12">
        <f t="shared" si="3"/>
        <v>-0.1180760312940734</v>
      </c>
    </row>
    <row r="44" spans="1:18" x14ac:dyDescent="0.3">
      <c r="A44" s="11" t="s">
        <v>92</v>
      </c>
      <c r="B44" s="7">
        <v>780</v>
      </c>
      <c r="C44" s="7">
        <v>37.590000000000003</v>
      </c>
      <c r="D44" s="2">
        <f t="shared" si="0"/>
        <v>6.5000000000004832E-2</v>
      </c>
      <c r="E44" s="8">
        <f t="shared" si="1"/>
        <v>37.72181618877439</v>
      </c>
      <c r="F44" s="6">
        <f t="shared" si="2"/>
        <v>7.874015748031496E-2</v>
      </c>
      <c r="G44" s="12">
        <f t="shared" si="3"/>
        <v>-0.13181618877438694</v>
      </c>
    </row>
    <row r="45" spans="1:18" x14ac:dyDescent="0.3">
      <c r="A45" s="11" t="s">
        <v>93</v>
      </c>
      <c r="B45" s="7">
        <v>800</v>
      </c>
      <c r="C45" s="7">
        <v>37.640999999999998</v>
      </c>
      <c r="D45" s="2">
        <f t="shared" si="0"/>
        <v>5.0999999999994827E-2</v>
      </c>
      <c r="E45" s="8">
        <f t="shared" si="1"/>
        <v>37.800556346254709</v>
      </c>
      <c r="F45" s="6">
        <f t="shared" si="2"/>
        <v>7.874015748031496E-2</v>
      </c>
      <c r="G45" s="12">
        <f t="shared" si="3"/>
        <v>-0.15955634625471049</v>
      </c>
    </row>
    <row r="46" spans="1:18" x14ac:dyDescent="0.3">
      <c r="A46" s="11" t="s">
        <v>94</v>
      </c>
      <c r="B46" s="7">
        <v>820</v>
      </c>
      <c r="C46" s="7">
        <v>37.716999999999999</v>
      </c>
      <c r="D46" s="2">
        <f t="shared" si="0"/>
        <v>7.6000000000000512E-2</v>
      </c>
      <c r="E46" s="8">
        <f t="shared" si="1"/>
        <v>37.879296503735027</v>
      </c>
      <c r="F46" s="6">
        <f t="shared" si="2"/>
        <v>7.874015748031496E-2</v>
      </c>
      <c r="G46" s="12">
        <f t="shared" si="3"/>
        <v>-0.16229650373502835</v>
      </c>
    </row>
    <row r="47" spans="1:18" x14ac:dyDescent="0.3">
      <c r="A47" s="11" t="s">
        <v>95</v>
      </c>
      <c r="B47" s="7">
        <v>840</v>
      </c>
      <c r="C47" s="7">
        <v>37.804000000000002</v>
      </c>
      <c r="D47" s="2">
        <f t="shared" si="0"/>
        <v>8.7000000000003297E-2</v>
      </c>
      <c r="E47" s="8">
        <f t="shared" si="1"/>
        <v>37.958036661215345</v>
      </c>
      <c r="F47" s="6">
        <f t="shared" si="2"/>
        <v>7.874015748031496E-2</v>
      </c>
      <c r="G47" s="12">
        <f t="shared" si="3"/>
        <v>-0.15403666121534343</v>
      </c>
    </row>
    <row r="48" spans="1:18" x14ac:dyDescent="0.3">
      <c r="A48" s="11" t="s">
        <v>96</v>
      </c>
      <c r="B48" s="7">
        <v>860</v>
      </c>
      <c r="C48" s="7">
        <v>37.869</v>
      </c>
      <c r="D48" s="2">
        <f t="shared" si="0"/>
        <v>6.4999999999997726E-2</v>
      </c>
      <c r="E48" s="8">
        <f t="shared" si="1"/>
        <v>38.036776818695664</v>
      </c>
      <c r="F48" s="6">
        <f t="shared" si="2"/>
        <v>7.874015748031496E-2</v>
      </c>
      <c r="G48" s="12">
        <f t="shared" si="3"/>
        <v>-0.16777681869566408</v>
      </c>
    </row>
    <row r="49" spans="1:13" x14ac:dyDescent="0.3">
      <c r="A49" s="11" t="s">
        <v>97</v>
      </c>
      <c r="B49" s="7">
        <v>880</v>
      </c>
      <c r="C49" s="7">
        <v>37.936</v>
      </c>
      <c r="D49" s="2">
        <f t="shared" si="0"/>
        <v>6.7000000000000171E-2</v>
      </c>
      <c r="E49" s="8">
        <f t="shared" si="1"/>
        <v>38.115516976175982</v>
      </c>
      <c r="F49" s="6">
        <f t="shared" si="2"/>
        <v>7.874015748031496E-2</v>
      </c>
      <c r="G49" s="12">
        <f t="shared" si="3"/>
        <v>-0.17951697617598228</v>
      </c>
    </row>
    <row r="50" spans="1:13" x14ac:dyDescent="0.3">
      <c r="A50" s="11" t="s">
        <v>98</v>
      </c>
      <c r="B50" s="7">
        <v>900</v>
      </c>
      <c r="C50" s="7">
        <v>38.033000000000001</v>
      </c>
      <c r="D50" s="2">
        <f t="shared" si="0"/>
        <v>9.7000000000001307E-2</v>
      </c>
      <c r="E50" s="8">
        <f t="shared" si="1"/>
        <v>38.194257133656301</v>
      </c>
      <c r="F50" s="6">
        <f t="shared" si="2"/>
        <v>7.874015748031496E-2</v>
      </c>
      <c r="G50" s="12">
        <f t="shared" si="3"/>
        <v>-0.16125713365629935</v>
      </c>
    </row>
    <row r="51" spans="1:13" x14ac:dyDescent="0.3">
      <c r="A51" s="11" t="s">
        <v>99</v>
      </c>
      <c r="B51" s="7">
        <v>920</v>
      </c>
      <c r="C51" s="7">
        <v>38.18</v>
      </c>
      <c r="D51" s="2">
        <f t="shared" si="0"/>
        <v>0.14699999999999847</v>
      </c>
      <c r="E51" s="8">
        <f t="shared" si="1"/>
        <v>38.272997291136619</v>
      </c>
      <c r="F51" s="6">
        <f t="shared" si="2"/>
        <v>7.874015748031496E-2</v>
      </c>
      <c r="G51" s="12">
        <f t="shared" si="3"/>
        <v>-9.2997291136619253E-2</v>
      </c>
    </row>
    <row r="52" spans="1:13" x14ac:dyDescent="0.3">
      <c r="A52" s="11" t="s">
        <v>100</v>
      </c>
      <c r="B52" s="7">
        <v>940</v>
      </c>
      <c r="C52" s="7">
        <v>38.195999999999998</v>
      </c>
      <c r="D52" s="2">
        <f t="shared" si="0"/>
        <v>1.5999999999998238E-2</v>
      </c>
      <c r="E52" s="8">
        <f t="shared" si="1"/>
        <v>38.351737448616937</v>
      </c>
      <c r="F52" s="6">
        <f t="shared" si="2"/>
        <v>7.874015748031496E-2</v>
      </c>
      <c r="G52" s="12">
        <f t="shared" si="3"/>
        <v>-0.15573744861693939</v>
      </c>
    </row>
    <row r="53" spans="1:13" x14ac:dyDescent="0.3">
      <c r="A53" s="11" t="s">
        <v>101</v>
      </c>
      <c r="B53" s="7">
        <v>960</v>
      </c>
      <c r="C53" s="7">
        <v>38.189</v>
      </c>
      <c r="D53" s="2">
        <f t="shared" si="0"/>
        <v>-6.9999999999978968E-3</v>
      </c>
      <c r="E53" s="8">
        <f t="shared" si="1"/>
        <v>38.430477606097256</v>
      </c>
      <c r="F53" s="6">
        <f t="shared" si="2"/>
        <v>7.874015748031496E-2</v>
      </c>
      <c r="G53" s="12">
        <f t="shared" si="3"/>
        <v>-0.24147760609725566</v>
      </c>
    </row>
    <row r="54" spans="1:13" x14ac:dyDescent="0.3">
      <c r="A54" s="11" t="s">
        <v>102</v>
      </c>
      <c r="B54" s="7">
        <v>980</v>
      </c>
      <c r="C54" s="7">
        <v>38.234999999999999</v>
      </c>
      <c r="D54" s="2">
        <f t="shared" si="0"/>
        <v>4.5999999999999375E-2</v>
      </c>
      <c r="E54" s="8">
        <f t="shared" ref="E54:E73" si="6">E53+F53</f>
        <v>38.509217763577574</v>
      </c>
      <c r="F54" s="6">
        <f t="shared" ref="F54:F82" si="7">F53</f>
        <v>7.874015748031496E-2</v>
      </c>
      <c r="G54" s="12">
        <f t="shared" ref="G54:G82" si="8">C54-E54</f>
        <v>-0.27421776357757466</v>
      </c>
    </row>
    <row r="55" spans="1:13" x14ac:dyDescent="0.3">
      <c r="A55" s="11" t="s">
        <v>103</v>
      </c>
      <c r="B55" s="7">
        <v>1000</v>
      </c>
      <c r="C55" s="7">
        <v>38.317999999999998</v>
      </c>
      <c r="D55" s="2">
        <f t="shared" si="0"/>
        <v>8.2999999999998408E-2</v>
      </c>
      <c r="E55" s="8">
        <f t="shared" si="6"/>
        <v>38.587957921057892</v>
      </c>
      <c r="F55" s="6">
        <f t="shared" si="7"/>
        <v>7.874015748031496E-2</v>
      </c>
      <c r="G55" s="12">
        <f t="shared" si="8"/>
        <v>-0.26995792105789462</v>
      </c>
    </row>
    <row r="56" spans="1:13" x14ac:dyDescent="0.3">
      <c r="A56" s="11" t="s">
        <v>104</v>
      </c>
      <c r="B56" s="7">
        <v>1020</v>
      </c>
      <c r="C56" s="7">
        <v>38.404000000000003</v>
      </c>
      <c r="D56" s="2">
        <f t="shared" si="0"/>
        <v>8.6000000000005627E-2</v>
      </c>
      <c r="E56" s="8">
        <f t="shared" si="6"/>
        <v>38.666698078538211</v>
      </c>
      <c r="F56" s="6">
        <f t="shared" si="7"/>
        <v>7.874015748031496E-2</v>
      </c>
      <c r="G56" s="12">
        <f t="shared" si="8"/>
        <v>-0.26269807853820737</v>
      </c>
    </row>
    <row r="57" spans="1:13" x14ac:dyDescent="0.3">
      <c r="A57" s="13" t="s">
        <v>105</v>
      </c>
      <c r="B57" s="24"/>
      <c r="C57" s="25"/>
      <c r="D57" s="25"/>
      <c r="E57" s="25"/>
      <c r="F57" s="25"/>
      <c r="G57" s="26"/>
    </row>
    <row r="58" spans="1:13" x14ac:dyDescent="0.3">
      <c r="A58" s="11" t="s">
        <v>106</v>
      </c>
      <c r="B58" s="7">
        <v>1040</v>
      </c>
      <c r="C58" s="7">
        <v>38.481999999999999</v>
      </c>
      <c r="D58" s="2">
        <f>C58-C56</f>
        <v>7.799999999999585E-2</v>
      </c>
      <c r="E58" s="8">
        <f>E56+F56</f>
        <v>38.745438236018529</v>
      </c>
      <c r="F58" s="6">
        <f>F56</f>
        <v>7.874015748031496E-2</v>
      </c>
      <c r="G58" s="12">
        <f t="shared" si="8"/>
        <v>-0.26343823601852989</v>
      </c>
    </row>
    <row r="59" spans="1:13" x14ac:dyDescent="0.3">
      <c r="A59" s="11" t="s">
        <v>107</v>
      </c>
      <c r="B59" s="7">
        <v>1060</v>
      </c>
      <c r="C59" s="7">
        <v>38.56</v>
      </c>
      <c r="D59" s="2">
        <f t="shared" si="0"/>
        <v>7.8000000000002956E-2</v>
      </c>
      <c r="E59" s="8">
        <f t="shared" si="6"/>
        <v>38.824178393498848</v>
      </c>
      <c r="F59" s="6">
        <f t="shared" si="7"/>
        <v>7.874015748031496E-2</v>
      </c>
      <c r="G59" s="12">
        <f t="shared" si="8"/>
        <v>-0.26417839349884531</v>
      </c>
    </row>
    <row r="60" spans="1:13" x14ac:dyDescent="0.3">
      <c r="A60" s="11" t="s">
        <v>108</v>
      </c>
      <c r="B60" s="7">
        <v>1080</v>
      </c>
      <c r="C60" s="7">
        <v>38.628</v>
      </c>
      <c r="D60" s="2">
        <f t="shared" si="0"/>
        <v>6.799999999999784E-2</v>
      </c>
      <c r="E60" s="8">
        <f t="shared" si="6"/>
        <v>38.902918550979166</v>
      </c>
      <c r="F60" s="6">
        <f t="shared" si="7"/>
        <v>7.874015748031496E-2</v>
      </c>
      <c r="G60" s="12">
        <f t="shared" si="8"/>
        <v>-0.27491855097916584</v>
      </c>
    </row>
    <row r="61" spans="1:13" x14ac:dyDescent="0.3">
      <c r="A61" s="11" t="s">
        <v>109</v>
      </c>
      <c r="B61" s="7">
        <v>1100</v>
      </c>
      <c r="C61" s="7">
        <v>38.715000000000003</v>
      </c>
      <c r="D61" s="2">
        <f t="shared" si="0"/>
        <v>8.7000000000003297E-2</v>
      </c>
      <c r="E61" s="8">
        <f t="shared" si="6"/>
        <v>38.981658708459484</v>
      </c>
      <c r="F61" s="6">
        <f t="shared" si="7"/>
        <v>7.874015748031496E-2</v>
      </c>
      <c r="G61" s="12">
        <f t="shared" si="8"/>
        <v>-0.26665870845948092</v>
      </c>
    </row>
    <row r="62" spans="1:13" x14ac:dyDescent="0.3">
      <c r="A62" s="11" t="s">
        <v>110</v>
      </c>
      <c r="B62" s="7">
        <v>1120</v>
      </c>
      <c r="C62" s="7">
        <v>38.832999999999998</v>
      </c>
      <c r="D62" s="2">
        <f t="shared" si="0"/>
        <v>0.117999999999995</v>
      </c>
      <c r="E62" s="8">
        <f t="shared" si="6"/>
        <v>39.060398865939803</v>
      </c>
      <c r="F62" s="6">
        <f t="shared" si="7"/>
        <v>7.874015748031496E-2</v>
      </c>
      <c r="G62" s="12">
        <f t="shared" si="8"/>
        <v>-0.2273988659398043</v>
      </c>
    </row>
    <row r="63" spans="1:13" x14ac:dyDescent="0.3">
      <c r="A63" s="11" t="s">
        <v>111</v>
      </c>
      <c r="B63" s="7">
        <v>1140</v>
      </c>
      <c r="C63" s="7">
        <v>38.973999999999997</v>
      </c>
      <c r="D63" s="2">
        <f t="shared" si="0"/>
        <v>0.14099999999999824</v>
      </c>
      <c r="E63" s="8">
        <f t="shared" si="6"/>
        <v>39.139139023420121</v>
      </c>
      <c r="F63" s="6">
        <f t="shared" si="7"/>
        <v>7.874015748031496E-2</v>
      </c>
      <c r="G63" s="12">
        <f t="shared" si="8"/>
        <v>-0.16513902342012443</v>
      </c>
    </row>
    <row r="64" spans="1:13" x14ac:dyDescent="0.3">
      <c r="A64" s="11" t="s">
        <v>112</v>
      </c>
      <c r="B64" s="7">
        <v>1160</v>
      </c>
      <c r="C64" s="7">
        <v>39.130000000000003</v>
      </c>
      <c r="D64" s="2">
        <f>C64-C63</f>
        <v>0.15600000000000591</v>
      </c>
      <c r="E64" s="8">
        <f t="shared" si="6"/>
        <v>39.217879180900439</v>
      </c>
      <c r="F64" s="6">
        <f>F63</f>
        <v>7.874015748031496E-2</v>
      </c>
      <c r="G64" s="12">
        <f>C64-E64</f>
        <v>-8.7879180900436893E-2</v>
      </c>
      <c r="K64" s="5"/>
      <c r="M64" s="5"/>
    </row>
    <row r="65" spans="1:18" x14ac:dyDescent="0.3">
      <c r="A65" s="11" t="s">
        <v>113</v>
      </c>
      <c r="B65" s="7">
        <v>1180</v>
      </c>
      <c r="C65" s="7">
        <v>39.33</v>
      </c>
      <c r="D65" s="2">
        <f t="shared" si="0"/>
        <v>0.19999999999999574</v>
      </c>
      <c r="E65" s="8">
        <f t="shared" si="6"/>
        <v>39.296619338380758</v>
      </c>
      <c r="F65" s="6">
        <f t="shared" ref="F65" si="9">F64</f>
        <v>7.874015748031496E-2</v>
      </c>
      <c r="G65" s="12">
        <f t="shared" ref="G65" si="10">C65-E65</f>
        <v>3.338066161924047E-2</v>
      </c>
    </row>
    <row r="66" spans="1:18" x14ac:dyDescent="0.3">
      <c r="A66" s="11" t="s">
        <v>114</v>
      </c>
      <c r="B66" s="7">
        <v>1200</v>
      </c>
      <c r="C66" s="7">
        <v>39.533000000000001</v>
      </c>
      <c r="D66" s="2">
        <f t="shared" si="0"/>
        <v>0.20300000000000296</v>
      </c>
      <c r="E66" s="8">
        <f t="shared" si="6"/>
        <v>39.375359495861076</v>
      </c>
      <c r="F66" s="6">
        <f t="shared" si="7"/>
        <v>7.874015748031496E-2</v>
      </c>
      <c r="G66" s="12">
        <f t="shared" si="8"/>
        <v>0.15764050413892505</v>
      </c>
    </row>
    <row r="67" spans="1:18" x14ac:dyDescent="0.3">
      <c r="A67" s="11" t="s">
        <v>115</v>
      </c>
      <c r="B67" s="7">
        <v>1220</v>
      </c>
      <c r="C67" s="7">
        <v>39.633000000000003</v>
      </c>
      <c r="D67" s="2">
        <f t="shared" si="0"/>
        <v>0.10000000000000142</v>
      </c>
      <c r="E67" s="8">
        <f t="shared" si="6"/>
        <v>39.454099653341395</v>
      </c>
      <c r="F67" s="6">
        <f t="shared" si="7"/>
        <v>7.874015748031496E-2</v>
      </c>
      <c r="G67" s="12">
        <f t="shared" si="8"/>
        <v>0.1789003466586081</v>
      </c>
    </row>
    <row r="68" spans="1:18" x14ac:dyDescent="0.3">
      <c r="A68" s="11" t="s">
        <v>3310</v>
      </c>
      <c r="B68" s="70" t="s">
        <v>3309</v>
      </c>
      <c r="C68" s="7"/>
      <c r="D68" s="2"/>
      <c r="E68" s="8"/>
      <c r="F68" s="6"/>
      <c r="G68" s="12"/>
    </row>
    <row r="69" spans="1:18" x14ac:dyDescent="0.3">
      <c r="A69" s="11" t="s">
        <v>116</v>
      </c>
      <c r="B69" s="7">
        <v>1240</v>
      </c>
      <c r="C69" s="7">
        <v>39.725999999999999</v>
      </c>
      <c r="D69" s="2">
        <f>C69-C67</f>
        <v>9.2999999999996419E-2</v>
      </c>
      <c r="E69" s="8">
        <f>E67+F67</f>
        <v>39.532839810821713</v>
      </c>
      <c r="F69" s="6">
        <f>F67</f>
        <v>7.874015748031496E-2</v>
      </c>
      <c r="G69" s="12">
        <f t="shared" si="8"/>
        <v>0.19316018917828615</v>
      </c>
    </row>
    <row r="70" spans="1:18" x14ac:dyDescent="0.3">
      <c r="A70" s="11" t="s">
        <v>117</v>
      </c>
      <c r="B70" s="7">
        <v>1260</v>
      </c>
      <c r="C70" s="7">
        <v>39.76</v>
      </c>
      <c r="D70" s="2">
        <f>C70-C69</f>
        <v>3.399999999999892E-2</v>
      </c>
      <c r="E70" s="8">
        <f t="shared" si="6"/>
        <v>39.611579968302031</v>
      </c>
      <c r="F70" s="6">
        <f>F69</f>
        <v>7.874015748031496E-2</v>
      </c>
      <c r="G70" s="12">
        <f>C70-E70</f>
        <v>0.14842003169796669</v>
      </c>
    </row>
    <row r="71" spans="1:18" x14ac:dyDescent="0.3">
      <c r="A71" s="11" t="s">
        <v>3312</v>
      </c>
      <c r="B71" s="70" t="s">
        <v>3311</v>
      </c>
      <c r="C71" s="7"/>
      <c r="D71" s="2"/>
      <c r="E71" s="8"/>
      <c r="F71" s="6"/>
      <c r="G71" s="12"/>
    </row>
    <row r="72" spans="1:18" x14ac:dyDescent="0.3">
      <c r="A72" s="11" t="s">
        <v>118</v>
      </c>
      <c r="B72" s="7">
        <v>1280</v>
      </c>
      <c r="C72" s="7">
        <v>39.771000000000001</v>
      </c>
      <c r="D72" s="2">
        <f>C72-C70</f>
        <v>1.1000000000002785E-2</v>
      </c>
      <c r="E72" s="8">
        <f>E70+F70</f>
        <v>39.69032012578235</v>
      </c>
      <c r="F72" s="6">
        <f t="shared" ref="F72" si="11">F70</f>
        <v>7.874015748031496E-2</v>
      </c>
      <c r="G72" s="12">
        <f t="shared" ref="G72" si="12">C72-E72</f>
        <v>8.0679874217651104E-2</v>
      </c>
    </row>
    <row r="73" spans="1:18" x14ac:dyDescent="0.3">
      <c r="A73" s="11" t="s">
        <v>119</v>
      </c>
      <c r="B73" s="7">
        <v>1300</v>
      </c>
      <c r="C73" s="7">
        <v>39.771999999999998</v>
      </c>
      <c r="D73" s="2">
        <f t="shared" si="0"/>
        <v>9.9999999999766942E-4</v>
      </c>
      <c r="E73" s="8">
        <f t="shared" si="6"/>
        <v>39.769060283262668</v>
      </c>
      <c r="F73" s="6">
        <f t="shared" si="7"/>
        <v>7.874015748031496E-2</v>
      </c>
      <c r="G73" s="12">
        <f t="shared" si="8"/>
        <v>2.9397167373304001E-3</v>
      </c>
    </row>
    <row r="74" spans="1:18" x14ac:dyDescent="0.3">
      <c r="A74" s="21"/>
      <c r="B74" s="22"/>
      <c r="C74" s="22"/>
      <c r="D74" s="22"/>
      <c r="E74" s="22"/>
      <c r="F74" s="22"/>
      <c r="G74" s="23"/>
      <c r="H74" s="4" t="s">
        <v>3326</v>
      </c>
      <c r="J74" s="4"/>
      <c r="O74" s="3">
        <f>1/O75</f>
        <v>1.1913271384322135E-4</v>
      </c>
      <c r="P74" s="3">
        <f>O74*20</f>
        <v>2.3826542768644269E-3</v>
      </c>
      <c r="Q74" s="3" t="s">
        <v>3202</v>
      </c>
      <c r="R74" s="3">
        <v>8394</v>
      </c>
    </row>
    <row r="75" spans="1:18" x14ac:dyDescent="0.3">
      <c r="A75" s="11" t="s">
        <v>120</v>
      </c>
      <c r="B75" s="7">
        <v>1320</v>
      </c>
      <c r="C75" s="7">
        <v>39.777999999999999</v>
      </c>
      <c r="D75" s="2">
        <f>C75-C73</f>
        <v>6.0000000000002274E-3</v>
      </c>
      <c r="E75" s="8">
        <f>E73-F75</f>
        <v>39.766677628985803</v>
      </c>
      <c r="F75" s="6">
        <f>P74</f>
        <v>2.3826542768644269E-3</v>
      </c>
      <c r="G75" s="12">
        <f t="shared" si="8"/>
        <v>1.1322371014195198E-2</v>
      </c>
      <c r="H75" s="3">
        <f>B73</f>
        <v>1300</v>
      </c>
      <c r="I75" s="3">
        <f>B82</f>
        <v>1460</v>
      </c>
      <c r="J75" s="3">
        <f>I75-H75</f>
        <v>160</v>
      </c>
      <c r="K75" s="5">
        <f>E73</f>
        <v>39.769060283262668</v>
      </c>
      <c r="L75" s="3">
        <f>C82</f>
        <v>39.75</v>
      </c>
      <c r="M75" s="5">
        <f>L75-K75</f>
        <v>-1.9060283262668065E-2</v>
      </c>
      <c r="N75" s="3">
        <f>J75/M75</f>
        <v>-8394.4187919483811</v>
      </c>
      <c r="O75" s="3">
        <v>8394</v>
      </c>
    </row>
    <row r="76" spans="1:18" x14ac:dyDescent="0.3">
      <c r="A76" s="11" t="s">
        <v>121</v>
      </c>
      <c r="B76" s="7">
        <v>1340</v>
      </c>
      <c r="C76" s="7">
        <v>39.779000000000003</v>
      </c>
      <c r="D76" s="2">
        <f t="shared" ref="D76:D150" si="13">C76-C75</f>
        <v>1.0000000000047748E-3</v>
      </c>
      <c r="E76" s="8">
        <f>E75-F75</f>
        <v>39.764294974708939</v>
      </c>
      <c r="F76" s="6">
        <f t="shared" si="7"/>
        <v>2.3826542768644269E-3</v>
      </c>
      <c r="G76" s="12">
        <f t="shared" si="8"/>
        <v>1.4705025291064544E-2</v>
      </c>
    </row>
    <row r="77" spans="1:18" x14ac:dyDescent="0.3">
      <c r="A77" s="11" t="s">
        <v>122</v>
      </c>
      <c r="B77" s="7">
        <v>1360</v>
      </c>
      <c r="C77" s="7">
        <v>39.774000000000001</v>
      </c>
      <c r="D77" s="2">
        <f t="shared" si="13"/>
        <v>-5.000000000002558E-3</v>
      </c>
      <c r="E77" s="8">
        <f t="shared" ref="E77:E82" si="14">E76-F76</f>
        <v>39.761912320432074</v>
      </c>
      <c r="F77" s="6">
        <f t="shared" si="7"/>
        <v>2.3826542768644269E-3</v>
      </c>
      <c r="G77" s="12">
        <f t="shared" si="8"/>
        <v>1.2087679567926557E-2</v>
      </c>
    </row>
    <row r="78" spans="1:18" x14ac:dyDescent="0.3">
      <c r="A78" s="11" t="s">
        <v>123</v>
      </c>
      <c r="B78" s="7">
        <v>1380</v>
      </c>
      <c r="C78" s="7">
        <v>39.783000000000001</v>
      </c>
      <c r="D78" s="2">
        <f t="shared" si="13"/>
        <v>9.0000000000003411E-3</v>
      </c>
      <c r="E78" s="8">
        <f t="shared" si="14"/>
        <v>39.75952966615521</v>
      </c>
      <c r="F78" s="6">
        <f t="shared" si="7"/>
        <v>2.3826542768644269E-3</v>
      </c>
      <c r="G78" s="12">
        <f t="shared" si="8"/>
        <v>2.3470333844791469E-2</v>
      </c>
    </row>
    <row r="79" spans="1:18" x14ac:dyDescent="0.3">
      <c r="A79" s="11" t="s">
        <v>124</v>
      </c>
      <c r="B79" s="7">
        <v>1400</v>
      </c>
      <c r="C79" s="7">
        <v>39.773000000000003</v>
      </c>
      <c r="D79" s="2">
        <f t="shared" si="13"/>
        <v>-9.9999999999980105E-3</v>
      </c>
      <c r="E79" s="8">
        <f t="shared" si="14"/>
        <v>39.757147011878345</v>
      </c>
      <c r="F79" s="6">
        <f t="shared" si="7"/>
        <v>2.3826542768644269E-3</v>
      </c>
      <c r="G79" s="12">
        <f t="shared" si="8"/>
        <v>1.5852988121658029E-2</v>
      </c>
    </row>
    <row r="80" spans="1:18" x14ac:dyDescent="0.3">
      <c r="A80" s="11" t="s">
        <v>125</v>
      </c>
      <c r="B80" s="7">
        <v>1420</v>
      </c>
      <c r="C80" s="7">
        <v>39.753999999999998</v>
      </c>
      <c r="D80" s="2">
        <f t="shared" si="13"/>
        <v>-1.9000000000005457E-2</v>
      </c>
      <c r="E80" s="8">
        <f t="shared" si="14"/>
        <v>39.754764357601481</v>
      </c>
      <c r="F80" s="6">
        <f t="shared" si="7"/>
        <v>2.3826542768644269E-3</v>
      </c>
      <c r="G80" s="12">
        <f t="shared" si="8"/>
        <v>-7.6435760148285681E-4</v>
      </c>
    </row>
    <row r="81" spans="1:18" x14ac:dyDescent="0.3">
      <c r="A81" s="11" t="s">
        <v>126</v>
      </c>
      <c r="B81" s="7">
        <v>1440</v>
      </c>
      <c r="C81" s="7">
        <v>39.762</v>
      </c>
      <c r="D81" s="2">
        <f t="shared" si="13"/>
        <v>8.0000000000026716E-3</v>
      </c>
      <c r="E81" s="8">
        <f t="shared" si="14"/>
        <v>39.752381703324616</v>
      </c>
      <c r="F81" s="6">
        <f t="shared" si="7"/>
        <v>2.3826542768644269E-3</v>
      </c>
      <c r="G81" s="12">
        <f t="shared" si="8"/>
        <v>9.6182966753843857E-3</v>
      </c>
    </row>
    <row r="82" spans="1:18" x14ac:dyDescent="0.3">
      <c r="A82" s="11" t="s">
        <v>127</v>
      </c>
      <c r="B82" s="7">
        <v>1460</v>
      </c>
      <c r="C82" s="7">
        <v>39.75</v>
      </c>
      <c r="D82" s="2">
        <f t="shared" si="13"/>
        <v>-1.2000000000000455E-2</v>
      </c>
      <c r="E82" s="8">
        <f t="shared" si="14"/>
        <v>39.749999049047751</v>
      </c>
      <c r="F82" s="6">
        <f t="shared" si="7"/>
        <v>2.3826542768644269E-3</v>
      </c>
      <c r="G82" s="12">
        <f t="shared" si="8"/>
        <v>9.5095224850183513E-7</v>
      </c>
    </row>
    <row r="83" spans="1:18" x14ac:dyDescent="0.3">
      <c r="A83" s="21"/>
      <c r="B83" s="22"/>
      <c r="C83" s="22"/>
      <c r="D83" s="22"/>
      <c r="E83" s="22"/>
      <c r="F83" s="22"/>
      <c r="G83" s="23"/>
      <c r="H83" s="4" t="s">
        <v>3325</v>
      </c>
      <c r="J83" s="4"/>
      <c r="O83" s="3">
        <f>1/O84</f>
        <v>3.5211267605633804E-3</v>
      </c>
      <c r="P83" s="3">
        <f>O83*20</f>
        <v>7.0422535211267609E-2</v>
      </c>
      <c r="Q83" s="3" t="s">
        <v>3200</v>
      </c>
      <c r="R83" s="3">
        <v>290</v>
      </c>
    </row>
    <row r="84" spans="1:18" x14ac:dyDescent="0.3">
      <c r="A84" s="11" t="s">
        <v>128</v>
      </c>
      <c r="B84" s="7">
        <v>1480</v>
      </c>
      <c r="C84" s="7">
        <v>39.734999999999999</v>
      </c>
      <c r="D84" s="2">
        <f>C84-C82</f>
        <v>-1.5000000000000568E-2</v>
      </c>
      <c r="E84" s="8">
        <f>E82-F84</f>
        <v>39.679576513836487</v>
      </c>
      <c r="F84" s="6">
        <f>P83</f>
        <v>7.0422535211267609E-2</v>
      </c>
      <c r="G84" s="12">
        <f>C84-E84</f>
        <v>5.5423486163512337E-2</v>
      </c>
      <c r="H84" s="3">
        <f>B82</f>
        <v>1460</v>
      </c>
      <c r="I84" s="3">
        <f>B98</f>
        <v>1760</v>
      </c>
      <c r="J84" s="3">
        <f>I84-H84</f>
        <v>300</v>
      </c>
      <c r="K84" s="5">
        <f>E82</f>
        <v>39.749999049047751</v>
      </c>
      <c r="L84" s="3">
        <f>C98</f>
        <v>38.692999999999998</v>
      </c>
      <c r="M84" s="5">
        <f>L84-K84</f>
        <v>-1.0569990490477537</v>
      </c>
      <c r="N84" s="3">
        <f>J84/M84</f>
        <v>-283.82239347355028</v>
      </c>
      <c r="O84" s="3">
        <v>284</v>
      </c>
    </row>
    <row r="85" spans="1:18" x14ac:dyDescent="0.3">
      <c r="A85" s="11" t="s">
        <v>129</v>
      </c>
      <c r="B85" s="7">
        <v>1500</v>
      </c>
      <c r="C85" s="7">
        <v>39.683999999999997</v>
      </c>
      <c r="D85" s="2">
        <f t="shared" si="13"/>
        <v>-5.1000000000001933E-2</v>
      </c>
      <c r="E85" s="8">
        <f>E84-F84</f>
        <v>39.609153978625223</v>
      </c>
      <c r="F85" s="6">
        <f t="shared" ref="F85" si="15">F84</f>
        <v>7.0422535211267609E-2</v>
      </c>
      <c r="G85" s="12">
        <f t="shared" ref="G85" si="16">C85-E85</f>
        <v>7.4846021374774807E-2</v>
      </c>
    </row>
    <row r="86" spans="1:18" x14ac:dyDescent="0.3">
      <c r="A86" s="11" t="s">
        <v>130</v>
      </c>
      <c r="B86" s="7">
        <v>1520</v>
      </c>
      <c r="C86" s="7">
        <v>39.610999999999997</v>
      </c>
      <c r="D86" s="2">
        <f t="shared" si="13"/>
        <v>-7.3000000000000398E-2</v>
      </c>
      <c r="E86" s="8">
        <f t="shared" ref="E86:E97" si="17">E85-F85</f>
        <v>39.538731443413958</v>
      </c>
      <c r="F86" s="6">
        <f t="shared" ref="F86:F97" si="18">F85</f>
        <v>7.0422535211267609E-2</v>
      </c>
      <c r="G86" s="12">
        <f t="shared" ref="G86:G97" si="19">C86-E86</f>
        <v>7.2268556586038812E-2</v>
      </c>
    </row>
    <row r="87" spans="1:18" x14ac:dyDescent="0.3">
      <c r="A87" s="11" t="s">
        <v>131</v>
      </c>
      <c r="B87" s="7">
        <v>1540</v>
      </c>
      <c r="C87" s="7">
        <v>39.579000000000001</v>
      </c>
      <c r="D87" s="2">
        <f t="shared" si="13"/>
        <v>-3.1999999999996476E-2</v>
      </c>
      <c r="E87" s="8">
        <f t="shared" si="17"/>
        <v>39.468308908202694</v>
      </c>
      <c r="F87" s="6">
        <f t="shared" si="18"/>
        <v>7.0422535211267609E-2</v>
      </c>
      <c r="G87" s="12">
        <f t="shared" si="19"/>
        <v>0.11069109179730674</v>
      </c>
    </row>
    <row r="88" spans="1:18" x14ac:dyDescent="0.3">
      <c r="A88" s="11" t="s">
        <v>132</v>
      </c>
      <c r="B88" s="7">
        <v>1560</v>
      </c>
      <c r="C88" s="7">
        <v>39.512999999999998</v>
      </c>
      <c r="D88" s="2">
        <f t="shared" si="13"/>
        <v>-6.6000000000002501E-2</v>
      </c>
      <c r="E88" s="8">
        <f t="shared" si="17"/>
        <v>39.397886372991429</v>
      </c>
      <c r="F88" s="6">
        <f t="shared" si="18"/>
        <v>7.0422535211267609E-2</v>
      </c>
      <c r="G88" s="12">
        <f t="shared" si="19"/>
        <v>0.11511362700856864</v>
      </c>
    </row>
    <row r="89" spans="1:18" x14ac:dyDescent="0.3">
      <c r="A89" s="11" t="s">
        <v>133</v>
      </c>
      <c r="B89" s="7">
        <v>1580</v>
      </c>
      <c r="C89" s="7">
        <v>39.444000000000003</v>
      </c>
      <c r="D89" s="2">
        <f t="shared" si="13"/>
        <v>-6.8999999999995509E-2</v>
      </c>
      <c r="E89" s="8">
        <f t="shared" si="17"/>
        <v>39.327463837780165</v>
      </c>
      <c r="F89" s="6">
        <f t="shared" si="18"/>
        <v>7.0422535211267609E-2</v>
      </c>
      <c r="G89" s="12">
        <f t="shared" si="19"/>
        <v>0.11653616221983754</v>
      </c>
    </row>
    <row r="90" spans="1:18" x14ac:dyDescent="0.3">
      <c r="A90" s="11" t="s">
        <v>134</v>
      </c>
      <c r="B90" s="7">
        <v>1600</v>
      </c>
      <c r="C90" s="7">
        <v>39.369</v>
      </c>
      <c r="D90" s="2">
        <f t="shared" si="13"/>
        <v>-7.5000000000002842E-2</v>
      </c>
      <c r="E90" s="8">
        <f t="shared" si="17"/>
        <v>39.257041302568901</v>
      </c>
      <c r="F90" s="6">
        <f t="shared" si="18"/>
        <v>7.0422535211267609E-2</v>
      </c>
      <c r="G90" s="12">
        <f t="shared" si="19"/>
        <v>0.1119586974310991</v>
      </c>
    </row>
    <row r="91" spans="1:18" x14ac:dyDescent="0.3">
      <c r="A91" s="11" t="s">
        <v>135</v>
      </c>
      <c r="B91" s="7">
        <v>1620</v>
      </c>
      <c r="C91" s="7">
        <v>39.292999999999999</v>
      </c>
      <c r="D91" s="2">
        <f t="shared" si="13"/>
        <v>-7.6000000000000512E-2</v>
      </c>
      <c r="E91" s="8">
        <f t="shared" si="17"/>
        <v>39.186618767357636</v>
      </c>
      <c r="F91" s="6">
        <f t="shared" si="18"/>
        <v>7.0422535211267609E-2</v>
      </c>
      <c r="G91" s="12">
        <f t="shared" si="19"/>
        <v>0.10638123264236299</v>
      </c>
    </row>
    <row r="92" spans="1:18" x14ac:dyDescent="0.3">
      <c r="A92" s="11" t="s">
        <v>136</v>
      </c>
      <c r="B92" s="7">
        <v>1640</v>
      </c>
      <c r="C92" s="7">
        <v>39.165999999999997</v>
      </c>
      <c r="D92" s="2">
        <f t="shared" si="13"/>
        <v>-0.12700000000000244</v>
      </c>
      <c r="E92" s="8">
        <f t="shared" si="17"/>
        <v>39.116196232146372</v>
      </c>
      <c r="F92" s="6">
        <f t="shared" si="18"/>
        <v>7.0422535211267609E-2</v>
      </c>
      <c r="G92" s="12">
        <f t="shared" si="19"/>
        <v>4.9803767853624947E-2</v>
      </c>
    </row>
    <row r="93" spans="1:18" x14ac:dyDescent="0.3">
      <c r="A93" s="11" t="s">
        <v>137</v>
      </c>
      <c r="B93" s="7">
        <v>1660</v>
      </c>
      <c r="C93" s="7">
        <v>39.033999999999999</v>
      </c>
      <c r="D93" s="2">
        <f t="shared" si="13"/>
        <v>-0.1319999999999979</v>
      </c>
      <c r="E93" s="8">
        <f t="shared" si="17"/>
        <v>39.045773696935107</v>
      </c>
      <c r="F93" s="6">
        <f t="shared" si="18"/>
        <v>7.0422535211267609E-2</v>
      </c>
      <c r="G93" s="12">
        <f t="shared" si="19"/>
        <v>-1.1773696935108546E-2</v>
      </c>
    </row>
    <row r="94" spans="1:18" x14ac:dyDescent="0.3">
      <c r="A94" s="11" t="s">
        <v>138</v>
      </c>
      <c r="B94" s="7">
        <v>1680</v>
      </c>
      <c r="C94" s="7">
        <v>38.938000000000002</v>
      </c>
      <c r="D94" s="2">
        <f t="shared" si="13"/>
        <v>-9.5999999999996533E-2</v>
      </c>
      <c r="E94" s="8">
        <f t="shared" si="17"/>
        <v>38.975351161723843</v>
      </c>
      <c r="F94" s="6">
        <f t="shared" si="18"/>
        <v>7.0422535211267609E-2</v>
      </c>
      <c r="G94" s="12">
        <f t="shared" si="19"/>
        <v>-3.7351161723840676E-2</v>
      </c>
    </row>
    <row r="95" spans="1:18" x14ac:dyDescent="0.3">
      <c r="A95" s="11" t="s">
        <v>139</v>
      </c>
      <c r="B95" s="7">
        <v>1700</v>
      </c>
      <c r="C95" s="7">
        <v>38.843000000000004</v>
      </c>
      <c r="D95" s="2">
        <f t="shared" si="13"/>
        <v>-9.4999999999998863E-2</v>
      </c>
      <c r="E95" s="8">
        <f t="shared" si="17"/>
        <v>38.904928626512579</v>
      </c>
      <c r="F95" s="6">
        <f t="shared" si="18"/>
        <v>7.0422535211267609E-2</v>
      </c>
      <c r="G95" s="12">
        <f t="shared" si="19"/>
        <v>-6.1928626512575136E-2</v>
      </c>
    </row>
    <row r="96" spans="1:18" x14ac:dyDescent="0.3">
      <c r="A96" s="11" t="s">
        <v>140</v>
      </c>
      <c r="B96" s="7">
        <v>1720</v>
      </c>
      <c r="C96" s="7">
        <v>38.783999999999999</v>
      </c>
      <c r="D96" s="2">
        <f t="shared" si="13"/>
        <v>-5.9000000000004604E-2</v>
      </c>
      <c r="E96" s="8">
        <f t="shared" si="17"/>
        <v>38.834506091301314</v>
      </c>
      <c r="F96" s="6">
        <f t="shared" si="18"/>
        <v>7.0422535211267609E-2</v>
      </c>
      <c r="G96" s="12">
        <f t="shared" si="19"/>
        <v>-5.0506091301315337E-2</v>
      </c>
    </row>
    <row r="97" spans="1:18" x14ac:dyDescent="0.3">
      <c r="A97" s="11" t="s">
        <v>141</v>
      </c>
      <c r="B97" s="7">
        <v>1740</v>
      </c>
      <c r="C97" s="7">
        <v>38.744999999999997</v>
      </c>
      <c r="D97" s="2">
        <f t="shared" si="13"/>
        <v>-3.9000000000001478E-2</v>
      </c>
      <c r="E97" s="8">
        <f t="shared" si="17"/>
        <v>38.76408355609005</v>
      </c>
      <c r="F97" s="6">
        <f t="shared" si="18"/>
        <v>7.0422535211267609E-2</v>
      </c>
      <c r="G97" s="12">
        <f t="shared" si="19"/>
        <v>-1.9083556090052411E-2</v>
      </c>
    </row>
    <row r="98" spans="1:18" x14ac:dyDescent="0.3">
      <c r="A98" s="11" t="s">
        <v>142</v>
      </c>
      <c r="B98" s="7">
        <v>1760</v>
      </c>
      <c r="C98" s="7">
        <v>38.692999999999998</v>
      </c>
      <c r="D98" s="2">
        <f t="shared" si="13"/>
        <v>-5.1999999999999602E-2</v>
      </c>
      <c r="E98" s="8">
        <f t="shared" ref="E98:E115" si="20">E97-F97</f>
        <v>38.693661020878785</v>
      </c>
      <c r="F98" s="6">
        <f t="shared" ref="F98:F115" si="21">F97</f>
        <v>7.0422535211267609E-2</v>
      </c>
      <c r="G98" s="12">
        <f t="shared" ref="G98:G119" si="22">C98-E98</f>
        <v>-6.610208787876104E-4</v>
      </c>
    </row>
    <row r="99" spans="1:18" x14ac:dyDescent="0.3">
      <c r="A99" s="11"/>
      <c r="B99" s="7"/>
      <c r="C99" s="7"/>
      <c r="D99" s="2"/>
      <c r="E99" s="8"/>
      <c r="F99" s="6"/>
      <c r="G99" s="12"/>
      <c r="H99" s="4" t="s">
        <v>3327</v>
      </c>
      <c r="J99" s="4"/>
      <c r="O99" s="3">
        <f>1/O100</f>
        <v>1.8181818181818182E-3</v>
      </c>
      <c r="P99" s="3">
        <f>O99*20</f>
        <v>3.6363636363636362E-2</v>
      </c>
      <c r="Q99" s="3" t="s">
        <v>3200</v>
      </c>
      <c r="R99" s="3">
        <v>550</v>
      </c>
    </row>
    <row r="100" spans="1:18" x14ac:dyDescent="0.3">
      <c r="A100" s="11" t="s">
        <v>143</v>
      </c>
      <c r="B100" s="7">
        <v>1780</v>
      </c>
      <c r="C100" s="7">
        <v>38.628</v>
      </c>
      <c r="D100" s="2">
        <f>C100-C98</f>
        <v>-6.4999999999997726E-2</v>
      </c>
      <c r="E100" s="8">
        <f>E98-F100</f>
        <v>38.657297384515147</v>
      </c>
      <c r="F100" s="6">
        <f>P99</f>
        <v>3.6363636363636362E-2</v>
      </c>
      <c r="G100" s="12">
        <f t="shared" si="22"/>
        <v>-2.9297384515146518E-2</v>
      </c>
      <c r="H100" s="3">
        <f>B98</f>
        <v>1760</v>
      </c>
      <c r="I100" s="3">
        <f>B123</f>
        <v>2060</v>
      </c>
      <c r="J100" s="3">
        <f>I100-H100</f>
        <v>300</v>
      </c>
      <c r="K100" s="5">
        <f>E98</f>
        <v>38.693661020878785</v>
      </c>
      <c r="L100" s="3">
        <f>C123</f>
        <v>38.148000000000003</v>
      </c>
      <c r="M100" s="5">
        <f>L100-K100</f>
        <v>-0.54566102087878221</v>
      </c>
      <c r="N100" s="3">
        <f>J100/M100</f>
        <v>-549.79188272758176</v>
      </c>
      <c r="O100" s="3">
        <v>550</v>
      </c>
    </row>
    <row r="101" spans="1:18" x14ac:dyDescent="0.3">
      <c r="A101" s="11" t="s">
        <v>144</v>
      </c>
      <c r="B101" s="7">
        <v>1800</v>
      </c>
      <c r="C101" s="7">
        <v>38.530999999999999</v>
      </c>
      <c r="D101" s="2">
        <f t="shared" si="13"/>
        <v>-9.7000000000001307E-2</v>
      </c>
      <c r="E101" s="8">
        <f>E100-F100</f>
        <v>38.620933748151508</v>
      </c>
      <c r="F101" s="6">
        <f t="shared" si="21"/>
        <v>3.6363636363636362E-2</v>
      </c>
      <c r="G101" s="12">
        <f t="shared" si="22"/>
        <v>-8.9933748151509008E-2</v>
      </c>
    </row>
    <row r="102" spans="1:18" x14ac:dyDescent="0.3">
      <c r="A102" s="11" t="s">
        <v>3313</v>
      </c>
      <c r="B102" s="70" t="s">
        <v>3314</v>
      </c>
      <c r="C102" s="7"/>
      <c r="D102" s="2"/>
      <c r="E102" s="8"/>
      <c r="F102" s="6"/>
      <c r="G102" s="12"/>
    </row>
    <row r="103" spans="1:18" x14ac:dyDescent="0.3">
      <c r="A103" s="11" t="s">
        <v>3315</v>
      </c>
      <c r="B103" s="70" t="s">
        <v>3317</v>
      </c>
      <c r="C103" s="7"/>
      <c r="D103" s="2"/>
      <c r="E103" s="8"/>
      <c r="F103" s="6"/>
      <c r="G103" s="12"/>
    </row>
    <row r="104" spans="1:18" x14ac:dyDescent="0.3">
      <c r="A104" s="11" t="s">
        <v>145</v>
      </c>
      <c r="B104" s="7">
        <v>1820</v>
      </c>
      <c r="C104" s="7">
        <v>38.411999999999999</v>
      </c>
      <c r="D104" s="2">
        <f>C104-C101</f>
        <v>-0.11899999999999977</v>
      </c>
      <c r="E104" s="8">
        <f>E101-F101</f>
        <v>38.584570111787869</v>
      </c>
      <c r="F104" s="6">
        <f>F101</f>
        <v>3.6363636363636362E-2</v>
      </c>
      <c r="G104" s="12">
        <f t="shared" si="22"/>
        <v>-0.17257011178786996</v>
      </c>
    </row>
    <row r="105" spans="1:18" x14ac:dyDescent="0.3">
      <c r="A105" s="11" t="s">
        <v>146</v>
      </c>
      <c r="B105" s="7">
        <v>1840</v>
      </c>
      <c r="C105" s="7">
        <v>38.295999999999999</v>
      </c>
      <c r="D105" s="2">
        <f t="shared" si="13"/>
        <v>-0.11599999999999966</v>
      </c>
      <c r="E105" s="8">
        <f t="shared" si="20"/>
        <v>38.54820647542423</v>
      </c>
      <c r="F105" s="6">
        <f t="shared" si="21"/>
        <v>3.6363636363636362E-2</v>
      </c>
      <c r="G105" s="12">
        <f t="shared" si="22"/>
        <v>-0.2522064754242308</v>
      </c>
    </row>
    <row r="106" spans="1:18" x14ac:dyDescent="0.3">
      <c r="A106" s="11" t="s">
        <v>147</v>
      </c>
      <c r="B106" s="7">
        <v>1860</v>
      </c>
      <c r="C106" s="7">
        <v>38.241</v>
      </c>
      <c r="D106" s="2">
        <f t="shared" si="13"/>
        <v>-5.4999999999999716E-2</v>
      </c>
      <c r="E106" s="8">
        <f t="shared" si="20"/>
        <v>38.511842839060591</v>
      </c>
      <c r="F106" s="6">
        <f t="shared" si="21"/>
        <v>3.6363636363636362E-2</v>
      </c>
      <c r="G106" s="12">
        <f t="shared" si="22"/>
        <v>-0.2708428390605917</v>
      </c>
    </row>
    <row r="107" spans="1:18" x14ac:dyDescent="0.3">
      <c r="A107" s="11" t="s">
        <v>148</v>
      </c>
      <c r="B107" s="7">
        <v>1880</v>
      </c>
      <c r="C107" s="7">
        <v>38.219000000000001</v>
      </c>
      <c r="D107" s="2">
        <f t="shared" si="13"/>
        <v>-2.1999999999998465E-2</v>
      </c>
      <c r="E107" s="8">
        <f t="shared" si="20"/>
        <v>38.475479202696953</v>
      </c>
      <c r="F107" s="6">
        <f t="shared" si="21"/>
        <v>3.6363636363636362E-2</v>
      </c>
      <c r="G107" s="12">
        <f t="shared" si="22"/>
        <v>-0.25647920269695135</v>
      </c>
    </row>
    <row r="108" spans="1:18" x14ac:dyDescent="0.3">
      <c r="A108" s="11" t="s">
        <v>3318</v>
      </c>
      <c r="B108" s="70" t="s">
        <v>3320</v>
      </c>
      <c r="C108" s="7"/>
      <c r="D108" s="2"/>
      <c r="E108" s="8"/>
      <c r="F108" s="6"/>
      <c r="G108" s="12"/>
    </row>
    <row r="109" spans="1:18" x14ac:dyDescent="0.3">
      <c r="A109" s="11" t="s">
        <v>3319</v>
      </c>
      <c r="B109" s="70" t="s">
        <v>3316</v>
      </c>
      <c r="C109" s="7"/>
      <c r="D109" s="2"/>
      <c r="E109" s="8"/>
      <c r="F109" s="6"/>
      <c r="G109" s="12"/>
    </row>
    <row r="110" spans="1:18" x14ac:dyDescent="0.3">
      <c r="A110" s="11" t="s">
        <v>149</v>
      </c>
      <c r="B110" s="7">
        <v>1900</v>
      </c>
      <c r="C110" s="7">
        <v>38.231999999999999</v>
      </c>
      <c r="D110" s="2">
        <f>C110-C107</f>
        <v>1.2999999999998124E-2</v>
      </c>
      <c r="E110" s="8">
        <f>E107-F107</f>
        <v>38.439115566333314</v>
      </c>
      <c r="F110" s="6">
        <f>F107</f>
        <v>3.6363636363636362E-2</v>
      </c>
      <c r="G110" s="12">
        <f t="shared" si="22"/>
        <v>-0.2071155663333144</v>
      </c>
    </row>
    <row r="111" spans="1:18" x14ac:dyDescent="0.3">
      <c r="A111" s="21" t="s">
        <v>3321</v>
      </c>
      <c r="B111" s="65" t="s">
        <v>3314</v>
      </c>
      <c r="C111" s="22"/>
      <c r="D111" s="22"/>
      <c r="E111" s="22"/>
      <c r="F111" s="22"/>
      <c r="G111" s="23"/>
    </row>
    <row r="112" spans="1:18" x14ac:dyDescent="0.3">
      <c r="A112" s="11" t="s">
        <v>150</v>
      </c>
      <c r="B112" s="7">
        <v>1920</v>
      </c>
      <c r="C112" s="7">
        <v>38.225999999999999</v>
      </c>
      <c r="D112" s="2">
        <f>C112-C110</f>
        <v>-6.0000000000002274E-3</v>
      </c>
      <c r="E112" s="8">
        <f>E110-F112</f>
        <v>38.402751929969675</v>
      </c>
      <c r="F112" s="6">
        <f>P99</f>
        <v>3.6363636363636362E-2</v>
      </c>
      <c r="G112" s="12">
        <f>C112-E112</f>
        <v>-0.17675192996967581</v>
      </c>
    </row>
    <row r="113" spans="1:18" x14ac:dyDescent="0.3">
      <c r="A113" s="11" t="s">
        <v>3322</v>
      </c>
      <c r="B113" s="70" t="s">
        <v>3317</v>
      </c>
      <c r="C113" s="7"/>
      <c r="D113" s="2"/>
      <c r="E113" s="8"/>
      <c r="F113" s="6"/>
      <c r="G113" s="12"/>
      <c r="K113" s="5"/>
      <c r="M113" s="5"/>
    </row>
    <row r="114" spans="1:18" x14ac:dyDescent="0.3">
      <c r="A114" s="11" t="s">
        <v>151</v>
      </c>
      <c r="B114" s="7">
        <v>1940</v>
      </c>
      <c r="C114" s="7">
        <v>38.210999999999999</v>
      </c>
      <c r="D114" s="2">
        <f>C114-C112</f>
        <v>-1.5000000000000568E-2</v>
      </c>
      <c r="E114" s="8">
        <f>E112-F112</f>
        <v>38.366388293606036</v>
      </c>
      <c r="F114" s="6">
        <f t="shared" ref="F114" si="23">F112</f>
        <v>3.6363636363636362E-2</v>
      </c>
      <c r="G114" s="12">
        <f t="shared" ref="G114" si="24">C114-E114</f>
        <v>-0.15538829360603756</v>
      </c>
    </row>
    <row r="115" spans="1:18" x14ac:dyDescent="0.3">
      <c r="A115" s="11" t="s">
        <v>152</v>
      </c>
      <c r="B115" s="7">
        <v>1960</v>
      </c>
      <c r="C115" s="7">
        <v>38.185000000000002</v>
      </c>
      <c r="D115" s="2">
        <f t="shared" si="13"/>
        <v>-2.5999999999996248E-2</v>
      </c>
      <c r="E115" s="8">
        <f t="shared" si="20"/>
        <v>38.330024657242397</v>
      </c>
      <c r="F115" s="6">
        <f t="shared" si="21"/>
        <v>3.6363636363636362E-2</v>
      </c>
      <c r="G115" s="12">
        <f t="shared" si="22"/>
        <v>-0.14502465724239499</v>
      </c>
    </row>
    <row r="116" spans="1:18" x14ac:dyDescent="0.3">
      <c r="A116" s="13" t="s">
        <v>153</v>
      </c>
      <c r="B116" s="24"/>
      <c r="C116" s="25"/>
      <c r="D116" s="25"/>
      <c r="E116" s="25"/>
      <c r="F116" s="25"/>
      <c r="G116" s="26"/>
    </row>
    <row r="117" spans="1:18" x14ac:dyDescent="0.3">
      <c r="A117" s="11" t="s">
        <v>154</v>
      </c>
      <c r="B117" s="7">
        <v>1980</v>
      </c>
      <c r="C117" s="7">
        <v>38.148000000000003</v>
      </c>
      <c r="D117" s="2">
        <f>C117-C115</f>
        <v>-3.6999999999999034E-2</v>
      </c>
      <c r="E117" s="8">
        <f>E115-F115</f>
        <v>38.293661020878758</v>
      </c>
      <c r="F117" s="6">
        <f>F115</f>
        <v>3.6363636363636362E-2</v>
      </c>
      <c r="G117" s="12">
        <f t="shared" si="22"/>
        <v>-0.14566102087875521</v>
      </c>
    </row>
    <row r="118" spans="1:18" x14ac:dyDescent="0.3">
      <c r="A118" s="11" t="s">
        <v>3323</v>
      </c>
      <c r="B118" s="70" t="s">
        <v>3320</v>
      </c>
      <c r="C118" s="7"/>
      <c r="D118" s="2"/>
      <c r="E118" s="8"/>
      <c r="F118" s="6"/>
      <c r="G118" s="12"/>
    </row>
    <row r="119" spans="1:18" x14ac:dyDescent="0.3">
      <c r="A119" s="11" t="s">
        <v>155</v>
      </c>
      <c r="B119" s="7">
        <v>2000</v>
      </c>
      <c r="C119" s="7">
        <v>38.161999999999999</v>
      </c>
      <c r="D119" s="2">
        <f>C119-C117</f>
        <v>1.3999999999995794E-2</v>
      </c>
      <c r="E119" s="8">
        <f>E117-F117</f>
        <v>38.25729738451512</v>
      </c>
      <c r="F119" s="6">
        <f>F117</f>
        <v>3.6363636363636362E-2</v>
      </c>
      <c r="G119" s="12">
        <f t="shared" si="22"/>
        <v>-9.5297384515120598E-2</v>
      </c>
    </row>
    <row r="120" spans="1:18" x14ac:dyDescent="0.3">
      <c r="A120" s="11" t="s">
        <v>3324</v>
      </c>
      <c r="B120" s="70" t="s">
        <v>3316</v>
      </c>
      <c r="C120" s="7"/>
      <c r="D120" s="2"/>
      <c r="E120" s="8"/>
      <c r="F120" s="6"/>
      <c r="G120" s="12"/>
    </row>
    <row r="121" spans="1:18" x14ac:dyDescent="0.3">
      <c r="A121" s="11" t="s">
        <v>156</v>
      </c>
      <c r="B121" s="7">
        <v>2020</v>
      </c>
      <c r="C121" s="7">
        <v>38.164000000000001</v>
      </c>
      <c r="D121" s="2">
        <f>C121-C119</f>
        <v>2.0000000000024443E-3</v>
      </c>
      <c r="E121" s="8">
        <f>E119-F119</f>
        <v>38.220933748151481</v>
      </c>
      <c r="F121" s="6">
        <f>F119</f>
        <v>3.6363636363636362E-2</v>
      </c>
      <c r="G121" s="12">
        <f t="shared" ref="G121:G146" si="25">C121-E121</f>
        <v>-5.6933748151479335E-2</v>
      </c>
    </row>
    <row r="122" spans="1:18" x14ac:dyDescent="0.3">
      <c r="A122" s="11" t="s">
        <v>157</v>
      </c>
      <c r="B122" s="7">
        <v>2040</v>
      </c>
      <c r="C122" s="7">
        <v>38.155000000000001</v>
      </c>
      <c r="D122" s="2">
        <f t="shared" si="13"/>
        <v>-9.0000000000003411E-3</v>
      </c>
      <c r="E122" s="8">
        <f t="shared" ref="E122:E146" si="26">E121-F121</f>
        <v>38.184570111787842</v>
      </c>
      <c r="F122" s="6">
        <f t="shared" ref="F122:F146" si="27">F121</f>
        <v>3.6363636363636362E-2</v>
      </c>
      <c r="G122" s="12">
        <f t="shared" si="25"/>
        <v>-2.9570111787840858E-2</v>
      </c>
    </row>
    <row r="123" spans="1:18" x14ac:dyDescent="0.3">
      <c r="A123" s="11" t="s">
        <v>158</v>
      </c>
      <c r="B123" s="7">
        <v>2060</v>
      </c>
      <c r="C123" s="7">
        <v>38.148000000000003</v>
      </c>
      <c r="D123" s="2">
        <f t="shared" si="13"/>
        <v>-6.9999999999978968E-3</v>
      </c>
      <c r="E123" s="8">
        <f t="shared" si="26"/>
        <v>38.148206475424203</v>
      </c>
      <c r="F123" s="6">
        <f t="shared" si="27"/>
        <v>3.6363636363636362E-2</v>
      </c>
      <c r="G123" s="12">
        <f t="shared" si="25"/>
        <v>-2.064754241999367E-4</v>
      </c>
    </row>
    <row r="124" spans="1:18" x14ac:dyDescent="0.3">
      <c r="A124" s="11"/>
      <c r="B124" s="7"/>
      <c r="C124" s="7"/>
      <c r="D124" s="2"/>
      <c r="E124" s="8"/>
      <c r="F124" s="6"/>
      <c r="G124" s="12"/>
      <c r="H124" s="4" t="s">
        <v>3328</v>
      </c>
      <c r="J124" s="4"/>
      <c r="O124" s="3">
        <f>1/O125</f>
        <v>1.8957345971563981E-4</v>
      </c>
      <c r="P124" s="3">
        <f>O124*20</f>
        <v>3.7914691943127963E-3</v>
      </c>
      <c r="Q124" s="3" t="s">
        <v>3200</v>
      </c>
      <c r="R124" s="3">
        <v>5275</v>
      </c>
    </row>
    <row r="125" spans="1:18" x14ac:dyDescent="0.3">
      <c r="A125" s="11" t="s">
        <v>159</v>
      </c>
      <c r="B125" s="7">
        <v>2080</v>
      </c>
      <c r="C125" s="7">
        <v>38.118000000000002</v>
      </c>
      <c r="D125" s="2">
        <f>C125-C123</f>
        <v>-3.0000000000001137E-2</v>
      </c>
      <c r="E125" s="8">
        <f>E123-F125</f>
        <v>38.144415006229892</v>
      </c>
      <c r="F125" s="6">
        <f>P124</f>
        <v>3.7914691943127963E-3</v>
      </c>
      <c r="G125" s="12">
        <f t="shared" ref="G125" si="28">C125-E125</f>
        <v>-2.641500622988957E-2</v>
      </c>
      <c r="H125" s="3">
        <f>B123</f>
        <v>2060</v>
      </c>
      <c r="I125" s="3">
        <f>B172</f>
        <v>3000</v>
      </c>
      <c r="J125" s="3">
        <f>I125-H125</f>
        <v>940</v>
      </c>
      <c r="K125" s="5">
        <f>E123</f>
        <v>38.148206475424203</v>
      </c>
      <c r="L125" s="3">
        <f>C172</f>
        <v>37.97</v>
      </c>
      <c r="M125" s="5">
        <f>L125-K125</f>
        <v>-0.17820647542420431</v>
      </c>
      <c r="N125" s="3">
        <f>J125/M125</f>
        <v>-5274.780266892185</v>
      </c>
      <c r="O125" s="3">
        <v>5275</v>
      </c>
    </row>
    <row r="126" spans="1:18" x14ac:dyDescent="0.3">
      <c r="A126" s="11" t="s">
        <v>160</v>
      </c>
      <c r="B126" s="7">
        <v>2100</v>
      </c>
      <c r="C126" s="7">
        <v>38.113999999999997</v>
      </c>
      <c r="D126" s="2">
        <f t="shared" si="13"/>
        <v>-4.0000000000048885E-3</v>
      </c>
      <c r="E126" s="8">
        <f t="shared" si="26"/>
        <v>38.14062353703558</v>
      </c>
      <c r="F126" s="6">
        <f t="shared" si="27"/>
        <v>3.7914691943127963E-3</v>
      </c>
      <c r="G126" s="12">
        <f t="shared" si="25"/>
        <v>-2.6623537035582956E-2</v>
      </c>
    </row>
    <row r="127" spans="1:18" x14ac:dyDescent="0.3">
      <c r="A127" s="11" t="s">
        <v>161</v>
      </c>
      <c r="B127" s="7">
        <v>2120</v>
      </c>
      <c r="C127" s="7">
        <v>38.119999999999997</v>
      </c>
      <c r="D127" s="2">
        <f t="shared" si="13"/>
        <v>6.0000000000002274E-3</v>
      </c>
      <c r="E127" s="8">
        <f t="shared" si="26"/>
        <v>38.136832067841269</v>
      </c>
      <c r="F127" s="6">
        <f t="shared" si="27"/>
        <v>3.7914691943127963E-3</v>
      </c>
      <c r="G127" s="12">
        <f t="shared" si="25"/>
        <v>-1.6832067841271225E-2</v>
      </c>
    </row>
    <row r="128" spans="1:18" x14ac:dyDescent="0.3">
      <c r="A128" s="11" t="s">
        <v>162</v>
      </c>
      <c r="B128" s="7">
        <v>2140</v>
      </c>
      <c r="C128" s="7">
        <v>38.125</v>
      </c>
      <c r="D128" s="2">
        <f t="shared" si="13"/>
        <v>5.000000000002558E-3</v>
      </c>
      <c r="E128" s="8">
        <f t="shared" si="26"/>
        <v>38.133040598646957</v>
      </c>
      <c r="F128" s="6">
        <f t="shared" si="27"/>
        <v>3.7914691943127963E-3</v>
      </c>
      <c r="G128" s="12">
        <f t="shared" si="25"/>
        <v>-8.0405986469571644E-3</v>
      </c>
    </row>
    <row r="129" spans="1:7" x14ac:dyDescent="0.3">
      <c r="A129" s="11" t="s">
        <v>163</v>
      </c>
      <c r="B129" s="7">
        <v>2160</v>
      </c>
      <c r="C129" s="7">
        <v>38.134999999999998</v>
      </c>
      <c r="D129" s="2">
        <f t="shared" si="13"/>
        <v>9.9999999999980105E-3</v>
      </c>
      <c r="E129" s="8">
        <f t="shared" si="26"/>
        <v>38.129249129452646</v>
      </c>
      <c r="F129" s="6">
        <f t="shared" si="27"/>
        <v>3.7914691943127963E-3</v>
      </c>
      <c r="G129" s="12">
        <f t="shared" si="25"/>
        <v>5.7508705473523491E-3</v>
      </c>
    </row>
    <row r="130" spans="1:7" x14ac:dyDescent="0.3">
      <c r="A130" s="11" t="s">
        <v>164</v>
      </c>
      <c r="B130" s="7">
        <v>2180</v>
      </c>
      <c r="C130" s="7">
        <v>38.152000000000001</v>
      </c>
      <c r="D130" s="2">
        <f t="shared" si="13"/>
        <v>1.7000000000003013E-2</v>
      </c>
      <c r="E130" s="8">
        <f t="shared" si="26"/>
        <v>38.125457660258334</v>
      </c>
      <c r="F130" s="6">
        <f t="shared" si="27"/>
        <v>3.7914691943127963E-3</v>
      </c>
      <c r="G130" s="12">
        <f t="shared" si="25"/>
        <v>2.6542339741666865E-2</v>
      </c>
    </row>
    <row r="131" spans="1:7" x14ac:dyDescent="0.3">
      <c r="A131" s="11" t="s">
        <v>165</v>
      </c>
      <c r="B131" s="7">
        <v>2200</v>
      </c>
      <c r="C131" s="7">
        <v>38.170999999999999</v>
      </c>
      <c r="D131" s="2">
        <f t="shared" si="13"/>
        <v>1.8999999999998352E-2</v>
      </c>
      <c r="E131" s="8">
        <f t="shared" si="26"/>
        <v>38.121666191064023</v>
      </c>
      <c r="F131" s="6">
        <f t="shared" si="27"/>
        <v>3.7914691943127963E-3</v>
      </c>
      <c r="G131" s="12">
        <f t="shared" si="25"/>
        <v>4.933380893597672E-2</v>
      </c>
    </row>
    <row r="132" spans="1:7" x14ac:dyDescent="0.3">
      <c r="A132" s="11" t="s">
        <v>166</v>
      </c>
      <c r="B132" s="7">
        <v>2220</v>
      </c>
      <c r="C132" s="7">
        <v>38.183</v>
      </c>
      <c r="D132" s="2">
        <f t="shared" si="13"/>
        <v>1.2000000000000455E-2</v>
      </c>
      <c r="E132" s="8">
        <f t="shared" si="26"/>
        <v>38.117874721869711</v>
      </c>
      <c r="F132" s="6">
        <f t="shared" si="27"/>
        <v>3.7914691943127963E-3</v>
      </c>
      <c r="G132" s="12">
        <f t="shared" si="25"/>
        <v>6.5125278130288677E-2</v>
      </c>
    </row>
    <row r="133" spans="1:7" x14ac:dyDescent="0.3">
      <c r="A133" s="11" t="s">
        <v>167</v>
      </c>
      <c r="B133" s="7">
        <v>2240</v>
      </c>
      <c r="C133" s="7">
        <v>38.198</v>
      </c>
      <c r="D133" s="2">
        <f t="shared" si="13"/>
        <v>1.5000000000000568E-2</v>
      </c>
      <c r="E133" s="8">
        <f t="shared" si="26"/>
        <v>38.1140832526754</v>
      </c>
      <c r="F133" s="6">
        <f t="shared" si="27"/>
        <v>3.7914691943127963E-3</v>
      </c>
      <c r="G133" s="12">
        <f t="shared" si="25"/>
        <v>8.3916747324600749E-2</v>
      </c>
    </row>
    <row r="134" spans="1:7" x14ac:dyDescent="0.3">
      <c r="A134" s="11" t="s">
        <v>168</v>
      </c>
      <c r="B134" s="7">
        <v>2260</v>
      </c>
      <c r="C134" s="7">
        <v>38.204000000000001</v>
      </c>
      <c r="D134" s="2">
        <f t="shared" si="13"/>
        <v>6.0000000000002274E-3</v>
      </c>
      <c r="E134" s="8">
        <f t="shared" si="26"/>
        <v>38.110291783481088</v>
      </c>
      <c r="F134" s="6">
        <f t="shared" si="27"/>
        <v>3.7914691943127963E-3</v>
      </c>
      <c r="G134" s="12">
        <f t="shared" si="25"/>
        <v>9.3708216518912479E-2</v>
      </c>
    </row>
    <row r="135" spans="1:7" x14ac:dyDescent="0.3">
      <c r="A135" s="11" t="s">
        <v>169</v>
      </c>
      <c r="B135" s="7">
        <v>2280</v>
      </c>
      <c r="C135" s="7">
        <v>38.188000000000002</v>
      </c>
      <c r="D135" s="2">
        <f t="shared" si="13"/>
        <v>-1.5999999999998238E-2</v>
      </c>
      <c r="E135" s="8">
        <f t="shared" si="26"/>
        <v>38.106500314286777</v>
      </c>
      <c r="F135" s="6">
        <f t="shared" si="27"/>
        <v>3.7914691943127963E-3</v>
      </c>
      <c r="G135" s="12">
        <f t="shared" si="25"/>
        <v>8.1499685713225745E-2</v>
      </c>
    </row>
    <row r="136" spans="1:7" x14ac:dyDescent="0.3">
      <c r="A136" s="11" t="s">
        <v>170</v>
      </c>
      <c r="B136" s="7">
        <v>2300</v>
      </c>
      <c r="C136" s="7">
        <v>38.182000000000002</v>
      </c>
      <c r="D136" s="2">
        <f t="shared" si="13"/>
        <v>-6.0000000000002274E-3</v>
      </c>
      <c r="E136" s="8">
        <f t="shared" si="26"/>
        <v>38.102708845092465</v>
      </c>
      <c r="F136" s="6">
        <f t="shared" si="27"/>
        <v>3.7914691943127963E-3</v>
      </c>
      <c r="G136" s="12">
        <f t="shared" si="25"/>
        <v>7.929115490753702E-2</v>
      </c>
    </row>
    <row r="137" spans="1:7" x14ac:dyDescent="0.3">
      <c r="A137" s="11" t="s">
        <v>171</v>
      </c>
      <c r="B137" s="7">
        <v>2320</v>
      </c>
      <c r="C137" s="7">
        <v>38.21</v>
      </c>
      <c r="D137" s="2">
        <f t="shared" si="13"/>
        <v>2.7999999999998693E-2</v>
      </c>
      <c r="E137" s="8">
        <f t="shared" si="26"/>
        <v>38.098917375898154</v>
      </c>
      <c r="F137" s="6">
        <f t="shared" si="27"/>
        <v>3.7914691943127963E-3</v>
      </c>
      <c r="G137" s="12">
        <f t="shared" si="25"/>
        <v>0.11108262410184722</v>
      </c>
    </row>
    <row r="138" spans="1:7" x14ac:dyDescent="0.3">
      <c r="A138" s="11" t="s">
        <v>172</v>
      </c>
      <c r="B138" s="7">
        <v>2340</v>
      </c>
      <c r="C138" s="7">
        <v>38.21</v>
      </c>
      <c r="D138" s="2">
        <f t="shared" si="13"/>
        <v>0</v>
      </c>
      <c r="E138" s="8">
        <f t="shared" si="26"/>
        <v>38.095125906703842</v>
      </c>
      <c r="F138" s="6">
        <f t="shared" si="27"/>
        <v>3.7914691943127963E-3</v>
      </c>
      <c r="G138" s="12">
        <f t="shared" si="25"/>
        <v>0.11487409329615872</v>
      </c>
    </row>
    <row r="139" spans="1:7" x14ac:dyDescent="0.3">
      <c r="A139" s="11" t="s">
        <v>173</v>
      </c>
      <c r="B139" s="7">
        <v>2360</v>
      </c>
      <c r="C139" s="7">
        <v>38.161999999999999</v>
      </c>
      <c r="D139" s="2">
        <f t="shared" si="13"/>
        <v>-4.8000000000001819E-2</v>
      </c>
      <c r="E139" s="8">
        <f t="shared" si="26"/>
        <v>38.091334437509531</v>
      </c>
      <c r="F139" s="6">
        <f t="shared" si="27"/>
        <v>3.7914691943127963E-3</v>
      </c>
      <c r="G139" s="12">
        <f t="shared" si="25"/>
        <v>7.0665562490468403E-2</v>
      </c>
    </row>
    <row r="140" spans="1:7" x14ac:dyDescent="0.3">
      <c r="A140" s="11" t="s">
        <v>174</v>
      </c>
      <c r="B140" s="7">
        <v>2380</v>
      </c>
      <c r="C140" s="7">
        <v>38.118000000000002</v>
      </c>
      <c r="D140" s="2">
        <f t="shared" si="13"/>
        <v>-4.399999999999693E-2</v>
      </c>
      <c r="E140" s="8">
        <f t="shared" si="26"/>
        <v>38.087542968315219</v>
      </c>
      <c r="F140" s="6">
        <f t="shared" si="27"/>
        <v>3.7914691943127963E-3</v>
      </c>
      <c r="G140" s="12">
        <f t="shared" si="25"/>
        <v>3.0457031684782976E-2</v>
      </c>
    </row>
    <row r="141" spans="1:7" x14ac:dyDescent="0.3">
      <c r="A141" s="11" t="s">
        <v>175</v>
      </c>
      <c r="B141" s="7">
        <v>2400</v>
      </c>
      <c r="C141" s="7">
        <v>38.097000000000001</v>
      </c>
      <c r="D141" s="2">
        <f t="shared" si="13"/>
        <v>-2.1000000000000796E-2</v>
      </c>
      <c r="E141" s="8">
        <f t="shared" si="26"/>
        <v>38.083751499120908</v>
      </c>
      <c r="F141" s="6">
        <f t="shared" si="27"/>
        <v>3.7914691943127963E-3</v>
      </c>
      <c r="G141" s="12">
        <f t="shared" si="25"/>
        <v>1.3248500879093683E-2</v>
      </c>
    </row>
    <row r="142" spans="1:7" x14ac:dyDescent="0.3">
      <c r="A142" s="11" t="s">
        <v>176</v>
      </c>
      <c r="B142" s="7">
        <v>2420</v>
      </c>
      <c r="C142" s="7">
        <v>38.085999999999999</v>
      </c>
      <c r="D142" s="2">
        <f t="shared" si="13"/>
        <v>-1.1000000000002785E-2</v>
      </c>
      <c r="E142" s="8">
        <f t="shared" si="26"/>
        <v>38.079960029926596</v>
      </c>
      <c r="F142" s="6">
        <f t="shared" si="27"/>
        <v>3.7914691943127963E-3</v>
      </c>
      <c r="G142" s="12">
        <f t="shared" si="25"/>
        <v>6.0399700734024009E-3</v>
      </c>
    </row>
    <row r="143" spans="1:7" x14ac:dyDescent="0.3">
      <c r="A143" s="11" t="s">
        <v>177</v>
      </c>
      <c r="B143" s="7">
        <v>2440</v>
      </c>
      <c r="C143" s="7">
        <v>38.073999999999998</v>
      </c>
      <c r="D143" s="2">
        <f t="shared" si="13"/>
        <v>-1.2000000000000455E-2</v>
      </c>
      <c r="E143" s="8">
        <f t="shared" si="26"/>
        <v>38.076168560732285</v>
      </c>
      <c r="F143" s="6">
        <f t="shared" si="27"/>
        <v>3.7914691943127963E-3</v>
      </c>
      <c r="G143" s="12">
        <f t="shared" si="25"/>
        <v>-2.1685607322865508E-3</v>
      </c>
    </row>
    <row r="144" spans="1:7" x14ac:dyDescent="0.3">
      <c r="A144" s="11" t="s">
        <v>178</v>
      </c>
      <c r="B144" s="7">
        <v>2460</v>
      </c>
      <c r="C144" s="7">
        <v>38.072000000000003</v>
      </c>
      <c r="D144" s="2">
        <f t="shared" si="13"/>
        <v>-1.9999999999953388E-3</v>
      </c>
      <c r="E144" s="8">
        <f t="shared" si="26"/>
        <v>38.072377091537973</v>
      </c>
      <c r="F144" s="6">
        <f t="shared" si="27"/>
        <v>3.7914691943127963E-3</v>
      </c>
      <c r="G144" s="12">
        <f t="shared" si="25"/>
        <v>-3.7709153797038653E-4</v>
      </c>
    </row>
    <row r="145" spans="1:7" x14ac:dyDescent="0.3">
      <c r="A145" s="11" t="s">
        <v>179</v>
      </c>
      <c r="B145" s="7">
        <v>2480</v>
      </c>
      <c r="C145" s="7">
        <v>38.076000000000001</v>
      </c>
      <c r="D145" s="2">
        <f t="shared" si="13"/>
        <v>3.9999999999977831E-3</v>
      </c>
      <c r="E145" s="8">
        <f t="shared" si="26"/>
        <v>38.068585622343662</v>
      </c>
      <c r="F145" s="6">
        <f t="shared" si="27"/>
        <v>3.7914691943127963E-3</v>
      </c>
      <c r="G145" s="12">
        <f t="shared" si="25"/>
        <v>7.4143776563388997E-3</v>
      </c>
    </row>
    <row r="146" spans="1:7" x14ac:dyDescent="0.3">
      <c r="A146" s="11" t="s">
        <v>180</v>
      </c>
      <c r="B146" s="7">
        <v>2500</v>
      </c>
      <c r="C146" s="7">
        <v>38.072000000000003</v>
      </c>
      <c r="D146" s="2">
        <f t="shared" si="13"/>
        <v>-3.9999999999977831E-3</v>
      </c>
      <c r="E146" s="8">
        <f t="shared" si="26"/>
        <v>38.06479415314935</v>
      </c>
      <c r="F146" s="6">
        <f t="shared" si="27"/>
        <v>3.7914691943127963E-3</v>
      </c>
      <c r="G146" s="12">
        <f t="shared" si="25"/>
        <v>7.2058468506526197E-3</v>
      </c>
    </row>
    <row r="147" spans="1:7" x14ac:dyDescent="0.3">
      <c r="A147" s="11" t="s">
        <v>181</v>
      </c>
      <c r="B147" s="7">
        <v>2520</v>
      </c>
      <c r="C147" s="7">
        <v>38.052</v>
      </c>
      <c r="D147" s="2">
        <f t="shared" si="13"/>
        <v>-2.0000000000003126E-2</v>
      </c>
      <c r="E147" s="8">
        <f t="shared" ref="E147:E161" si="29">E146-F146</f>
        <v>38.061002683955039</v>
      </c>
      <c r="F147" s="6">
        <f t="shared" ref="F147:F161" si="30">F146</f>
        <v>3.7914691943127963E-3</v>
      </c>
      <c r="G147" s="12">
        <f t="shared" ref="G147:G161" si="31">C147-E147</f>
        <v>-9.0026839550390036E-3</v>
      </c>
    </row>
    <row r="148" spans="1:7" x14ac:dyDescent="0.3">
      <c r="A148" s="11" t="s">
        <v>182</v>
      </c>
      <c r="B148" s="7">
        <v>2540</v>
      </c>
      <c r="C148" s="7">
        <v>38.021000000000001</v>
      </c>
      <c r="D148" s="2">
        <f t="shared" si="13"/>
        <v>-3.0999999999998806E-2</v>
      </c>
      <c r="E148" s="8">
        <f t="shared" si="29"/>
        <v>38.057211214760727</v>
      </c>
      <c r="F148" s="6">
        <f t="shared" si="30"/>
        <v>3.7914691943127963E-3</v>
      </c>
      <c r="G148" s="12">
        <f t="shared" si="31"/>
        <v>-3.6211214760726307E-2</v>
      </c>
    </row>
    <row r="149" spans="1:7" x14ac:dyDescent="0.3">
      <c r="A149" s="11" t="s">
        <v>183</v>
      </c>
      <c r="B149" s="7">
        <v>2560</v>
      </c>
      <c r="C149" s="7">
        <v>37.993000000000002</v>
      </c>
      <c r="D149" s="2">
        <f t="shared" si="13"/>
        <v>-2.7999999999998693E-2</v>
      </c>
      <c r="E149" s="8">
        <f t="shared" si="29"/>
        <v>38.053419745566416</v>
      </c>
      <c r="F149" s="6">
        <f t="shared" si="30"/>
        <v>3.7914691943127963E-3</v>
      </c>
      <c r="G149" s="12">
        <f t="shared" si="31"/>
        <v>-6.0419745566413496E-2</v>
      </c>
    </row>
    <row r="150" spans="1:7" x14ac:dyDescent="0.3">
      <c r="A150" s="11" t="s">
        <v>184</v>
      </c>
      <c r="B150" s="7">
        <v>2580</v>
      </c>
      <c r="C150" s="7">
        <v>37.978000000000002</v>
      </c>
      <c r="D150" s="2">
        <f t="shared" si="13"/>
        <v>-1.5000000000000568E-2</v>
      </c>
      <c r="E150" s="8">
        <f t="shared" si="29"/>
        <v>38.049628276372104</v>
      </c>
      <c r="F150" s="6">
        <f t="shared" si="30"/>
        <v>3.7914691943127963E-3</v>
      </c>
      <c r="G150" s="12">
        <f t="shared" si="31"/>
        <v>-7.1628276372102562E-2</v>
      </c>
    </row>
    <row r="151" spans="1:7" x14ac:dyDescent="0.3">
      <c r="A151" s="11" t="s">
        <v>185</v>
      </c>
      <c r="B151" s="7">
        <v>2600</v>
      </c>
      <c r="C151" s="7">
        <v>37.976999999999997</v>
      </c>
      <c r="D151" s="2">
        <f t="shared" ref="D151:D218" si="32">C151-C150</f>
        <v>-1.0000000000047748E-3</v>
      </c>
      <c r="E151" s="8">
        <f t="shared" si="29"/>
        <v>38.045836807177793</v>
      </c>
      <c r="F151" s="6">
        <f t="shared" si="30"/>
        <v>3.7914691943127963E-3</v>
      </c>
      <c r="G151" s="12">
        <f t="shared" si="31"/>
        <v>-6.8836807177795833E-2</v>
      </c>
    </row>
    <row r="152" spans="1:7" x14ac:dyDescent="0.3">
      <c r="A152" s="11" t="s">
        <v>186</v>
      </c>
      <c r="B152" s="7">
        <v>2620</v>
      </c>
      <c r="C152" s="7">
        <v>37.970999999999997</v>
      </c>
      <c r="D152" s="2">
        <f t="shared" si="32"/>
        <v>-6.0000000000002274E-3</v>
      </c>
      <c r="E152" s="8">
        <f t="shared" si="29"/>
        <v>38.042045337983481</v>
      </c>
      <c r="F152" s="6">
        <f t="shared" si="30"/>
        <v>3.7914691943127963E-3</v>
      </c>
      <c r="G152" s="12">
        <f t="shared" si="31"/>
        <v>-7.1045337983484558E-2</v>
      </c>
    </row>
    <row r="153" spans="1:7" x14ac:dyDescent="0.3">
      <c r="A153" s="11" t="s">
        <v>187</v>
      </c>
      <c r="B153" s="7">
        <v>2640</v>
      </c>
      <c r="C153" s="7">
        <v>37.962000000000003</v>
      </c>
      <c r="D153" s="2">
        <f t="shared" si="32"/>
        <v>-8.9999999999932356E-3</v>
      </c>
      <c r="E153" s="8">
        <f t="shared" si="29"/>
        <v>38.03825386878917</v>
      </c>
      <c r="F153" s="6">
        <f t="shared" si="30"/>
        <v>3.7914691943127963E-3</v>
      </c>
      <c r="G153" s="12">
        <f t="shared" si="31"/>
        <v>-7.625386878916629E-2</v>
      </c>
    </row>
    <row r="154" spans="1:7" x14ac:dyDescent="0.3">
      <c r="A154" s="11" t="s">
        <v>188</v>
      </c>
      <c r="B154" s="7">
        <v>2660</v>
      </c>
      <c r="C154" s="7">
        <v>37.96</v>
      </c>
      <c r="D154" s="2">
        <f t="shared" si="32"/>
        <v>-2.0000000000024443E-3</v>
      </c>
      <c r="E154" s="8">
        <f t="shared" si="29"/>
        <v>38.034462399594858</v>
      </c>
      <c r="F154" s="6">
        <f t="shared" si="30"/>
        <v>3.7914691943127963E-3</v>
      </c>
      <c r="G154" s="12">
        <f t="shared" si="31"/>
        <v>-7.4462399594857231E-2</v>
      </c>
    </row>
    <row r="155" spans="1:7" x14ac:dyDescent="0.3">
      <c r="A155" s="11" t="s">
        <v>189</v>
      </c>
      <c r="B155" s="7">
        <v>2680</v>
      </c>
      <c r="C155" s="7">
        <v>37.963000000000001</v>
      </c>
      <c r="D155" s="2">
        <f t="shared" si="32"/>
        <v>3.0000000000001137E-3</v>
      </c>
      <c r="E155" s="8">
        <f t="shared" si="29"/>
        <v>38.030670930400547</v>
      </c>
      <c r="F155" s="6">
        <f t="shared" si="30"/>
        <v>3.7914691943127963E-3</v>
      </c>
      <c r="G155" s="12">
        <f t="shared" si="31"/>
        <v>-6.7670930400545615E-2</v>
      </c>
    </row>
    <row r="156" spans="1:7" x14ac:dyDescent="0.3">
      <c r="A156" s="11" t="s">
        <v>190</v>
      </c>
      <c r="B156" s="7">
        <v>2700</v>
      </c>
      <c r="C156" s="7">
        <v>37.970999999999997</v>
      </c>
      <c r="D156" s="2">
        <f t="shared" si="32"/>
        <v>7.9999999999955662E-3</v>
      </c>
      <c r="E156" s="8">
        <f t="shared" si="29"/>
        <v>38.026879461206235</v>
      </c>
      <c r="F156" s="6">
        <f t="shared" si="30"/>
        <v>3.7914691943127963E-3</v>
      </c>
      <c r="G156" s="12">
        <f t="shared" si="31"/>
        <v>-5.5879461206238545E-2</v>
      </c>
    </row>
    <row r="157" spans="1:7" x14ac:dyDescent="0.3">
      <c r="A157" s="11" t="s">
        <v>191</v>
      </c>
      <c r="B157" s="7">
        <v>2720</v>
      </c>
      <c r="C157" s="7">
        <v>37.975999999999999</v>
      </c>
      <c r="D157" s="2">
        <f t="shared" si="32"/>
        <v>5.000000000002558E-3</v>
      </c>
      <c r="E157" s="8">
        <f t="shared" si="29"/>
        <v>38.023087992011924</v>
      </c>
      <c r="F157" s="6">
        <f t="shared" si="30"/>
        <v>3.7914691943127963E-3</v>
      </c>
      <c r="G157" s="12">
        <f t="shared" si="31"/>
        <v>-4.7087992011924484E-2</v>
      </c>
    </row>
    <row r="158" spans="1:7" x14ac:dyDescent="0.3">
      <c r="A158" s="11" t="s">
        <v>192</v>
      </c>
      <c r="B158" s="7">
        <v>2740</v>
      </c>
      <c r="C158" s="7">
        <v>37.978000000000002</v>
      </c>
      <c r="D158" s="2">
        <f t="shared" si="32"/>
        <v>2.0000000000024443E-3</v>
      </c>
      <c r="E158" s="8">
        <f t="shared" si="29"/>
        <v>38.019296522817612</v>
      </c>
      <c r="F158" s="6">
        <f t="shared" si="30"/>
        <v>3.7914691943127963E-3</v>
      </c>
      <c r="G158" s="12">
        <f t="shared" si="31"/>
        <v>-4.1296522817610537E-2</v>
      </c>
    </row>
    <row r="159" spans="1:7" x14ac:dyDescent="0.3">
      <c r="A159" s="11" t="s">
        <v>193</v>
      </c>
      <c r="B159" s="7">
        <v>2760</v>
      </c>
      <c r="C159" s="7">
        <v>37.981999999999999</v>
      </c>
      <c r="D159" s="2">
        <f t="shared" si="32"/>
        <v>3.9999999999977831E-3</v>
      </c>
      <c r="E159" s="8">
        <f t="shared" si="29"/>
        <v>38.015505053623301</v>
      </c>
      <c r="F159" s="6">
        <f t="shared" si="30"/>
        <v>3.7914691943127963E-3</v>
      </c>
      <c r="G159" s="12">
        <f t="shared" si="31"/>
        <v>-3.3505053623301251E-2</v>
      </c>
    </row>
    <row r="160" spans="1:7" x14ac:dyDescent="0.3">
      <c r="A160" s="11" t="s">
        <v>194</v>
      </c>
      <c r="B160" s="7">
        <v>2780</v>
      </c>
      <c r="C160" s="7">
        <v>37.978999999999999</v>
      </c>
      <c r="D160" s="2">
        <f t="shared" si="32"/>
        <v>-3.0000000000001137E-3</v>
      </c>
      <c r="E160" s="8">
        <f t="shared" si="29"/>
        <v>38.011713584428989</v>
      </c>
      <c r="F160" s="6">
        <f t="shared" si="30"/>
        <v>3.7914691943127963E-3</v>
      </c>
      <c r="G160" s="12">
        <f t="shared" si="31"/>
        <v>-3.2713584428989861E-2</v>
      </c>
    </row>
    <row r="161" spans="1:18" x14ac:dyDescent="0.3">
      <c r="A161" s="11" t="s">
        <v>195</v>
      </c>
      <c r="B161" s="7">
        <v>2800</v>
      </c>
      <c r="C161" s="7">
        <v>37.973999999999997</v>
      </c>
      <c r="D161" s="2">
        <f t="shared" si="32"/>
        <v>-5.000000000002558E-3</v>
      </c>
      <c r="E161" s="8">
        <f t="shared" si="29"/>
        <v>38.007922115234678</v>
      </c>
      <c r="F161" s="6">
        <f t="shared" si="30"/>
        <v>3.7914691943127963E-3</v>
      </c>
      <c r="G161" s="12">
        <f t="shared" si="31"/>
        <v>-3.3922115234680916E-2</v>
      </c>
    </row>
    <row r="162" spans="1:18" x14ac:dyDescent="0.3">
      <c r="A162" s="11" t="s">
        <v>196</v>
      </c>
      <c r="B162" s="7">
        <v>2820</v>
      </c>
      <c r="C162" s="7">
        <v>37.973999999999997</v>
      </c>
      <c r="D162" s="2">
        <f t="shared" si="32"/>
        <v>0</v>
      </c>
      <c r="E162" s="8">
        <f t="shared" ref="E162:E169" si="33">E161-F161</f>
        <v>38.004130646040366</v>
      </c>
      <c r="F162" s="6">
        <f t="shared" ref="F162:F178" si="34">F161</f>
        <v>3.7914691943127963E-3</v>
      </c>
      <c r="G162" s="12">
        <f t="shared" ref="G162:G178" si="35">C162-E162</f>
        <v>-3.0130646040369413E-2</v>
      </c>
    </row>
    <row r="163" spans="1:18" x14ac:dyDescent="0.3">
      <c r="A163" s="11" t="s">
        <v>197</v>
      </c>
      <c r="B163" s="7">
        <v>2840</v>
      </c>
      <c r="C163" s="7">
        <v>37.97</v>
      </c>
      <c r="D163" s="2">
        <f t="shared" si="32"/>
        <v>-3.9999999999977831E-3</v>
      </c>
      <c r="E163" s="8">
        <f t="shared" si="33"/>
        <v>38.000339176846055</v>
      </c>
      <c r="F163" s="6">
        <f t="shared" si="34"/>
        <v>3.7914691943127963E-3</v>
      </c>
      <c r="G163" s="12">
        <f t="shared" si="35"/>
        <v>-3.0339176846055693E-2</v>
      </c>
    </row>
    <row r="164" spans="1:18" x14ac:dyDescent="0.3">
      <c r="A164" s="11" t="s">
        <v>198</v>
      </c>
      <c r="B164" s="7">
        <v>2860</v>
      </c>
      <c r="C164" s="7">
        <v>37.970999999999997</v>
      </c>
      <c r="D164" s="2">
        <f t="shared" si="32"/>
        <v>9.9999999999766942E-4</v>
      </c>
      <c r="E164" s="8">
        <f t="shared" si="33"/>
        <v>37.996547707651743</v>
      </c>
      <c r="F164" s="6">
        <f t="shared" si="34"/>
        <v>3.7914691943127963E-3</v>
      </c>
      <c r="G164" s="12">
        <f t="shared" si="35"/>
        <v>-2.5547707651746521E-2</v>
      </c>
    </row>
    <row r="165" spans="1:18" x14ac:dyDescent="0.3">
      <c r="A165" s="11" t="s">
        <v>199</v>
      </c>
      <c r="B165" s="7">
        <v>2880</v>
      </c>
      <c r="C165" s="7">
        <v>37.969000000000001</v>
      </c>
      <c r="D165" s="2">
        <f t="shared" si="32"/>
        <v>-1.9999999999953388E-3</v>
      </c>
      <c r="E165" s="8">
        <f t="shared" si="33"/>
        <v>37.992756238457432</v>
      </c>
      <c r="F165" s="6">
        <f t="shared" si="34"/>
        <v>3.7914691943127963E-3</v>
      </c>
      <c r="G165" s="12">
        <f t="shared" si="35"/>
        <v>-2.3756238457430356E-2</v>
      </c>
    </row>
    <row r="166" spans="1:18" x14ac:dyDescent="0.3">
      <c r="A166" s="11" t="s">
        <v>200</v>
      </c>
      <c r="B166" s="7">
        <v>2900</v>
      </c>
      <c r="C166" s="7">
        <v>37.976999999999997</v>
      </c>
      <c r="D166" s="2">
        <f t="shared" si="32"/>
        <v>7.9999999999955662E-3</v>
      </c>
      <c r="E166" s="8">
        <f t="shared" si="33"/>
        <v>37.98896476926312</v>
      </c>
      <c r="F166" s="6">
        <f t="shared" si="34"/>
        <v>3.7914691943127963E-3</v>
      </c>
      <c r="G166" s="12">
        <f t="shared" si="35"/>
        <v>-1.1964769263123287E-2</v>
      </c>
    </row>
    <row r="167" spans="1:18" x14ac:dyDescent="0.3">
      <c r="A167" s="11" t="s">
        <v>201</v>
      </c>
      <c r="B167" s="7">
        <v>2920</v>
      </c>
      <c r="C167" s="7">
        <v>37.975000000000001</v>
      </c>
      <c r="D167" s="2">
        <f t="shared" si="32"/>
        <v>-1.9999999999953388E-3</v>
      </c>
      <c r="E167" s="8">
        <f t="shared" si="33"/>
        <v>37.985173300068809</v>
      </c>
      <c r="F167" s="6">
        <f t="shared" si="34"/>
        <v>3.7914691943127963E-3</v>
      </c>
      <c r="G167" s="12">
        <f t="shared" si="35"/>
        <v>-1.0173300068807123E-2</v>
      </c>
    </row>
    <row r="168" spans="1:18" x14ac:dyDescent="0.3">
      <c r="A168" s="11" t="s">
        <v>202</v>
      </c>
      <c r="B168" s="7">
        <v>2940</v>
      </c>
      <c r="C168" s="7">
        <v>37.969000000000001</v>
      </c>
      <c r="D168" s="2">
        <f t="shared" si="32"/>
        <v>-6.0000000000002274E-3</v>
      </c>
      <c r="E168" s="8">
        <f t="shared" si="33"/>
        <v>37.981381830874497</v>
      </c>
      <c r="F168" s="6">
        <f t="shared" si="34"/>
        <v>3.7914691943127963E-3</v>
      </c>
      <c r="G168" s="12">
        <f t="shared" si="35"/>
        <v>-1.2381830874495847E-2</v>
      </c>
    </row>
    <row r="169" spans="1:18" x14ac:dyDescent="0.3">
      <c r="A169" s="11" t="s">
        <v>203</v>
      </c>
      <c r="B169" s="7">
        <v>2960</v>
      </c>
      <c r="C169" s="7">
        <v>37.963000000000001</v>
      </c>
      <c r="D169" s="2">
        <f t="shared" si="32"/>
        <v>-6.0000000000002274E-3</v>
      </c>
      <c r="E169" s="8">
        <f t="shared" si="33"/>
        <v>37.977590361680186</v>
      </c>
      <c r="F169" s="6">
        <f t="shared" si="34"/>
        <v>3.7914691943127963E-3</v>
      </c>
      <c r="G169" s="12">
        <f t="shared" si="35"/>
        <v>-1.4590361680184571E-2</v>
      </c>
    </row>
    <row r="170" spans="1:18" x14ac:dyDescent="0.3">
      <c r="A170" s="13" t="s">
        <v>204</v>
      </c>
      <c r="B170" s="24"/>
      <c r="C170" s="25"/>
      <c r="D170" s="25"/>
      <c r="E170" s="25"/>
      <c r="F170" s="25"/>
      <c r="G170" s="26"/>
    </row>
    <row r="171" spans="1:18" x14ac:dyDescent="0.3">
      <c r="A171" s="11" t="s">
        <v>205</v>
      </c>
      <c r="B171" s="7">
        <v>2980</v>
      </c>
      <c r="C171" s="7">
        <v>37.963999999999999</v>
      </c>
      <c r="D171" s="2">
        <f>C171-C169</f>
        <v>9.9999999999766942E-4</v>
      </c>
      <c r="E171" s="8">
        <f>E169-F169</f>
        <v>37.973798892485874</v>
      </c>
      <c r="F171" s="6">
        <f>F169</f>
        <v>3.7914691943127963E-3</v>
      </c>
      <c r="G171" s="12">
        <f t="shared" si="35"/>
        <v>-9.798892485875399E-3</v>
      </c>
    </row>
    <row r="172" spans="1:18" x14ac:dyDescent="0.3">
      <c r="A172" s="11" t="s">
        <v>206</v>
      </c>
      <c r="B172" s="7">
        <v>3000</v>
      </c>
      <c r="C172" s="7">
        <v>37.97</v>
      </c>
      <c r="D172" s="2">
        <f t="shared" si="32"/>
        <v>6.0000000000002274E-3</v>
      </c>
      <c r="E172" s="8">
        <f>E171-F171</f>
        <v>37.970007423291563</v>
      </c>
      <c r="F172" s="6">
        <f t="shared" si="34"/>
        <v>3.7914691943127963E-3</v>
      </c>
      <c r="G172" s="12">
        <f t="shared" si="35"/>
        <v>-7.4232915636684993E-6</v>
      </c>
    </row>
    <row r="173" spans="1:18" x14ac:dyDescent="0.3">
      <c r="A173" s="21"/>
      <c r="B173" s="22"/>
      <c r="C173" s="22"/>
      <c r="D173" s="22"/>
      <c r="E173" s="22"/>
      <c r="F173" s="22"/>
      <c r="G173" s="23"/>
      <c r="H173" s="4" t="s">
        <v>3</v>
      </c>
      <c r="J173" s="4"/>
      <c r="O173" s="3">
        <f>1/O174</f>
        <v>1.718213058419244E-3</v>
      </c>
      <c r="P173" s="3">
        <f>O173*20</f>
        <v>3.4364261168384883E-2</v>
      </c>
      <c r="Q173" s="3" t="s">
        <v>3202</v>
      </c>
      <c r="R173" s="3">
        <v>582</v>
      </c>
    </row>
    <row r="174" spans="1:18" x14ac:dyDescent="0.3">
      <c r="A174" s="11" t="s">
        <v>207</v>
      </c>
      <c r="B174" s="7">
        <v>3020</v>
      </c>
      <c r="C174" s="7">
        <v>37.970999999999997</v>
      </c>
      <c r="D174" s="2">
        <f>C174-C172</f>
        <v>9.9999999999766942E-4</v>
      </c>
      <c r="E174" s="8">
        <f>E172+F174</f>
        <v>38.004371684459947</v>
      </c>
      <c r="F174" s="6">
        <f>P173</f>
        <v>3.4364261168384883E-2</v>
      </c>
      <c r="G174" s="12">
        <f>C174-E174</f>
        <v>-3.3371684459950757E-2</v>
      </c>
      <c r="H174" s="3">
        <f>B172</f>
        <v>3000</v>
      </c>
      <c r="I174" s="3">
        <f>B202</f>
        <v>3580</v>
      </c>
      <c r="J174" s="3">
        <f>I174-H174</f>
        <v>580</v>
      </c>
      <c r="K174" s="5">
        <f>E172</f>
        <v>37.970007423291563</v>
      </c>
      <c r="L174" s="3">
        <f>C202</f>
        <v>38.966000000000001</v>
      </c>
      <c r="M174" s="5">
        <f>L174-K174</f>
        <v>0.99599257670843855</v>
      </c>
      <c r="N174" s="3">
        <f>J174/M174</f>
        <v>582.33365746237484</v>
      </c>
      <c r="O174" s="3">
        <v>582</v>
      </c>
    </row>
    <row r="175" spans="1:18" x14ac:dyDescent="0.3">
      <c r="A175" s="11" t="s">
        <v>208</v>
      </c>
      <c r="B175" s="7">
        <v>3040</v>
      </c>
      <c r="C175" s="7">
        <v>37.981999999999999</v>
      </c>
      <c r="D175" s="2">
        <f t="shared" si="32"/>
        <v>1.1000000000002785E-2</v>
      </c>
      <c r="E175" s="8">
        <f>E174+F174</f>
        <v>38.038735945628332</v>
      </c>
      <c r="F175" s="6">
        <f t="shared" ref="F175" si="36">F174</f>
        <v>3.4364261168384883E-2</v>
      </c>
      <c r="G175" s="12">
        <f t="shared" ref="G175" si="37">C175-E175</f>
        <v>-5.6735945628332729E-2</v>
      </c>
    </row>
    <row r="176" spans="1:18" x14ac:dyDescent="0.3">
      <c r="A176" s="11" t="s">
        <v>209</v>
      </c>
      <c r="B176" s="7">
        <v>3060</v>
      </c>
      <c r="C176" s="7">
        <v>38.005000000000003</v>
      </c>
      <c r="D176" s="2">
        <f t="shared" si="32"/>
        <v>2.300000000000324E-2</v>
      </c>
      <c r="E176" s="8">
        <f t="shared" ref="E176:E209" si="38">E175+F175</f>
        <v>38.073100206796717</v>
      </c>
      <c r="F176" s="6">
        <f t="shared" si="34"/>
        <v>3.4364261168384883E-2</v>
      </c>
      <c r="G176" s="12">
        <f t="shared" si="35"/>
        <v>-6.8100206796714247E-2</v>
      </c>
    </row>
    <row r="177" spans="1:7" x14ac:dyDescent="0.3">
      <c r="A177" s="11" t="s">
        <v>210</v>
      </c>
      <c r="B177" s="7">
        <v>3080</v>
      </c>
      <c r="C177" s="7">
        <v>38.027000000000001</v>
      </c>
      <c r="D177" s="2">
        <f t="shared" si="32"/>
        <v>2.1999999999998465E-2</v>
      </c>
      <c r="E177" s="8">
        <f t="shared" si="38"/>
        <v>38.107464467965102</v>
      </c>
      <c r="F177" s="6">
        <f t="shared" si="34"/>
        <v>3.4364261168384883E-2</v>
      </c>
      <c r="G177" s="12">
        <f t="shared" si="35"/>
        <v>-8.0464467965100539E-2</v>
      </c>
    </row>
    <row r="178" spans="1:7" x14ac:dyDescent="0.3">
      <c r="A178" s="11" t="s">
        <v>211</v>
      </c>
      <c r="B178" s="7">
        <v>3100</v>
      </c>
      <c r="C178" s="7">
        <v>38.048999999999999</v>
      </c>
      <c r="D178" s="2">
        <f t="shared" si="32"/>
        <v>2.1999999999998465E-2</v>
      </c>
      <c r="E178" s="8">
        <f t="shared" si="38"/>
        <v>38.141828729133486</v>
      </c>
      <c r="F178" s="6">
        <f t="shared" si="34"/>
        <v>3.4364261168384883E-2</v>
      </c>
      <c r="G178" s="12">
        <f t="shared" si="35"/>
        <v>-9.2828729133486831E-2</v>
      </c>
    </row>
    <row r="179" spans="1:7" x14ac:dyDescent="0.3">
      <c r="A179" s="11" t="s">
        <v>212</v>
      </c>
      <c r="B179" s="7">
        <v>3120</v>
      </c>
      <c r="C179" s="7">
        <v>38.072000000000003</v>
      </c>
      <c r="D179" s="2">
        <f t="shared" si="32"/>
        <v>2.300000000000324E-2</v>
      </c>
      <c r="E179" s="8">
        <f t="shared" si="38"/>
        <v>38.176192990301871</v>
      </c>
      <c r="F179" s="6">
        <f t="shared" ref="F179:F209" si="39">F178</f>
        <v>3.4364261168384883E-2</v>
      </c>
      <c r="G179" s="12">
        <f t="shared" ref="G179:G209" si="40">C179-E179</f>
        <v>-0.10419299030186835</v>
      </c>
    </row>
    <row r="180" spans="1:7" x14ac:dyDescent="0.3">
      <c r="A180" s="11" t="s">
        <v>213</v>
      </c>
      <c r="B180" s="7">
        <v>3140</v>
      </c>
      <c r="C180" s="7">
        <v>38.104999999999997</v>
      </c>
      <c r="D180" s="2">
        <f t="shared" si="32"/>
        <v>3.2999999999994145E-2</v>
      </c>
      <c r="E180" s="8">
        <f t="shared" si="38"/>
        <v>38.210557251470256</v>
      </c>
      <c r="F180" s="6">
        <f t="shared" si="39"/>
        <v>3.4364261168384883E-2</v>
      </c>
      <c r="G180" s="12">
        <f t="shared" si="40"/>
        <v>-0.10555725147025896</v>
      </c>
    </row>
    <row r="181" spans="1:7" x14ac:dyDescent="0.3">
      <c r="A181" s="11" t="s">
        <v>214</v>
      </c>
      <c r="B181" s="7">
        <v>3160</v>
      </c>
      <c r="C181" s="7">
        <v>38.142000000000003</v>
      </c>
      <c r="D181" s="2">
        <f t="shared" si="32"/>
        <v>3.7000000000006139E-2</v>
      </c>
      <c r="E181" s="8">
        <f t="shared" si="38"/>
        <v>38.244921512638641</v>
      </c>
      <c r="F181" s="6">
        <f t="shared" si="39"/>
        <v>3.4364261168384883E-2</v>
      </c>
      <c r="G181" s="12">
        <f t="shared" si="40"/>
        <v>-0.10292151263863758</v>
      </c>
    </row>
    <row r="182" spans="1:7" x14ac:dyDescent="0.3">
      <c r="A182" s="11" t="s">
        <v>215</v>
      </c>
      <c r="B182" s="7">
        <v>3180</v>
      </c>
      <c r="C182" s="7">
        <v>38.159999999999997</v>
      </c>
      <c r="D182" s="2">
        <f t="shared" si="32"/>
        <v>1.7999999999993577E-2</v>
      </c>
      <c r="E182" s="8">
        <f t="shared" si="38"/>
        <v>38.279285773807025</v>
      </c>
      <c r="F182" s="6">
        <f t="shared" si="39"/>
        <v>3.4364261168384883E-2</v>
      </c>
      <c r="G182" s="12">
        <f t="shared" si="40"/>
        <v>-0.11928577380702876</v>
      </c>
    </row>
    <row r="183" spans="1:7" x14ac:dyDescent="0.3">
      <c r="A183" s="11" t="s">
        <v>216</v>
      </c>
      <c r="B183" s="7">
        <v>3200</v>
      </c>
      <c r="C183" s="7">
        <v>38.183999999999997</v>
      </c>
      <c r="D183" s="2">
        <f t="shared" si="32"/>
        <v>2.4000000000000909E-2</v>
      </c>
      <c r="E183" s="8">
        <f t="shared" si="38"/>
        <v>38.31365003497541</v>
      </c>
      <c r="F183" s="6">
        <f t="shared" si="39"/>
        <v>3.4364261168384883E-2</v>
      </c>
      <c r="G183" s="12">
        <f t="shared" si="40"/>
        <v>-0.12965003497541261</v>
      </c>
    </row>
    <row r="184" spans="1:7" x14ac:dyDescent="0.3">
      <c r="A184" s="11" t="s">
        <v>217</v>
      </c>
      <c r="B184" s="7">
        <v>3220</v>
      </c>
      <c r="C184" s="7">
        <v>38.228000000000002</v>
      </c>
      <c r="D184" s="2">
        <f t="shared" si="32"/>
        <v>4.4000000000004036E-2</v>
      </c>
      <c r="E184" s="8">
        <f t="shared" si="38"/>
        <v>38.348014296143795</v>
      </c>
      <c r="F184" s="6">
        <f t="shared" si="39"/>
        <v>3.4364261168384883E-2</v>
      </c>
      <c r="G184" s="12">
        <f t="shared" si="40"/>
        <v>-0.12001429614379333</v>
      </c>
    </row>
    <row r="185" spans="1:7" x14ac:dyDescent="0.3">
      <c r="A185" s="11" t="s">
        <v>218</v>
      </c>
      <c r="B185" s="7">
        <v>3240</v>
      </c>
      <c r="C185" s="7">
        <v>38.268000000000001</v>
      </c>
      <c r="D185" s="2">
        <f t="shared" si="32"/>
        <v>3.9999999999999147E-2</v>
      </c>
      <c r="E185" s="8">
        <f t="shared" si="38"/>
        <v>38.38237855731218</v>
      </c>
      <c r="F185" s="6">
        <f t="shared" si="39"/>
        <v>3.4364261168384883E-2</v>
      </c>
      <c r="G185" s="12">
        <f t="shared" si="40"/>
        <v>-0.11437855731217894</v>
      </c>
    </row>
    <row r="186" spans="1:7" x14ac:dyDescent="0.3">
      <c r="A186" s="11" t="s">
        <v>219</v>
      </c>
      <c r="B186" s="7">
        <v>3260</v>
      </c>
      <c r="C186" s="7">
        <v>38.31</v>
      </c>
      <c r="D186" s="2">
        <f t="shared" si="32"/>
        <v>4.2000000000001592E-2</v>
      </c>
      <c r="E186" s="8">
        <f t="shared" si="38"/>
        <v>38.416742818480564</v>
      </c>
      <c r="F186" s="6">
        <f t="shared" si="39"/>
        <v>3.4364261168384883E-2</v>
      </c>
      <c r="G186" s="12">
        <f t="shared" si="40"/>
        <v>-0.10674281848056211</v>
      </c>
    </row>
    <row r="187" spans="1:7" x14ac:dyDescent="0.3">
      <c r="A187" s="11" t="s">
        <v>220</v>
      </c>
      <c r="B187" s="7">
        <v>3280</v>
      </c>
      <c r="C187" s="7">
        <v>38.365000000000002</v>
      </c>
      <c r="D187" s="2">
        <f t="shared" si="32"/>
        <v>5.4999999999999716E-2</v>
      </c>
      <c r="E187" s="8">
        <f t="shared" si="38"/>
        <v>38.451107079648949</v>
      </c>
      <c r="F187" s="6">
        <f t="shared" si="39"/>
        <v>3.4364261168384883E-2</v>
      </c>
      <c r="G187" s="12">
        <f t="shared" si="40"/>
        <v>-8.6107079648947149E-2</v>
      </c>
    </row>
    <row r="188" spans="1:7" x14ac:dyDescent="0.3">
      <c r="A188" s="11" t="s">
        <v>221</v>
      </c>
      <c r="B188" s="7">
        <v>3300</v>
      </c>
      <c r="C188" s="7">
        <v>38.427999999999997</v>
      </c>
      <c r="D188" s="2">
        <f t="shared" si="32"/>
        <v>6.2999999999995282E-2</v>
      </c>
      <c r="E188" s="8">
        <f t="shared" si="38"/>
        <v>38.485471340817334</v>
      </c>
      <c r="F188" s="6">
        <f t="shared" si="39"/>
        <v>3.4364261168384883E-2</v>
      </c>
      <c r="G188" s="12">
        <f t="shared" si="40"/>
        <v>-5.7471340817336625E-2</v>
      </c>
    </row>
    <row r="189" spans="1:7" x14ac:dyDescent="0.3">
      <c r="A189" s="11" t="s">
        <v>222</v>
      </c>
      <c r="B189" s="7">
        <v>3320</v>
      </c>
      <c r="C189" s="7">
        <v>38.488999999999997</v>
      </c>
      <c r="D189" s="2">
        <f t="shared" si="32"/>
        <v>6.0999999999999943E-2</v>
      </c>
      <c r="E189" s="8">
        <f t="shared" si="38"/>
        <v>38.519835601985719</v>
      </c>
      <c r="F189" s="6">
        <f t="shared" si="39"/>
        <v>3.4364261168384883E-2</v>
      </c>
      <c r="G189" s="12">
        <f t="shared" si="40"/>
        <v>-3.0835601985721439E-2</v>
      </c>
    </row>
    <row r="190" spans="1:7" x14ac:dyDescent="0.3">
      <c r="A190" s="11" t="s">
        <v>223</v>
      </c>
      <c r="B190" s="7">
        <v>3340</v>
      </c>
      <c r="C190" s="7">
        <v>38.53</v>
      </c>
      <c r="D190" s="2">
        <f t="shared" si="32"/>
        <v>4.1000000000003922E-2</v>
      </c>
      <c r="E190" s="8">
        <f t="shared" si="38"/>
        <v>38.554199863154103</v>
      </c>
      <c r="F190" s="6">
        <f t="shared" si="39"/>
        <v>3.4364261168384883E-2</v>
      </c>
      <c r="G190" s="12">
        <f t="shared" si="40"/>
        <v>-2.4199863154102275E-2</v>
      </c>
    </row>
    <row r="191" spans="1:7" x14ac:dyDescent="0.3">
      <c r="A191" s="11" t="s">
        <v>224</v>
      </c>
      <c r="B191" s="7">
        <v>3360</v>
      </c>
      <c r="C191" s="7">
        <v>38.564</v>
      </c>
      <c r="D191" s="2">
        <f t="shared" si="32"/>
        <v>3.399999999999892E-2</v>
      </c>
      <c r="E191" s="8">
        <f t="shared" si="38"/>
        <v>38.588564124322488</v>
      </c>
      <c r="F191" s="6">
        <f t="shared" si="39"/>
        <v>3.4364261168384883E-2</v>
      </c>
      <c r="G191" s="12">
        <f t="shared" si="40"/>
        <v>-2.4564124322488112E-2</v>
      </c>
    </row>
    <row r="192" spans="1:7" x14ac:dyDescent="0.3">
      <c r="A192" s="11" t="s">
        <v>225</v>
      </c>
      <c r="B192" s="7">
        <v>3380</v>
      </c>
      <c r="C192" s="7">
        <v>38.609000000000002</v>
      </c>
      <c r="D192" s="2">
        <f t="shared" si="32"/>
        <v>4.5000000000001705E-2</v>
      </c>
      <c r="E192" s="8">
        <f t="shared" si="38"/>
        <v>38.622928385490873</v>
      </c>
      <c r="F192" s="6">
        <f t="shared" si="39"/>
        <v>3.4364261168384883E-2</v>
      </c>
      <c r="G192" s="12">
        <f t="shared" si="40"/>
        <v>-1.3928385490871165E-2</v>
      </c>
    </row>
    <row r="193" spans="1:18" x14ac:dyDescent="0.3">
      <c r="A193" s="11" t="s">
        <v>226</v>
      </c>
      <c r="B193" s="7">
        <v>3400</v>
      </c>
      <c r="C193" s="7">
        <v>38.656999999999996</v>
      </c>
      <c r="D193" s="2">
        <f t="shared" si="32"/>
        <v>4.7999999999994714E-2</v>
      </c>
      <c r="E193" s="8">
        <f t="shared" si="38"/>
        <v>38.657292646659258</v>
      </c>
      <c r="F193" s="6">
        <f t="shared" si="39"/>
        <v>3.4364261168384883E-2</v>
      </c>
      <c r="G193" s="12">
        <f t="shared" si="40"/>
        <v>-2.926466592612087E-4</v>
      </c>
    </row>
    <row r="194" spans="1:18" x14ac:dyDescent="0.3">
      <c r="A194" s="11" t="s">
        <v>227</v>
      </c>
      <c r="B194" s="7">
        <v>3420</v>
      </c>
      <c r="C194" s="7">
        <v>38.695</v>
      </c>
      <c r="D194" s="2">
        <f t="shared" si="32"/>
        <v>3.8000000000003809E-2</v>
      </c>
      <c r="E194" s="8">
        <f t="shared" si="38"/>
        <v>38.691656907827642</v>
      </c>
      <c r="F194" s="6">
        <f t="shared" si="39"/>
        <v>3.4364261168384883E-2</v>
      </c>
      <c r="G194" s="12">
        <f t="shared" si="40"/>
        <v>3.3430921723578422E-3</v>
      </c>
    </row>
    <row r="195" spans="1:18" x14ac:dyDescent="0.3">
      <c r="A195" s="11" t="s">
        <v>228</v>
      </c>
      <c r="B195" s="7">
        <v>3440</v>
      </c>
      <c r="C195" s="7">
        <v>38.72</v>
      </c>
      <c r="D195" s="2">
        <f t="shared" si="32"/>
        <v>2.4999999999998579E-2</v>
      </c>
      <c r="E195" s="8">
        <f t="shared" si="38"/>
        <v>38.726021168996027</v>
      </c>
      <c r="F195" s="6">
        <f t="shared" si="39"/>
        <v>3.4364261168384883E-2</v>
      </c>
      <c r="G195" s="12">
        <f t="shared" si="40"/>
        <v>-6.0211689960283366E-3</v>
      </c>
    </row>
    <row r="196" spans="1:18" x14ac:dyDescent="0.3">
      <c r="A196" s="11" t="s">
        <v>229</v>
      </c>
      <c r="B196" s="7">
        <v>3460</v>
      </c>
      <c r="C196" s="7">
        <v>38.746000000000002</v>
      </c>
      <c r="D196" s="2">
        <f t="shared" si="32"/>
        <v>2.6000000000003354E-2</v>
      </c>
      <c r="E196" s="8">
        <f t="shared" si="38"/>
        <v>38.760385430164412</v>
      </c>
      <c r="F196" s="6">
        <f t="shared" si="39"/>
        <v>3.4364261168384883E-2</v>
      </c>
      <c r="G196" s="12">
        <f t="shared" si="40"/>
        <v>-1.438543016440974E-2</v>
      </c>
    </row>
    <row r="197" spans="1:18" x14ac:dyDescent="0.3">
      <c r="A197" s="11" t="s">
        <v>230</v>
      </c>
      <c r="B197" s="7">
        <v>3480</v>
      </c>
      <c r="C197" s="7">
        <v>38.765999999999998</v>
      </c>
      <c r="D197" s="2">
        <f t="shared" si="32"/>
        <v>1.9999999999996021E-2</v>
      </c>
      <c r="E197" s="8">
        <f t="shared" si="38"/>
        <v>38.794749691332797</v>
      </c>
      <c r="F197" s="6">
        <f t="shared" si="39"/>
        <v>3.4364261168384883E-2</v>
      </c>
      <c r="G197" s="12">
        <f t="shared" si="40"/>
        <v>-2.8749691332798477E-2</v>
      </c>
    </row>
    <row r="198" spans="1:18" x14ac:dyDescent="0.3">
      <c r="A198" s="11" t="s">
        <v>231</v>
      </c>
      <c r="B198" s="7">
        <v>3500</v>
      </c>
      <c r="C198" s="7">
        <v>38.774999999999999</v>
      </c>
      <c r="D198" s="2">
        <f t="shared" si="32"/>
        <v>9.0000000000003411E-3</v>
      </c>
      <c r="E198" s="8">
        <f t="shared" si="38"/>
        <v>38.829113952501181</v>
      </c>
      <c r="F198" s="6">
        <f t="shared" si="39"/>
        <v>3.4364261168384883E-2</v>
      </c>
      <c r="G198" s="12">
        <f t="shared" si="40"/>
        <v>-5.4113952501182894E-2</v>
      </c>
    </row>
    <row r="199" spans="1:18" x14ac:dyDescent="0.3">
      <c r="A199" s="11" t="s">
        <v>232</v>
      </c>
      <c r="B199" s="7">
        <v>3520</v>
      </c>
      <c r="C199" s="7">
        <v>38.79</v>
      </c>
      <c r="D199" s="2">
        <f t="shared" si="32"/>
        <v>1.5000000000000568E-2</v>
      </c>
      <c r="E199" s="8">
        <f t="shared" si="38"/>
        <v>38.863478213669566</v>
      </c>
      <c r="F199" s="6">
        <f t="shared" si="39"/>
        <v>3.4364261168384883E-2</v>
      </c>
      <c r="G199" s="12">
        <f t="shared" si="40"/>
        <v>-7.3478213669567083E-2</v>
      </c>
    </row>
    <row r="200" spans="1:18" x14ac:dyDescent="0.3">
      <c r="A200" s="11" t="s">
        <v>233</v>
      </c>
      <c r="B200" s="7">
        <v>3540</v>
      </c>
      <c r="C200" s="7">
        <v>38.829000000000001</v>
      </c>
      <c r="D200" s="2">
        <f t="shared" si="32"/>
        <v>3.9000000000001478E-2</v>
      </c>
      <c r="E200" s="8">
        <f t="shared" si="38"/>
        <v>38.897842474837951</v>
      </c>
      <c r="F200" s="6">
        <f t="shared" si="39"/>
        <v>3.4364261168384883E-2</v>
      </c>
      <c r="G200" s="12">
        <f t="shared" si="40"/>
        <v>-6.8842474837950363E-2</v>
      </c>
    </row>
    <row r="201" spans="1:18" x14ac:dyDescent="0.3">
      <c r="A201" s="11" t="s">
        <v>234</v>
      </c>
      <c r="B201" s="7">
        <v>3560</v>
      </c>
      <c r="C201" s="7">
        <v>38.887</v>
      </c>
      <c r="D201" s="2">
        <f t="shared" si="32"/>
        <v>5.7999999999999829E-2</v>
      </c>
      <c r="E201" s="8">
        <f t="shared" si="38"/>
        <v>38.932206736006336</v>
      </c>
      <c r="F201" s="6">
        <f t="shared" si="39"/>
        <v>3.4364261168384883E-2</v>
      </c>
      <c r="G201" s="12">
        <f t="shared" si="40"/>
        <v>-4.5206736006335291E-2</v>
      </c>
    </row>
    <row r="202" spans="1:18" x14ac:dyDescent="0.3">
      <c r="A202" s="11" t="s">
        <v>235</v>
      </c>
      <c r="B202" s="7">
        <v>3580</v>
      </c>
      <c r="C202" s="7">
        <v>38.966000000000001</v>
      </c>
      <c r="D202" s="2">
        <f t="shared" si="32"/>
        <v>7.9000000000000625E-2</v>
      </c>
      <c r="E202" s="8">
        <f>E201+F201</f>
        <v>38.966570997174721</v>
      </c>
      <c r="F202" s="6">
        <f t="shared" si="39"/>
        <v>3.4364261168384883E-2</v>
      </c>
      <c r="G202" s="12">
        <f t="shared" si="40"/>
        <v>-5.7099717471942313E-4</v>
      </c>
    </row>
    <row r="203" spans="1:18" x14ac:dyDescent="0.3">
      <c r="A203" s="56"/>
      <c r="B203" s="57"/>
      <c r="C203" s="57"/>
      <c r="D203" s="57"/>
      <c r="E203" s="57"/>
      <c r="F203" s="57"/>
      <c r="G203" s="58"/>
      <c r="H203" s="4" t="s">
        <v>3472</v>
      </c>
      <c r="J203" s="4"/>
      <c r="O203" s="3">
        <f>1/O204</f>
        <v>4.9504950495049506E-3</v>
      </c>
      <c r="P203" s="3">
        <f>O203*20</f>
        <v>9.9009900990099015E-2</v>
      </c>
      <c r="Q203" s="3" t="s">
        <v>3202</v>
      </c>
      <c r="R203" s="3">
        <v>202</v>
      </c>
    </row>
    <row r="204" spans="1:18" x14ac:dyDescent="0.3">
      <c r="A204" s="11" t="s">
        <v>236</v>
      </c>
      <c r="B204" s="7">
        <v>3600</v>
      </c>
      <c r="C204" s="7">
        <v>39.051000000000002</v>
      </c>
      <c r="D204" s="2">
        <f>C204-C202</f>
        <v>8.5000000000000853E-2</v>
      </c>
      <c r="E204" s="8">
        <f>E202+F204</f>
        <v>39.065580898164818</v>
      </c>
      <c r="F204" s="6">
        <f>P203</f>
        <v>9.9009900990099015E-2</v>
      </c>
      <c r="G204" s="12">
        <f>C204-E204</f>
        <v>-1.4580898164815892E-2</v>
      </c>
      <c r="H204" s="3">
        <f>B202</f>
        <v>3580</v>
      </c>
      <c r="I204" s="3">
        <f>B211</f>
        <v>3740</v>
      </c>
      <c r="J204" s="3">
        <f>I204-H204</f>
        <v>160</v>
      </c>
      <c r="K204" s="5">
        <f>E202</f>
        <v>38.966570997174721</v>
      </c>
      <c r="L204" s="3">
        <f>C211</f>
        <v>39.756999999999998</v>
      </c>
      <c r="M204" s="5">
        <f>L204-K204</f>
        <v>0.79042900282527739</v>
      </c>
      <c r="N204" s="3">
        <f>J204/M204</f>
        <v>202.42172216366365</v>
      </c>
      <c r="O204" s="3">
        <v>202</v>
      </c>
    </row>
    <row r="205" spans="1:18" x14ac:dyDescent="0.3">
      <c r="A205" s="11" t="s">
        <v>237</v>
      </c>
      <c r="B205" s="7">
        <v>3620</v>
      </c>
      <c r="C205" s="7">
        <v>39.151000000000003</v>
      </c>
      <c r="D205" s="2">
        <f t="shared" si="32"/>
        <v>0.10000000000000142</v>
      </c>
      <c r="E205" s="8">
        <f>E204+F204</f>
        <v>39.164590799154915</v>
      </c>
      <c r="F205" s="6">
        <f t="shared" ref="F205" si="41">F204</f>
        <v>9.9009900990099015E-2</v>
      </c>
      <c r="G205" s="12">
        <f t="shared" ref="G205" si="42">C205-E205</f>
        <v>-1.3590799154911792E-2</v>
      </c>
    </row>
    <row r="206" spans="1:18" x14ac:dyDescent="0.3">
      <c r="A206" s="11" t="s">
        <v>238</v>
      </c>
      <c r="B206" s="7">
        <v>3640</v>
      </c>
      <c r="C206" s="7">
        <v>39.253999999999998</v>
      </c>
      <c r="D206" s="2">
        <f t="shared" si="32"/>
        <v>0.10299999999999443</v>
      </c>
      <c r="E206" s="8">
        <f t="shared" si="38"/>
        <v>39.263600700145012</v>
      </c>
      <c r="F206" s="6">
        <f t="shared" si="39"/>
        <v>9.9009900990099015E-2</v>
      </c>
      <c r="G206" s="12">
        <f t="shared" si="40"/>
        <v>-9.6007001450146845E-3</v>
      </c>
    </row>
    <row r="207" spans="1:18" x14ac:dyDescent="0.3">
      <c r="A207" s="11" t="s">
        <v>239</v>
      </c>
      <c r="B207" s="7">
        <v>3660</v>
      </c>
      <c r="C207" s="7">
        <v>39.351999999999997</v>
      </c>
      <c r="D207" s="2">
        <f t="shared" si="32"/>
        <v>9.7999999999998977E-2</v>
      </c>
      <c r="E207" s="8">
        <f t="shared" si="38"/>
        <v>39.36261060113511</v>
      </c>
      <c r="F207" s="6">
        <f t="shared" si="39"/>
        <v>9.9009900990099015E-2</v>
      </c>
      <c r="G207" s="12">
        <f t="shared" si="40"/>
        <v>-1.0610601135113029E-2</v>
      </c>
    </row>
    <row r="208" spans="1:18" x14ac:dyDescent="0.3">
      <c r="A208" s="11" t="s">
        <v>240</v>
      </c>
      <c r="B208" s="7">
        <v>3680</v>
      </c>
      <c r="C208" s="7">
        <v>39.447000000000003</v>
      </c>
      <c r="D208" s="2">
        <f t="shared" si="32"/>
        <v>9.5000000000005969E-2</v>
      </c>
      <c r="E208" s="8">
        <f t="shared" si="38"/>
        <v>39.461620502125207</v>
      </c>
      <c r="F208" s="6">
        <f t="shared" si="39"/>
        <v>9.9009900990099015E-2</v>
      </c>
      <c r="G208" s="12">
        <f t="shared" si="40"/>
        <v>-1.4620502125204382E-2</v>
      </c>
    </row>
    <row r="209" spans="1:18" x14ac:dyDescent="0.3">
      <c r="A209" s="11" t="s">
        <v>241</v>
      </c>
      <c r="B209" s="7">
        <v>3700</v>
      </c>
      <c r="C209" s="7">
        <v>39.530999999999999</v>
      </c>
      <c r="D209" s="2">
        <f t="shared" si="32"/>
        <v>8.3999999999996078E-2</v>
      </c>
      <c r="E209" s="8">
        <f t="shared" si="38"/>
        <v>39.560630403115304</v>
      </c>
      <c r="F209" s="6">
        <f t="shared" si="39"/>
        <v>9.9009900990099015E-2</v>
      </c>
      <c r="G209" s="12">
        <f t="shared" si="40"/>
        <v>-2.9630403115305626E-2</v>
      </c>
    </row>
    <row r="210" spans="1:18" x14ac:dyDescent="0.3">
      <c r="A210" s="11" t="s">
        <v>242</v>
      </c>
      <c r="B210" s="7">
        <v>3720</v>
      </c>
      <c r="C210" s="7">
        <v>39.634999999999998</v>
      </c>
      <c r="D210" s="2">
        <f t="shared" si="32"/>
        <v>0.1039999999999992</v>
      </c>
      <c r="E210" s="8">
        <f t="shared" ref="E210:E243" si="43">E209+F209</f>
        <v>39.659640304105402</v>
      </c>
      <c r="F210" s="6">
        <f t="shared" ref="F210:F243" si="44">F209</f>
        <v>9.9009900990099015E-2</v>
      </c>
      <c r="G210" s="12">
        <f t="shared" ref="G210:G243" si="45">C210-E210</f>
        <v>-2.4640304105403743E-2</v>
      </c>
    </row>
    <row r="211" spans="1:18" x14ac:dyDescent="0.3">
      <c r="A211" s="11" t="s">
        <v>243</v>
      </c>
      <c r="B211" s="7">
        <v>3740</v>
      </c>
      <c r="C211" s="7">
        <v>39.756999999999998</v>
      </c>
      <c r="D211" s="2">
        <f t="shared" si="32"/>
        <v>0.12199999999999989</v>
      </c>
      <c r="E211" s="8">
        <f t="shared" si="43"/>
        <v>39.758650205095499</v>
      </c>
      <c r="F211" s="6">
        <f t="shared" si="44"/>
        <v>9.9009900990099015E-2</v>
      </c>
      <c r="G211" s="12">
        <f t="shared" si="45"/>
        <v>-1.6502050955011782E-3</v>
      </c>
    </row>
    <row r="212" spans="1:18" x14ac:dyDescent="0.3">
      <c r="A212" s="11"/>
      <c r="B212" s="7"/>
      <c r="C212" s="7"/>
      <c r="D212" s="2"/>
      <c r="E212" s="8"/>
      <c r="F212" s="6"/>
      <c r="G212" s="12"/>
      <c r="H212" s="4" t="s">
        <v>4</v>
      </c>
      <c r="J212" s="4"/>
      <c r="O212" s="3">
        <f>1/O213</f>
        <v>8.4033613445378148E-3</v>
      </c>
      <c r="P212" s="3">
        <f>O212*20</f>
        <v>0.16806722689075629</v>
      </c>
      <c r="Q212" s="3" t="s">
        <v>3202</v>
      </c>
      <c r="R212" s="3">
        <v>114</v>
      </c>
    </row>
    <row r="213" spans="1:18" x14ac:dyDescent="0.3">
      <c r="A213" s="11" t="s">
        <v>244</v>
      </c>
      <c r="B213" s="7">
        <v>3760</v>
      </c>
      <c r="C213" s="7">
        <v>39.905000000000001</v>
      </c>
      <c r="D213" s="2">
        <f>C213-C211</f>
        <v>0.14800000000000324</v>
      </c>
      <c r="E213" s="8">
        <f>E211+F213</f>
        <v>39.926717431986255</v>
      </c>
      <c r="F213" s="6">
        <f>P212</f>
        <v>0.16806722689075629</v>
      </c>
      <c r="G213" s="12">
        <f t="shared" si="45"/>
        <v>-2.1717431986253644E-2</v>
      </c>
      <c r="H213" s="3">
        <f>B211</f>
        <v>3740</v>
      </c>
      <c r="I213" s="3">
        <f>B233</f>
        <v>4060</v>
      </c>
      <c r="J213" s="3">
        <f>I213-H213</f>
        <v>320</v>
      </c>
      <c r="K213" s="5">
        <f>E211</f>
        <v>39.758650205095499</v>
      </c>
      <c r="L213" s="3">
        <f>C233</f>
        <v>42.44</v>
      </c>
      <c r="M213" s="5">
        <f>L213-K213</f>
        <v>2.6813497949044987</v>
      </c>
      <c r="N213" s="3">
        <f>J213/M213</f>
        <v>119.34287745974501</v>
      </c>
      <c r="O213" s="3">
        <v>119</v>
      </c>
    </row>
    <row r="214" spans="1:18" x14ac:dyDescent="0.3">
      <c r="A214" s="11" t="s">
        <v>245</v>
      </c>
      <c r="B214" s="7">
        <v>3780</v>
      </c>
      <c r="C214" s="7">
        <v>40.070999999999998</v>
      </c>
      <c r="D214" s="2">
        <f>C214-C213</f>
        <v>0.16599999999999682</v>
      </c>
      <c r="E214" s="8">
        <f>E213+F214</f>
        <v>40.09478465887701</v>
      </c>
      <c r="F214" s="6">
        <f>P212</f>
        <v>0.16806722689075629</v>
      </c>
      <c r="G214" s="12">
        <f>C214-E214</f>
        <v>-2.3784658877012532E-2</v>
      </c>
    </row>
    <row r="215" spans="1:18" x14ac:dyDescent="0.3">
      <c r="A215" s="11" t="s">
        <v>3329</v>
      </c>
      <c r="B215" s="70" t="s">
        <v>3330</v>
      </c>
      <c r="C215" s="7"/>
      <c r="D215" s="2"/>
      <c r="E215" s="8"/>
      <c r="F215" s="6"/>
      <c r="G215" s="12"/>
      <c r="K215" s="5"/>
      <c r="M215" s="5"/>
    </row>
    <row r="216" spans="1:18" x14ac:dyDescent="0.3">
      <c r="A216" s="11" t="s">
        <v>246</v>
      </c>
      <c r="B216" s="7">
        <v>3800</v>
      </c>
      <c r="C216" s="7">
        <v>40.270000000000003</v>
      </c>
      <c r="D216" s="2">
        <f>C216-C214</f>
        <v>0.19900000000000517</v>
      </c>
      <c r="E216" s="8">
        <f>E214+F214</f>
        <v>40.262851885767766</v>
      </c>
      <c r="F216" s="6">
        <f t="shared" ref="F216" si="46">F214</f>
        <v>0.16806722689075629</v>
      </c>
      <c r="G216" s="12">
        <f t="shared" ref="G216" si="47">C216-E216</f>
        <v>7.1481142322369351E-3</v>
      </c>
    </row>
    <row r="217" spans="1:18" x14ac:dyDescent="0.3">
      <c r="A217" s="11" t="s">
        <v>247</v>
      </c>
      <c r="B217" s="7">
        <v>3820</v>
      </c>
      <c r="C217" s="7">
        <v>40.484999999999999</v>
      </c>
      <c r="D217" s="2">
        <f t="shared" si="32"/>
        <v>0.21499999999999631</v>
      </c>
      <c r="E217" s="8">
        <f t="shared" si="43"/>
        <v>40.430919112658522</v>
      </c>
      <c r="F217" s="6">
        <f t="shared" si="44"/>
        <v>0.16806722689075629</v>
      </c>
      <c r="G217" s="12">
        <f t="shared" si="45"/>
        <v>5.4080887341477535E-2</v>
      </c>
    </row>
    <row r="218" spans="1:18" x14ac:dyDescent="0.3">
      <c r="A218" s="11" t="s">
        <v>248</v>
      </c>
      <c r="B218" s="7">
        <v>3840</v>
      </c>
      <c r="C218" s="7">
        <v>40.686999999999998</v>
      </c>
      <c r="D218" s="2">
        <f t="shared" si="32"/>
        <v>0.20199999999999818</v>
      </c>
      <c r="E218" s="8">
        <f t="shared" si="43"/>
        <v>40.598986339549278</v>
      </c>
      <c r="F218" s="6">
        <f t="shared" si="44"/>
        <v>0.16806722689075629</v>
      </c>
      <c r="G218" s="12">
        <f t="shared" si="45"/>
        <v>8.801366045072001E-2</v>
      </c>
    </row>
    <row r="219" spans="1:18" x14ac:dyDescent="0.3">
      <c r="A219" s="11" t="s">
        <v>3331</v>
      </c>
      <c r="B219" s="70" t="s">
        <v>3332</v>
      </c>
      <c r="C219" s="7"/>
      <c r="D219" s="2"/>
      <c r="E219" s="8"/>
      <c r="F219" s="6"/>
      <c r="G219" s="12"/>
    </row>
    <row r="220" spans="1:18" x14ac:dyDescent="0.3">
      <c r="A220" s="11" t="s">
        <v>249</v>
      </c>
      <c r="B220" s="7">
        <v>3860</v>
      </c>
      <c r="C220" s="7">
        <v>40.866999999999997</v>
      </c>
      <c r="D220" s="2">
        <f>C220-C218</f>
        <v>0.17999999999999972</v>
      </c>
      <c r="E220" s="8">
        <f>E218+F218</f>
        <v>40.767053566440033</v>
      </c>
      <c r="F220" s="6">
        <f>F218</f>
        <v>0.16806722689075629</v>
      </c>
      <c r="G220" s="12">
        <f t="shared" si="45"/>
        <v>9.9946433559964021E-2</v>
      </c>
    </row>
    <row r="221" spans="1:18" x14ac:dyDescent="0.3">
      <c r="A221" s="11" t="s">
        <v>250</v>
      </c>
      <c r="B221" s="7">
        <v>3880</v>
      </c>
      <c r="C221" s="7">
        <v>41.048999999999999</v>
      </c>
      <c r="D221" s="2">
        <f t="shared" ref="D221:D291" si="48">C221-C220</f>
        <v>0.18200000000000216</v>
      </c>
      <c r="E221" s="8">
        <f t="shared" si="43"/>
        <v>40.935120793330789</v>
      </c>
      <c r="F221" s="6">
        <f t="shared" si="44"/>
        <v>0.16806722689075629</v>
      </c>
      <c r="G221" s="12">
        <f t="shared" si="45"/>
        <v>0.11387920666921048</v>
      </c>
    </row>
    <row r="222" spans="1:18" x14ac:dyDescent="0.3">
      <c r="A222" s="11" t="s">
        <v>251</v>
      </c>
      <c r="B222" s="7">
        <v>3900</v>
      </c>
      <c r="C222" s="7">
        <v>41.216000000000001</v>
      </c>
      <c r="D222" s="2">
        <f t="shared" si="48"/>
        <v>0.16700000000000159</v>
      </c>
      <c r="E222" s="8">
        <f t="shared" si="43"/>
        <v>41.103188020221545</v>
      </c>
      <c r="F222" s="6">
        <f t="shared" si="44"/>
        <v>0.16806722689075629</v>
      </c>
      <c r="G222" s="12">
        <f t="shared" si="45"/>
        <v>0.11281197977845636</v>
      </c>
    </row>
    <row r="223" spans="1:18" x14ac:dyDescent="0.3">
      <c r="A223" s="11" t="s">
        <v>252</v>
      </c>
      <c r="B223" s="7">
        <v>3920</v>
      </c>
      <c r="C223" s="7">
        <v>41.386000000000003</v>
      </c>
      <c r="D223" s="2">
        <f t="shared" si="48"/>
        <v>0.17000000000000171</v>
      </c>
      <c r="E223" s="8">
        <f t="shared" si="43"/>
        <v>41.2712552471123</v>
      </c>
      <c r="F223" s="6">
        <f t="shared" si="44"/>
        <v>0.16806722689075629</v>
      </c>
      <c r="G223" s="12">
        <f t="shared" si="45"/>
        <v>0.11474475288770236</v>
      </c>
    </row>
    <row r="224" spans="1:18" x14ac:dyDescent="0.3">
      <c r="A224" s="11" t="s">
        <v>253</v>
      </c>
      <c r="B224" s="7">
        <v>3940</v>
      </c>
      <c r="C224" s="7">
        <v>41.57</v>
      </c>
      <c r="D224" s="2">
        <f t="shared" si="48"/>
        <v>0.1839999999999975</v>
      </c>
      <c r="E224" s="8">
        <f t="shared" si="43"/>
        <v>41.439322474003056</v>
      </c>
      <c r="F224" s="6">
        <f t="shared" si="44"/>
        <v>0.16806722689075629</v>
      </c>
      <c r="G224" s="12">
        <f t="shared" si="45"/>
        <v>0.13067752599694415</v>
      </c>
    </row>
    <row r="225" spans="1:18" x14ac:dyDescent="0.3">
      <c r="A225" s="11" t="s">
        <v>254</v>
      </c>
      <c r="B225" s="7">
        <v>3960</v>
      </c>
      <c r="C225" s="7">
        <v>41.744999999999997</v>
      </c>
      <c r="D225" s="2">
        <f t="shared" si="48"/>
        <v>0.17499999999999716</v>
      </c>
      <c r="E225" s="8">
        <f t="shared" si="43"/>
        <v>41.607389700893812</v>
      </c>
      <c r="F225" s="6">
        <f t="shared" si="44"/>
        <v>0.16806722689075629</v>
      </c>
      <c r="G225" s="12">
        <f t="shared" si="45"/>
        <v>0.13761029910618561</v>
      </c>
    </row>
    <row r="226" spans="1:18" x14ac:dyDescent="0.3">
      <c r="A226" s="11" t="s">
        <v>3333</v>
      </c>
      <c r="B226" s="62" t="s">
        <v>3334</v>
      </c>
      <c r="C226" s="25"/>
      <c r="D226" s="71"/>
      <c r="E226" s="72"/>
      <c r="F226" s="22"/>
      <c r="G226" s="73"/>
    </row>
    <row r="227" spans="1:18" x14ac:dyDescent="0.3">
      <c r="A227" s="13" t="s">
        <v>255</v>
      </c>
      <c r="B227" s="54"/>
      <c r="C227" s="20"/>
      <c r="D227" s="20"/>
      <c r="E227" s="20"/>
      <c r="F227" s="20"/>
      <c r="G227" s="55"/>
    </row>
    <row r="228" spans="1:18" x14ac:dyDescent="0.3">
      <c r="A228" s="11" t="s">
        <v>256</v>
      </c>
      <c r="B228" s="7">
        <v>3980</v>
      </c>
      <c r="C228" s="7">
        <v>41.917000000000002</v>
      </c>
      <c r="D228" s="2">
        <f>C228-C225</f>
        <v>0.17200000000000415</v>
      </c>
      <c r="E228" s="8">
        <f>E225+F225</f>
        <v>41.775456927784568</v>
      </c>
      <c r="F228" s="6">
        <f>F225</f>
        <v>0.16806722689075629</v>
      </c>
      <c r="G228" s="12">
        <f t="shared" si="45"/>
        <v>0.14154307221543405</v>
      </c>
    </row>
    <row r="229" spans="1:18" x14ac:dyDescent="0.3">
      <c r="A229" s="11" t="s">
        <v>257</v>
      </c>
      <c r="B229" s="7">
        <v>4000</v>
      </c>
      <c r="C229" s="7">
        <v>42.085999999999999</v>
      </c>
      <c r="D229" s="2">
        <f t="shared" si="48"/>
        <v>0.16899999999999693</v>
      </c>
      <c r="E229" s="8">
        <f t="shared" si="43"/>
        <v>41.943524154675323</v>
      </c>
      <c r="F229" s="6">
        <f t="shared" si="44"/>
        <v>0.16806722689075629</v>
      </c>
      <c r="G229" s="12">
        <f t="shared" si="45"/>
        <v>0.14247584532467528</v>
      </c>
    </row>
    <row r="230" spans="1:18" x14ac:dyDescent="0.3">
      <c r="A230" s="11" t="s">
        <v>258</v>
      </c>
      <c r="B230" s="7">
        <v>4020</v>
      </c>
      <c r="C230" s="7">
        <v>42.237000000000002</v>
      </c>
      <c r="D230" s="2">
        <f t="shared" si="48"/>
        <v>0.15100000000000335</v>
      </c>
      <c r="E230" s="8">
        <f t="shared" si="43"/>
        <v>42.111591381566079</v>
      </c>
      <c r="F230" s="6">
        <f t="shared" si="44"/>
        <v>0.16806722689075629</v>
      </c>
      <c r="G230" s="12">
        <f t="shared" si="45"/>
        <v>0.12540861843392292</v>
      </c>
    </row>
    <row r="231" spans="1:18" x14ac:dyDescent="0.3">
      <c r="A231" s="11" t="s">
        <v>3335</v>
      </c>
      <c r="B231" s="70" t="s">
        <v>3336</v>
      </c>
      <c r="C231" s="7"/>
      <c r="D231" s="2"/>
      <c r="E231" s="8"/>
      <c r="F231" s="6"/>
      <c r="G231" s="12"/>
    </row>
    <row r="232" spans="1:18" x14ac:dyDescent="0.3">
      <c r="A232" s="11" t="s">
        <v>259</v>
      </c>
      <c r="B232" s="7">
        <v>4040</v>
      </c>
      <c r="C232" s="7">
        <v>42.356999999999999</v>
      </c>
      <c r="D232" s="2">
        <f>C232-C230</f>
        <v>0.11999999999999744</v>
      </c>
      <c r="E232" s="8">
        <f>E230+F230</f>
        <v>42.279658608456835</v>
      </c>
      <c r="F232" s="6">
        <f>F230</f>
        <v>0.16806722689075629</v>
      </c>
      <c r="G232" s="12">
        <f t="shared" si="45"/>
        <v>7.7341391543164661E-2</v>
      </c>
    </row>
    <row r="233" spans="1:18" x14ac:dyDescent="0.3">
      <c r="A233" s="11" t="s">
        <v>260</v>
      </c>
      <c r="B233" s="7">
        <v>4060</v>
      </c>
      <c r="C233" s="7">
        <v>42.44</v>
      </c>
      <c r="D233" s="2">
        <f>C233-C232</f>
        <v>8.2999999999998408E-2</v>
      </c>
      <c r="E233" s="8">
        <f>E232+F232</f>
        <v>42.44772583534759</v>
      </c>
      <c r="F233" s="6">
        <f>F232</f>
        <v>0.16806722689075629</v>
      </c>
      <c r="G233" s="12">
        <f>C233-E233</f>
        <v>-7.7258353475926356E-3</v>
      </c>
    </row>
    <row r="234" spans="1:18" x14ac:dyDescent="0.3">
      <c r="A234" s="11"/>
      <c r="B234" s="7"/>
      <c r="C234" s="7"/>
      <c r="D234" s="2"/>
      <c r="E234" s="8"/>
      <c r="F234" s="6"/>
      <c r="G234" s="12"/>
      <c r="H234" s="4" t="s">
        <v>3473</v>
      </c>
      <c r="J234" s="4"/>
      <c r="O234" s="3">
        <f>1/O235</f>
        <v>3.7593984962406013E-3</v>
      </c>
      <c r="P234" s="3">
        <f>O234*20</f>
        <v>7.5187969924812026E-2</v>
      </c>
      <c r="Q234" s="3" t="s">
        <v>3202</v>
      </c>
      <c r="R234" s="3">
        <v>266</v>
      </c>
    </row>
    <row r="235" spans="1:18" x14ac:dyDescent="0.3">
      <c r="A235" s="11" t="s">
        <v>261</v>
      </c>
      <c r="B235" s="7">
        <v>4080</v>
      </c>
      <c r="C235" s="7">
        <v>42.515999999999998</v>
      </c>
      <c r="D235" s="2">
        <f>C235-C233</f>
        <v>7.6000000000000512E-2</v>
      </c>
      <c r="E235" s="8">
        <f>E233+F235</f>
        <v>42.522913805272402</v>
      </c>
      <c r="F235" s="6">
        <f>P234</f>
        <v>7.5187969924812026E-2</v>
      </c>
      <c r="G235" s="12">
        <f t="shared" ref="G235" si="49">C235-E235</f>
        <v>-6.9138052724042609E-3</v>
      </c>
      <c r="H235" s="3">
        <f>B233</f>
        <v>4060</v>
      </c>
      <c r="I235" s="3">
        <f>B249</f>
        <v>4360</v>
      </c>
      <c r="J235" s="3">
        <f>I235-H235</f>
        <v>300</v>
      </c>
      <c r="K235" s="5">
        <f>E233</f>
        <v>42.44772583534759</v>
      </c>
      <c r="L235" s="3">
        <f>C249</f>
        <v>43.576000000000001</v>
      </c>
      <c r="M235" s="5">
        <f>L235-K235</f>
        <v>1.1282741646524101</v>
      </c>
      <c r="N235" s="3">
        <f>J235/M235</f>
        <v>265.89282055609385</v>
      </c>
      <c r="O235" s="3">
        <v>266</v>
      </c>
    </row>
    <row r="236" spans="1:18" x14ac:dyDescent="0.3">
      <c r="A236" s="11" t="s">
        <v>262</v>
      </c>
      <c r="B236" s="7">
        <v>4100</v>
      </c>
      <c r="C236" s="7">
        <v>42.582999999999998</v>
      </c>
      <c r="D236" s="2">
        <f t="shared" si="48"/>
        <v>6.7000000000000171E-2</v>
      </c>
      <c r="E236" s="8">
        <f t="shared" si="43"/>
        <v>42.598101775197215</v>
      </c>
      <c r="F236" s="6">
        <f t="shared" si="44"/>
        <v>7.5187969924812026E-2</v>
      </c>
      <c r="G236" s="12">
        <f t="shared" si="45"/>
        <v>-1.5101775197216227E-2</v>
      </c>
    </row>
    <row r="237" spans="1:18" x14ac:dyDescent="0.3">
      <c r="A237" s="11" t="s">
        <v>263</v>
      </c>
      <c r="B237" s="7">
        <v>4120</v>
      </c>
      <c r="C237" s="7">
        <v>42.646999999999998</v>
      </c>
      <c r="D237" s="2">
        <f t="shared" si="48"/>
        <v>6.4000000000000057E-2</v>
      </c>
      <c r="E237" s="8">
        <f t="shared" si="43"/>
        <v>42.673289745122027</v>
      </c>
      <c r="F237" s="6">
        <f t="shared" si="44"/>
        <v>7.5187969924812026E-2</v>
      </c>
      <c r="G237" s="12">
        <f t="shared" si="45"/>
        <v>-2.6289745122028307E-2</v>
      </c>
    </row>
    <row r="238" spans="1:18" x14ac:dyDescent="0.3">
      <c r="A238" s="11" t="s">
        <v>264</v>
      </c>
      <c r="B238" s="7">
        <v>4140</v>
      </c>
      <c r="C238" s="7">
        <v>42.723999999999997</v>
      </c>
      <c r="D238" s="2">
        <f t="shared" si="48"/>
        <v>7.6999999999998181E-2</v>
      </c>
      <c r="E238" s="8">
        <f t="shared" si="43"/>
        <v>42.748477715046839</v>
      </c>
      <c r="F238" s="6">
        <f t="shared" si="44"/>
        <v>7.5187969924812026E-2</v>
      </c>
      <c r="G238" s="12">
        <f t="shared" si="45"/>
        <v>-2.4477715046842263E-2</v>
      </c>
    </row>
    <row r="239" spans="1:18" x14ac:dyDescent="0.3">
      <c r="A239" s="11" t="s">
        <v>265</v>
      </c>
      <c r="B239" s="7">
        <v>4160</v>
      </c>
      <c r="C239" s="7">
        <v>42.817999999999998</v>
      </c>
      <c r="D239" s="2">
        <f t="shared" si="48"/>
        <v>9.4000000000001194E-2</v>
      </c>
      <c r="E239" s="8">
        <f t="shared" si="43"/>
        <v>42.823665684971651</v>
      </c>
      <c r="F239" s="6">
        <f t="shared" si="44"/>
        <v>7.5187969924812026E-2</v>
      </c>
      <c r="G239" s="12">
        <f t="shared" si="45"/>
        <v>-5.6656849716532065E-3</v>
      </c>
    </row>
    <row r="240" spans="1:18" x14ac:dyDescent="0.3">
      <c r="A240" s="11" t="s">
        <v>266</v>
      </c>
      <c r="B240" s="7">
        <v>4180</v>
      </c>
      <c r="C240" s="7">
        <v>42.935000000000002</v>
      </c>
      <c r="D240" s="2">
        <f t="shared" si="48"/>
        <v>0.11700000000000443</v>
      </c>
      <c r="E240" s="8">
        <f t="shared" si="43"/>
        <v>42.898853654896463</v>
      </c>
      <c r="F240" s="6">
        <f t="shared" si="44"/>
        <v>7.5187969924812026E-2</v>
      </c>
      <c r="G240" s="12">
        <f t="shared" si="45"/>
        <v>3.614634510353909E-2</v>
      </c>
    </row>
    <row r="241" spans="1:18" x14ac:dyDescent="0.3">
      <c r="A241" s="11" t="s">
        <v>267</v>
      </c>
      <c r="B241" s="7">
        <v>4200</v>
      </c>
      <c r="C241" s="7">
        <v>43.04</v>
      </c>
      <c r="D241" s="2">
        <f t="shared" si="48"/>
        <v>0.10499999999999687</v>
      </c>
      <c r="E241" s="8">
        <f t="shared" si="43"/>
        <v>42.974041624821275</v>
      </c>
      <c r="F241" s="6">
        <f t="shared" si="44"/>
        <v>7.5187969924812026E-2</v>
      </c>
      <c r="G241" s="12">
        <f t="shared" si="45"/>
        <v>6.5958375178723827E-2</v>
      </c>
    </row>
    <row r="242" spans="1:18" x14ac:dyDescent="0.3">
      <c r="A242" s="11" t="s">
        <v>268</v>
      </c>
      <c r="B242" s="7">
        <v>4220</v>
      </c>
      <c r="C242" s="7">
        <v>43.146999999999998</v>
      </c>
      <c r="D242" s="2">
        <f t="shared" si="48"/>
        <v>0.10699999999999932</v>
      </c>
      <c r="E242" s="8">
        <f t="shared" si="43"/>
        <v>43.049229594746087</v>
      </c>
      <c r="F242" s="6">
        <f t="shared" si="44"/>
        <v>7.5187969924812026E-2</v>
      </c>
      <c r="G242" s="12">
        <f t="shared" si="45"/>
        <v>9.7770405253911008E-2</v>
      </c>
    </row>
    <row r="243" spans="1:18" x14ac:dyDescent="0.3">
      <c r="A243" s="11" t="s">
        <v>269</v>
      </c>
      <c r="B243" s="7">
        <v>4240</v>
      </c>
      <c r="C243" s="7">
        <v>43.265999999999998</v>
      </c>
      <c r="D243" s="2">
        <f t="shared" si="48"/>
        <v>0.11899999999999977</v>
      </c>
      <c r="E243" s="8">
        <f t="shared" si="43"/>
        <v>43.1244175646709</v>
      </c>
      <c r="F243" s="6">
        <f t="shared" si="44"/>
        <v>7.5187969924812026E-2</v>
      </c>
      <c r="G243" s="12">
        <f t="shared" si="45"/>
        <v>0.14158243532909864</v>
      </c>
    </row>
    <row r="244" spans="1:18" x14ac:dyDescent="0.3">
      <c r="A244" s="11" t="s">
        <v>270</v>
      </c>
      <c r="B244" s="7">
        <v>4260</v>
      </c>
      <c r="C244" s="7">
        <v>43.344999999999999</v>
      </c>
      <c r="D244" s="2">
        <f t="shared" si="48"/>
        <v>7.9000000000000625E-2</v>
      </c>
      <c r="E244" s="8">
        <f t="shared" ref="E244:E254" si="50">E243+F243</f>
        <v>43.199605534595712</v>
      </c>
      <c r="F244" s="6">
        <f t="shared" ref="F244:F254" si="51">F243</f>
        <v>7.5187969924812026E-2</v>
      </c>
      <c r="G244" s="12">
        <f t="shared" ref="G244:G254" si="52">C244-E244</f>
        <v>0.14539446540428713</v>
      </c>
    </row>
    <row r="245" spans="1:18" x14ac:dyDescent="0.3">
      <c r="A245" s="11" t="s">
        <v>271</v>
      </c>
      <c r="B245" s="7">
        <v>4280</v>
      </c>
      <c r="C245" s="7">
        <v>43.392000000000003</v>
      </c>
      <c r="D245" s="2">
        <f t="shared" si="48"/>
        <v>4.700000000000415E-2</v>
      </c>
      <c r="E245" s="8">
        <f t="shared" si="50"/>
        <v>43.274793504520524</v>
      </c>
      <c r="F245" s="6">
        <f t="shared" si="51"/>
        <v>7.5187969924812026E-2</v>
      </c>
      <c r="G245" s="12">
        <f t="shared" si="52"/>
        <v>0.11720649547947914</v>
      </c>
    </row>
    <row r="246" spans="1:18" x14ac:dyDescent="0.3">
      <c r="A246" s="11" t="s">
        <v>272</v>
      </c>
      <c r="B246" s="7">
        <v>4300</v>
      </c>
      <c r="C246" s="7">
        <v>43.436999999999998</v>
      </c>
      <c r="D246" s="2">
        <f t="shared" si="48"/>
        <v>4.49999999999946E-2</v>
      </c>
      <c r="E246" s="8">
        <f t="shared" si="50"/>
        <v>43.349981474445336</v>
      </c>
      <c r="F246" s="6">
        <f t="shared" si="51"/>
        <v>7.5187969924812026E-2</v>
      </c>
      <c r="G246" s="12">
        <f t="shared" si="52"/>
        <v>8.7018525554661608E-2</v>
      </c>
    </row>
    <row r="247" spans="1:18" x14ac:dyDescent="0.3">
      <c r="A247" s="11" t="s">
        <v>273</v>
      </c>
      <c r="B247" s="7">
        <v>4320</v>
      </c>
      <c r="C247" s="7">
        <v>43.49</v>
      </c>
      <c r="D247" s="2">
        <f t="shared" si="48"/>
        <v>5.3000000000004377E-2</v>
      </c>
      <c r="E247" s="8">
        <f t="shared" si="50"/>
        <v>43.425169444370148</v>
      </c>
      <c r="F247" s="6">
        <f t="shared" si="51"/>
        <v>7.5187969924812026E-2</v>
      </c>
      <c r="G247" s="12">
        <f t="shared" si="52"/>
        <v>6.4830555629853848E-2</v>
      </c>
    </row>
    <row r="248" spans="1:18" x14ac:dyDescent="0.3">
      <c r="A248" s="11" t="s">
        <v>274</v>
      </c>
      <c r="B248" s="7">
        <v>4340</v>
      </c>
      <c r="C248" s="7">
        <v>43.537999999999997</v>
      </c>
      <c r="D248" s="2">
        <f t="shared" si="48"/>
        <v>4.7999999999994714E-2</v>
      </c>
      <c r="E248" s="8">
        <f t="shared" si="50"/>
        <v>43.50035741429496</v>
      </c>
      <c r="F248" s="6">
        <f t="shared" si="51"/>
        <v>7.5187969924812026E-2</v>
      </c>
      <c r="G248" s="12">
        <f t="shared" si="52"/>
        <v>3.7642585705036424E-2</v>
      </c>
    </row>
    <row r="249" spans="1:18" x14ac:dyDescent="0.3">
      <c r="A249" s="11" t="s">
        <v>275</v>
      </c>
      <c r="B249" s="7">
        <v>4360</v>
      </c>
      <c r="C249" s="7">
        <v>43.576000000000001</v>
      </c>
      <c r="D249" s="2">
        <f t="shared" si="48"/>
        <v>3.8000000000003809E-2</v>
      </c>
      <c r="E249" s="8">
        <f t="shared" si="50"/>
        <v>43.575545384219772</v>
      </c>
      <c r="F249" s="6">
        <f t="shared" si="51"/>
        <v>7.5187969924812026E-2</v>
      </c>
      <c r="G249" s="12">
        <f t="shared" si="52"/>
        <v>4.546157802280959E-4</v>
      </c>
    </row>
    <row r="250" spans="1:18" x14ac:dyDescent="0.3">
      <c r="A250" s="21"/>
      <c r="B250" s="22"/>
      <c r="C250" s="22"/>
      <c r="D250" s="22"/>
      <c r="E250" s="22"/>
      <c r="F250" s="22"/>
      <c r="G250" s="23"/>
      <c r="H250" s="4" t="s">
        <v>3474</v>
      </c>
      <c r="J250" s="4"/>
      <c r="O250" s="3">
        <f>1/O251</f>
        <v>2.4213075060532689E-3</v>
      </c>
      <c r="P250" s="3">
        <f>O250*20</f>
        <v>4.8426150121065381E-2</v>
      </c>
      <c r="Q250" s="3" t="s">
        <v>3202</v>
      </c>
      <c r="R250" s="3">
        <v>413</v>
      </c>
    </row>
    <row r="251" spans="1:18" x14ac:dyDescent="0.3">
      <c r="A251" s="11" t="s">
        <v>276</v>
      </c>
      <c r="B251" s="7">
        <v>4380</v>
      </c>
      <c r="C251" s="7">
        <v>43.587000000000003</v>
      </c>
      <c r="D251" s="2">
        <f>C251-C249</f>
        <v>1.1000000000002785E-2</v>
      </c>
      <c r="E251" s="8">
        <f>E249+F251</f>
        <v>43.623971534340839</v>
      </c>
      <c r="F251" s="6">
        <f>P250</f>
        <v>4.8426150121065381E-2</v>
      </c>
      <c r="G251" s="12">
        <f>C251-E251</f>
        <v>-3.6971534340835888E-2</v>
      </c>
      <c r="H251" s="3">
        <f>B249</f>
        <v>4360</v>
      </c>
      <c r="I251" s="3">
        <f>B277</f>
        <v>4900</v>
      </c>
      <c r="J251" s="3">
        <f>I251-H251</f>
        <v>540</v>
      </c>
      <c r="K251" s="5">
        <f>E249</f>
        <v>43.575545384219772</v>
      </c>
      <c r="L251" s="3">
        <f>C277</f>
        <v>44.881999999999998</v>
      </c>
      <c r="M251" s="5">
        <f>L251-K251</f>
        <v>1.3064546157802255</v>
      </c>
      <c r="N251" s="3">
        <f>J251/M251</f>
        <v>413.33238328949341</v>
      </c>
      <c r="O251" s="3">
        <v>413</v>
      </c>
    </row>
    <row r="252" spans="1:18" x14ac:dyDescent="0.3">
      <c r="A252" s="11" t="s">
        <v>277</v>
      </c>
      <c r="B252" s="7">
        <v>4400</v>
      </c>
      <c r="C252" s="7">
        <v>43.598999999999997</v>
      </c>
      <c r="D252" s="2">
        <f t="shared" si="48"/>
        <v>1.1999999999993349E-2</v>
      </c>
      <c r="E252" s="8">
        <f>E251+F251</f>
        <v>43.672397684461906</v>
      </c>
      <c r="F252" s="6">
        <f t="shared" ref="F252" si="53">F251</f>
        <v>4.8426150121065381E-2</v>
      </c>
      <c r="G252" s="12">
        <f t="shared" ref="G252" si="54">C252-E252</f>
        <v>-7.3397684461909307E-2</v>
      </c>
    </row>
    <row r="253" spans="1:18" x14ac:dyDescent="0.3">
      <c r="A253" s="11" t="s">
        <v>278</v>
      </c>
      <c r="B253" s="7">
        <v>4420</v>
      </c>
      <c r="C253" s="7">
        <v>43.627000000000002</v>
      </c>
      <c r="D253" s="2">
        <f t="shared" si="48"/>
        <v>2.8000000000005798E-2</v>
      </c>
      <c r="E253" s="8">
        <f t="shared" si="50"/>
        <v>43.720823834582973</v>
      </c>
      <c r="F253" s="6">
        <f t="shared" si="51"/>
        <v>4.8426150121065381E-2</v>
      </c>
      <c r="G253" s="12">
        <f t="shared" si="52"/>
        <v>-9.3823834582970278E-2</v>
      </c>
    </row>
    <row r="254" spans="1:18" x14ac:dyDescent="0.3">
      <c r="A254" s="11" t="s">
        <v>279</v>
      </c>
      <c r="B254" s="7">
        <v>4440</v>
      </c>
      <c r="C254" s="7">
        <v>43.658999999999999</v>
      </c>
      <c r="D254" s="2">
        <f t="shared" si="48"/>
        <v>3.1999999999996476E-2</v>
      </c>
      <c r="E254" s="8">
        <f t="shared" si="50"/>
        <v>43.769249984704039</v>
      </c>
      <c r="F254" s="6">
        <f t="shared" si="51"/>
        <v>4.8426150121065381E-2</v>
      </c>
      <c r="G254" s="12">
        <f t="shared" si="52"/>
        <v>-0.11024998470404057</v>
      </c>
    </row>
    <row r="255" spans="1:18" x14ac:dyDescent="0.3">
      <c r="A255" s="11" t="s">
        <v>280</v>
      </c>
      <c r="B255" s="7">
        <v>4460</v>
      </c>
      <c r="C255" s="7">
        <v>43.713999999999999</v>
      </c>
      <c r="D255" s="2">
        <f t="shared" si="48"/>
        <v>5.4999999999999716E-2</v>
      </c>
      <c r="E255" s="8">
        <f t="shared" ref="E255:E277" si="55">E254+F254</f>
        <v>43.817676134825106</v>
      </c>
      <c r="F255" s="6">
        <f t="shared" ref="F255:F273" si="56">F254</f>
        <v>4.8426150121065381E-2</v>
      </c>
      <c r="G255" s="12">
        <f t="shared" ref="G255:G273" si="57">C255-E255</f>
        <v>-0.10367613482510762</v>
      </c>
    </row>
    <row r="256" spans="1:18" x14ac:dyDescent="0.3">
      <c r="A256" s="11" t="s">
        <v>281</v>
      </c>
      <c r="B256" s="7">
        <v>4480</v>
      </c>
      <c r="C256" s="7">
        <v>43.771999999999998</v>
      </c>
      <c r="D256" s="2">
        <f t="shared" si="48"/>
        <v>5.7999999999999829E-2</v>
      </c>
      <c r="E256" s="8">
        <f t="shared" si="55"/>
        <v>43.866102284946173</v>
      </c>
      <c r="F256" s="6">
        <f t="shared" si="56"/>
        <v>4.8426150121065381E-2</v>
      </c>
      <c r="G256" s="12">
        <f t="shared" si="57"/>
        <v>-9.4102284946174564E-2</v>
      </c>
    </row>
    <row r="257" spans="1:13" x14ac:dyDescent="0.3">
      <c r="A257" s="11" t="s">
        <v>282</v>
      </c>
      <c r="B257" s="7">
        <v>4500</v>
      </c>
      <c r="C257" s="7">
        <v>43.805999999999997</v>
      </c>
      <c r="D257" s="2">
        <f t="shared" si="48"/>
        <v>3.399999999999892E-2</v>
      </c>
      <c r="E257" s="8">
        <f t="shared" si="55"/>
        <v>43.91452843506724</v>
      </c>
      <c r="F257" s="6">
        <f t="shared" si="56"/>
        <v>4.8426150121065381E-2</v>
      </c>
      <c r="G257" s="12">
        <f t="shared" si="57"/>
        <v>-0.10852843506724241</v>
      </c>
    </row>
    <row r="258" spans="1:13" x14ac:dyDescent="0.3">
      <c r="A258" s="11" t="s">
        <v>283</v>
      </c>
      <c r="B258" s="7">
        <v>4520</v>
      </c>
      <c r="C258" s="7">
        <v>43.826999999999998</v>
      </c>
      <c r="D258" s="2">
        <f t="shared" si="48"/>
        <v>2.1000000000000796E-2</v>
      </c>
      <c r="E258" s="8">
        <f t="shared" si="55"/>
        <v>43.962954585188307</v>
      </c>
      <c r="F258" s="6">
        <f t="shared" si="56"/>
        <v>4.8426150121065381E-2</v>
      </c>
      <c r="G258" s="12">
        <f t="shared" si="57"/>
        <v>-0.13595458518830839</v>
      </c>
    </row>
    <row r="259" spans="1:13" x14ac:dyDescent="0.3">
      <c r="A259" s="11" t="s">
        <v>284</v>
      </c>
      <c r="B259" s="7">
        <v>4540</v>
      </c>
      <c r="C259" s="7">
        <v>43.860999999999997</v>
      </c>
      <c r="D259" s="2">
        <f t="shared" si="48"/>
        <v>3.399999999999892E-2</v>
      </c>
      <c r="E259" s="8">
        <f t="shared" si="55"/>
        <v>44.011380735309373</v>
      </c>
      <c r="F259" s="6">
        <f t="shared" si="56"/>
        <v>4.8426150121065381E-2</v>
      </c>
      <c r="G259" s="12">
        <f t="shared" si="57"/>
        <v>-0.15038073530937623</v>
      </c>
    </row>
    <row r="260" spans="1:13" x14ac:dyDescent="0.3">
      <c r="A260" s="11" t="s">
        <v>285</v>
      </c>
      <c r="B260" s="7">
        <v>4560</v>
      </c>
      <c r="C260" s="7">
        <v>43.905999999999999</v>
      </c>
      <c r="D260" s="2">
        <f t="shared" si="48"/>
        <v>4.5000000000001705E-2</v>
      </c>
      <c r="E260" s="8">
        <f t="shared" si="55"/>
        <v>44.05980688543044</v>
      </c>
      <c r="F260" s="6">
        <f t="shared" si="56"/>
        <v>4.8426150121065381E-2</v>
      </c>
      <c r="G260" s="12">
        <f t="shared" si="57"/>
        <v>-0.1538068854304413</v>
      </c>
    </row>
    <row r="261" spans="1:13" x14ac:dyDescent="0.3">
      <c r="A261" s="11" t="s">
        <v>286</v>
      </c>
      <c r="B261" s="7">
        <v>4580</v>
      </c>
      <c r="C261" s="7">
        <v>43.95</v>
      </c>
      <c r="D261" s="2">
        <f t="shared" si="48"/>
        <v>4.4000000000004036E-2</v>
      </c>
      <c r="E261" s="8">
        <f t="shared" si="55"/>
        <v>44.108233035551507</v>
      </c>
      <c r="F261" s="6">
        <f t="shared" si="56"/>
        <v>4.8426150121065381E-2</v>
      </c>
      <c r="G261" s="12">
        <f t="shared" si="57"/>
        <v>-0.15823303555150403</v>
      </c>
    </row>
    <row r="262" spans="1:13" x14ac:dyDescent="0.3">
      <c r="A262" s="11" t="s">
        <v>287</v>
      </c>
      <c r="B262" s="7">
        <v>4600</v>
      </c>
      <c r="C262" s="7">
        <v>43.984000000000002</v>
      </c>
      <c r="D262" s="2">
        <f t="shared" si="48"/>
        <v>3.399999999999892E-2</v>
      </c>
      <c r="E262" s="8">
        <f t="shared" si="55"/>
        <v>44.156659185672574</v>
      </c>
      <c r="F262" s="6">
        <f t="shared" si="56"/>
        <v>4.8426150121065381E-2</v>
      </c>
      <c r="G262" s="12">
        <f t="shared" si="57"/>
        <v>-0.17265918567257188</v>
      </c>
    </row>
    <row r="263" spans="1:13" x14ac:dyDescent="0.3">
      <c r="A263" s="11" t="s">
        <v>288</v>
      </c>
      <c r="B263" s="7">
        <v>4620</v>
      </c>
      <c r="C263" s="7">
        <v>44.045999999999999</v>
      </c>
      <c r="D263" s="2">
        <f t="shared" si="48"/>
        <v>6.1999999999997613E-2</v>
      </c>
      <c r="E263" s="8">
        <f t="shared" si="55"/>
        <v>44.20508533579364</v>
      </c>
      <c r="F263" s="6">
        <f t="shared" si="56"/>
        <v>4.8426150121065381E-2</v>
      </c>
      <c r="G263" s="12">
        <f t="shared" si="57"/>
        <v>-0.15908533579364104</v>
      </c>
    </row>
    <row r="264" spans="1:13" x14ac:dyDescent="0.3">
      <c r="A264" s="11" t="s">
        <v>289</v>
      </c>
      <c r="B264" s="7">
        <v>4640</v>
      </c>
      <c r="C264" s="7">
        <v>44.122999999999998</v>
      </c>
      <c r="D264" s="2">
        <f t="shared" si="48"/>
        <v>7.6999999999998181E-2</v>
      </c>
      <c r="E264" s="8">
        <f t="shared" si="55"/>
        <v>44.253511485914707</v>
      </c>
      <c r="F264" s="6">
        <f t="shared" si="56"/>
        <v>4.8426150121065381E-2</v>
      </c>
      <c r="G264" s="12">
        <f t="shared" si="57"/>
        <v>-0.13051148591470962</v>
      </c>
    </row>
    <row r="265" spans="1:13" x14ac:dyDescent="0.3">
      <c r="A265" s="11" t="s">
        <v>290</v>
      </c>
      <c r="B265" s="7">
        <v>4660</v>
      </c>
      <c r="C265" s="7">
        <v>44.222000000000001</v>
      </c>
      <c r="D265" s="2">
        <f t="shared" si="48"/>
        <v>9.9000000000003752E-2</v>
      </c>
      <c r="E265" s="8">
        <f t="shared" si="55"/>
        <v>44.301937636035774</v>
      </c>
      <c r="F265" s="6">
        <f t="shared" si="56"/>
        <v>4.8426150121065381E-2</v>
      </c>
      <c r="G265" s="12">
        <f t="shared" si="57"/>
        <v>-7.9937636035772641E-2</v>
      </c>
    </row>
    <row r="266" spans="1:13" x14ac:dyDescent="0.3">
      <c r="A266" s="11" t="s">
        <v>291</v>
      </c>
      <c r="B266" s="7">
        <v>4680</v>
      </c>
      <c r="C266" s="7">
        <v>44.328000000000003</v>
      </c>
      <c r="D266" s="2">
        <f t="shared" si="48"/>
        <v>0.10600000000000165</v>
      </c>
      <c r="E266" s="8">
        <f t="shared" si="55"/>
        <v>44.350363786156841</v>
      </c>
      <c r="F266" s="6">
        <f t="shared" si="56"/>
        <v>4.8426150121065381E-2</v>
      </c>
      <c r="G266" s="12">
        <f t="shared" si="57"/>
        <v>-2.2363786156837762E-2</v>
      </c>
    </row>
    <row r="267" spans="1:13" x14ac:dyDescent="0.3">
      <c r="A267" s="11" t="s">
        <v>292</v>
      </c>
      <c r="B267" s="7">
        <v>4700</v>
      </c>
      <c r="C267" s="7">
        <v>44.433</v>
      </c>
      <c r="D267" s="2">
        <f>C267-C266</f>
        <v>0.10499999999999687</v>
      </c>
      <c r="E267" s="8">
        <f t="shared" si="55"/>
        <v>44.398789936277907</v>
      </c>
      <c r="F267" s="6">
        <f>F266</f>
        <v>4.8426150121065381E-2</v>
      </c>
      <c r="G267" s="12">
        <f>C267-E267</f>
        <v>3.4210063722092343E-2</v>
      </c>
      <c r="K267" s="5"/>
      <c r="M267" s="5"/>
    </row>
    <row r="268" spans="1:13" x14ac:dyDescent="0.3">
      <c r="A268" s="11" t="s">
        <v>293</v>
      </c>
      <c r="B268" s="7">
        <v>4720</v>
      </c>
      <c r="C268" s="7">
        <v>44.542999999999999</v>
      </c>
      <c r="D268" s="2">
        <f t="shared" si="48"/>
        <v>0.10999999999999943</v>
      </c>
      <c r="E268" s="8">
        <f t="shared" si="55"/>
        <v>44.447216086398974</v>
      </c>
      <c r="F268" s="6">
        <f t="shared" ref="F268" si="58">F267</f>
        <v>4.8426150121065381E-2</v>
      </c>
      <c r="G268" s="12">
        <f t="shared" ref="G268" si="59">C268-E268</f>
        <v>9.5783913601025006E-2</v>
      </c>
    </row>
    <row r="269" spans="1:13" x14ac:dyDescent="0.3">
      <c r="A269" s="11" t="s">
        <v>294</v>
      </c>
      <c r="B269" s="7">
        <v>4740</v>
      </c>
      <c r="C269" s="7">
        <v>44.634</v>
      </c>
      <c r="D269" s="2">
        <f t="shared" si="48"/>
        <v>9.100000000000108E-2</v>
      </c>
      <c r="E269" s="8">
        <f t="shared" si="55"/>
        <v>44.495642236520041</v>
      </c>
      <c r="F269" s="6">
        <f t="shared" si="56"/>
        <v>4.8426150121065381E-2</v>
      </c>
      <c r="G269" s="12">
        <f t="shared" si="57"/>
        <v>0.13835776347995932</v>
      </c>
    </row>
    <row r="270" spans="1:13" x14ac:dyDescent="0.3">
      <c r="A270" s="11" t="s">
        <v>295</v>
      </c>
      <c r="B270" s="7">
        <v>4760</v>
      </c>
      <c r="C270" s="7">
        <v>44.698999999999998</v>
      </c>
      <c r="D270" s="2">
        <f t="shared" si="48"/>
        <v>6.4999999999997726E-2</v>
      </c>
      <c r="E270" s="8">
        <f t="shared" si="55"/>
        <v>44.544068386641108</v>
      </c>
      <c r="F270" s="6">
        <f t="shared" si="56"/>
        <v>4.8426150121065381E-2</v>
      </c>
      <c r="G270" s="12">
        <f t="shared" si="57"/>
        <v>0.15493161335889027</v>
      </c>
    </row>
    <row r="271" spans="1:13" x14ac:dyDescent="0.3">
      <c r="A271" s="11" t="s">
        <v>296</v>
      </c>
      <c r="B271" s="7">
        <v>4780</v>
      </c>
      <c r="C271" s="7">
        <v>44.738999999999997</v>
      </c>
      <c r="D271" s="2">
        <f t="shared" si="48"/>
        <v>3.9999999999999147E-2</v>
      </c>
      <c r="E271" s="8">
        <f t="shared" si="55"/>
        <v>44.592494536762175</v>
      </c>
      <c r="F271" s="6">
        <f t="shared" si="56"/>
        <v>4.8426150121065381E-2</v>
      </c>
      <c r="G271" s="12">
        <f t="shared" si="57"/>
        <v>0.14650546323782265</v>
      </c>
    </row>
    <row r="272" spans="1:13" x14ac:dyDescent="0.3">
      <c r="A272" s="11" t="s">
        <v>297</v>
      </c>
      <c r="B272" s="7">
        <v>4800</v>
      </c>
      <c r="C272" s="7">
        <v>44.76</v>
      </c>
      <c r="D272" s="2">
        <f t="shared" si="48"/>
        <v>2.1000000000000796E-2</v>
      </c>
      <c r="E272" s="8">
        <f t="shared" si="55"/>
        <v>44.640920686883241</v>
      </c>
      <c r="F272" s="6">
        <f t="shared" si="56"/>
        <v>4.8426150121065381E-2</v>
      </c>
      <c r="G272" s="12">
        <f t="shared" si="57"/>
        <v>0.11907931311675668</v>
      </c>
    </row>
    <row r="273" spans="1:18" x14ac:dyDescent="0.3">
      <c r="A273" s="11" t="s">
        <v>298</v>
      </c>
      <c r="B273" s="7">
        <v>4820</v>
      </c>
      <c r="C273" s="7">
        <v>44.781999999999996</v>
      </c>
      <c r="D273" s="2">
        <f t="shared" si="48"/>
        <v>2.1999999999998465E-2</v>
      </c>
      <c r="E273" s="8">
        <f t="shared" si="55"/>
        <v>44.689346837004308</v>
      </c>
      <c r="F273" s="6">
        <f t="shared" si="56"/>
        <v>4.8426150121065381E-2</v>
      </c>
      <c r="G273" s="12">
        <f t="shared" si="57"/>
        <v>9.2653162995688376E-2</v>
      </c>
    </row>
    <row r="274" spans="1:18" x14ac:dyDescent="0.3">
      <c r="A274" s="11" t="s">
        <v>299</v>
      </c>
      <c r="B274" s="7">
        <v>4840</v>
      </c>
      <c r="C274" s="7">
        <v>44.81</v>
      </c>
      <c r="D274" s="2">
        <f t="shared" si="48"/>
        <v>2.8000000000005798E-2</v>
      </c>
      <c r="E274" s="8">
        <f t="shared" si="55"/>
        <v>44.737772987125375</v>
      </c>
      <c r="F274" s="6">
        <f t="shared" ref="F274:F308" si="60">F273</f>
        <v>4.8426150121065381E-2</v>
      </c>
      <c r="G274" s="12">
        <f t="shared" ref="G274:G308" si="61">C274-E274</f>
        <v>7.2227012874627405E-2</v>
      </c>
    </row>
    <row r="275" spans="1:18" x14ac:dyDescent="0.3">
      <c r="A275" s="11" t="s">
        <v>300</v>
      </c>
      <c r="B275" s="7">
        <v>4860</v>
      </c>
      <c r="C275" s="7">
        <v>44.823999999999998</v>
      </c>
      <c r="D275" s="2">
        <f t="shared" si="48"/>
        <v>1.3999999999995794E-2</v>
      </c>
      <c r="E275" s="8">
        <f t="shared" si="55"/>
        <v>44.786199137246442</v>
      </c>
      <c r="F275" s="6">
        <f t="shared" si="60"/>
        <v>4.8426150121065381E-2</v>
      </c>
      <c r="G275" s="12">
        <f t="shared" si="61"/>
        <v>3.780086275355643E-2</v>
      </c>
    </row>
    <row r="276" spans="1:18" x14ac:dyDescent="0.3">
      <c r="A276" s="11" t="s">
        <v>301</v>
      </c>
      <c r="B276" s="7">
        <v>4880</v>
      </c>
      <c r="C276" s="7">
        <v>44.853000000000002</v>
      </c>
      <c r="D276" s="2">
        <f t="shared" si="48"/>
        <v>2.9000000000003467E-2</v>
      </c>
      <c r="E276" s="8">
        <f t="shared" si="55"/>
        <v>44.834625287367508</v>
      </c>
      <c r="F276" s="6">
        <f t="shared" si="60"/>
        <v>4.8426150121065381E-2</v>
      </c>
      <c r="G276" s="12">
        <f t="shared" si="61"/>
        <v>1.8374712632493129E-2</v>
      </c>
    </row>
    <row r="277" spans="1:18" x14ac:dyDescent="0.3">
      <c r="A277" s="11" t="s">
        <v>302</v>
      </c>
      <c r="B277" s="7">
        <v>4900</v>
      </c>
      <c r="C277" s="7">
        <v>44.881999999999998</v>
      </c>
      <c r="D277" s="2">
        <f t="shared" si="48"/>
        <v>2.8999999999996362E-2</v>
      </c>
      <c r="E277" s="8">
        <f t="shared" si="55"/>
        <v>44.883051437488575</v>
      </c>
      <c r="F277" s="6">
        <f t="shared" si="60"/>
        <v>4.8426150121065381E-2</v>
      </c>
      <c r="G277" s="12">
        <f t="shared" si="61"/>
        <v>-1.0514374885772781E-3</v>
      </c>
    </row>
    <row r="278" spans="1:18" x14ac:dyDescent="0.3">
      <c r="A278" s="21"/>
      <c r="B278" s="22"/>
      <c r="C278" s="22"/>
      <c r="D278" s="22"/>
      <c r="E278" s="22"/>
      <c r="F278" s="22"/>
      <c r="G278" s="23"/>
      <c r="H278" s="4" t="s">
        <v>3475</v>
      </c>
      <c r="J278" s="4"/>
      <c r="O278" s="3">
        <f>1/O279</f>
        <v>1.1876484560570072E-3</v>
      </c>
      <c r="P278" s="3">
        <f>O278*20</f>
        <v>2.3752969121140145E-2</v>
      </c>
      <c r="Q278" s="3" t="s">
        <v>3202</v>
      </c>
      <c r="R278" s="3">
        <v>842</v>
      </c>
    </row>
    <row r="279" spans="1:18" x14ac:dyDescent="0.3">
      <c r="A279" s="11" t="s">
        <v>303</v>
      </c>
      <c r="B279" s="7">
        <v>4920</v>
      </c>
      <c r="C279" s="7">
        <v>44.896000000000001</v>
      </c>
      <c r="D279" s="2">
        <f>C279-C277</f>
        <v>1.4000000000002899E-2</v>
      </c>
      <c r="E279" s="8">
        <f>E277+F279</f>
        <v>44.906804406609716</v>
      </c>
      <c r="F279" s="6">
        <f>P278</f>
        <v>2.3752969121140145E-2</v>
      </c>
      <c r="G279" s="12">
        <f>C279-E279</f>
        <v>-1.0804406609715045E-2</v>
      </c>
      <c r="H279" s="3">
        <f>B277</f>
        <v>4900</v>
      </c>
      <c r="I279" s="3">
        <f>B308</f>
        <v>5480</v>
      </c>
      <c r="J279" s="3">
        <f>I279-H279</f>
        <v>580</v>
      </c>
      <c r="K279" s="5">
        <f>E277</f>
        <v>44.883051437488575</v>
      </c>
      <c r="L279" s="3">
        <f>C308</f>
        <v>45.572000000000003</v>
      </c>
      <c r="M279" s="5">
        <f>L279-K279</f>
        <v>0.68894856251142755</v>
      </c>
      <c r="N279" s="3">
        <f>J279/M279</f>
        <v>841.86255921011457</v>
      </c>
      <c r="O279" s="3">
        <v>842</v>
      </c>
    </row>
    <row r="280" spans="1:18" x14ac:dyDescent="0.3">
      <c r="A280" s="11" t="s">
        <v>304</v>
      </c>
      <c r="B280" s="7">
        <v>4940</v>
      </c>
      <c r="C280" s="7">
        <v>44.930999999999997</v>
      </c>
      <c r="D280" s="2">
        <f t="shared" si="48"/>
        <v>3.4999999999996589E-2</v>
      </c>
      <c r="E280" s="8">
        <f>E279+F279</f>
        <v>44.930557375730857</v>
      </c>
      <c r="F280" s="6">
        <f t="shared" ref="F280" si="62">F279</f>
        <v>2.3752969121140145E-2</v>
      </c>
      <c r="G280" s="12">
        <f t="shared" ref="G280" si="63">C280-E280</f>
        <v>4.4262426914087882E-4</v>
      </c>
    </row>
    <row r="281" spans="1:18" x14ac:dyDescent="0.3">
      <c r="A281" s="11" t="s">
        <v>305</v>
      </c>
      <c r="B281" s="7">
        <v>4960</v>
      </c>
      <c r="C281" s="7">
        <v>44.994999999999997</v>
      </c>
      <c r="D281" s="2">
        <f t="shared" si="48"/>
        <v>6.4000000000000057E-2</v>
      </c>
      <c r="E281" s="8">
        <f t="shared" ref="E281:E308" si="64">E280+F280</f>
        <v>44.954310344851997</v>
      </c>
      <c r="F281" s="6">
        <f t="shared" si="60"/>
        <v>2.3752969121140145E-2</v>
      </c>
      <c r="G281" s="12">
        <f t="shared" si="61"/>
        <v>4.068965514800027E-2</v>
      </c>
    </row>
    <row r="282" spans="1:18" x14ac:dyDescent="0.3">
      <c r="A282" s="13" t="s">
        <v>306</v>
      </c>
      <c r="B282" s="24"/>
      <c r="C282" s="25"/>
      <c r="D282" s="25"/>
      <c r="E282" s="25"/>
      <c r="F282" s="25"/>
      <c r="G282" s="26"/>
    </row>
    <row r="283" spans="1:18" x14ac:dyDescent="0.3">
      <c r="A283" s="11" t="s">
        <v>307</v>
      </c>
      <c r="B283" s="7">
        <v>4980</v>
      </c>
      <c r="C283" s="7">
        <v>45.037999999999997</v>
      </c>
      <c r="D283" s="2">
        <f>C283-C281</f>
        <v>4.2999999999999261E-2</v>
      </c>
      <c r="E283" s="8">
        <f>E281+F281</f>
        <v>44.978063313973138</v>
      </c>
      <c r="F283" s="6">
        <f>F281</f>
        <v>2.3752969121140145E-2</v>
      </c>
      <c r="G283" s="12">
        <f t="shared" si="61"/>
        <v>5.9936686026858865E-2</v>
      </c>
    </row>
    <row r="284" spans="1:18" x14ac:dyDescent="0.3">
      <c r="A284" s="11" t="s">
        <v>308</v>
      </c>
      <c r="B284" s="7">
        <v>5000</v>
      </c>
      <c r="C284" s="7">
        <v>45.067999999999998</v>
      </c>
      <c r="D284" s="2">
        <f t="shared" si="48"/>
        <v>3.0000000000001137E-2</v>
      </c>
      <c r="E284" s="8">
        <f t="shared" si="64"/>
        <v>45.001816283094279</v>
      </c>
      <c r="F284" s="6">
        <f t="shared" si="60"/>
        <v>2.3752969121140145E-2</v>
      </c>
      <c r="G284" s="12">
        <f t="shared" si="61"/>
        <v>6.6183716905719336E-2</v>
      </c>
    </row>
    <row r="285" spans="1:18" x14ac:dyDescent="0.3">
      <c r="A285" s="11" t="s">
        <v>309</v>
      </c>
      <c r="B285" s="7">
        <v>5020</v>
      </c>
      <c r="C285" s="7">
        <v>45.094000000000001</v>
      </c>
      <c r="D285" s="2">
        <f t="shared" si="48"/>
        <v>2.6000000000003354E-2</v>
      </c>
      <c r="E285" s="8">
        <f t="shared" si="64"/>
        <v>45.025569252215419</v>
      </c>
      <c r="F285" s="6">
        <f t="shared" si="60"/>
        <v>2.3752969121140145E-2</v>
      </c>
      <c r="G285" s="12">
        <f t="shared" si="61"/>
        <v>6.8430747784582024E-2</v>
      </c>
    </row>
    <row r="286" spans="1:18" x14ac:dyDescent="0.3">
      <c r="A286" s="11" t="s">
        <v>310</v>
      </c>
      <c r="B286" s="7">
        <v>5040</v>
      </c>
      <c r="C286" s="7">
        <v>45.119</v>
      </c>
      <c r="D286" s="2">
        <f t="shared" si="48"/>
        <v>2.4999999999998579E-2</v>
      </c>
      <c r="E286" s="8">
        <f t="shared" si="64"/>
        <v>45.04932222133656</v>
      </c>
      <c r="F286" s="6">
        <f t="shared" si="60"/>
        <v>2.3752969121140145E-2</v>
      </c>
      <c r="G286" s="12">
        <f t="shared" si="61"/>
        <v>6.9677778663439938E-2</v>
      </c>
    </row>
    <row r="287" spans="1:18" x14ac:dyDescent="0.3">
      <c r="A287" s="11" t="s">
        <v>311</v>
      </c>
      <c r="B287" s="7">
        <v>5060</v>
      </c>
      <c r="C287" s="7">
        <v>45.146999999999998</v>
      </c>
      <c r="D287" s="2">
        <f t="shared" si="48"/>
        <v>2.7999999999998693E-2</v>
      </c>
      <c r="E287" s="8">
        <f t="shared" si="64"/>
        <v>45.073075190457701</v>
      </c>
      <c r="F287" s="6">
        <f t="shared" si="60"/>
        <v>2.3752969121140145E-2</v>
      </c>
      <c r="G287" s="12">
        <f t="shared" si="61"/>
        <v>7.3924809542297965E-2</v>
      </c>
    </row>
    <row r="288" spans="1:18" x14ac:dyDescent="0.3">
      <c r="A288" s="11" t="s">
        <v>312</v>
      </c>
      <c r="B288" s="7">
        <v>5080</v>
      </c>
      <c r="C288" s="7">
        <v>45.155000000000001</v>
      </c>
      <c r="D288" s="2">
        <f t="shared" si="48"/>
        <v>8.0000000000026716E-3</v>
      </c>
      <c r="E288" s="8">
        <f t="shared" si="64"/>
        <v>45.096828159578841</v>
      </c>
      <c r="F288" s="6">
        <f t="shared" si="60"/>
        <v>2.3752969121140145E-2</v>
      </c>
      <c r="G288" s="12">
        <f t="shared" si="61"/>
        <v>5.817184042115997E-2</v>
      </c>
    </row>
    <row r="289" spans="1:7" x14ac:dyDescent="0.3">
      <c r="A289" s="11" t="s">
        <v>313</v>
      </c>
      <c r="B289" s="7">
        <v>5100</v>
      </c>
      <c r="C289" s="7">
        <v>45.165999999999997</v>
      </c>
      <c r="D289" s="2">
        <f t="shared" si="48"/>
        <v>1.099999999999568E-2</v>
      </c>
      <c r="E289" s="8">
        <f t="shared" si="64"/>
        <v>45.120581128699982</v>
      </c>
      <c r="F289" s="6">
        <f t="shared" si="60"/>
        <v>2.3752969121140145E-2</v>
      </c>
      <c r="G289" s="12">
        <f t="shared" si="61"/>
        <v>4.5418871300014985E-2</v>
      </c>
    </row>
    <row r="290" spans="1:7" x14ac:dyDescent="0.3">
      <c r="A290" s="11" t="s">
        <v>314</v>
      </c>
      <c r="B290" s="7">
        <v>5120</v>
      </c>
      <c r="C290" s="7">
        <v>45.173000000000002</v>
      </c>
      <c r="D290" s="2">
        <f t="shared" si="48"/>
        <v>7.0000000000050022E-3</v>
      </c>
      <c r="E290" s="8">
        <f t="shared" si="64"/>
        <v>45.144334097821122</v>
      </c>
      <c r="F290" s="6">
        <f t="shared" si="60"/>
        <v>2.3752969121140145E-2</v>
      </c>
      <c r="G290" s="12">
        <f t="shared" si="61"/>
        <v>2.8665902178879321E-2</v>
      </c>
    </row>
    <row r="291" spans="1:7" x14ac:dyDescent="0.3">
      <c r="A291" s="11" t="s">
        <v>315</v>
      </c>
      <c r="B291" s="7">
        <v>5140</v>
      </c>
      <c r="C291" s="7">
        <v>45.18</v>
      </c>
      <c r="D291" s="2">
        <f t="shared" si="48"/>
        <v>6.9999999999978968E-3</v>
      </c>
      <c r="E291" s="8">
        <f t="shared" si="64"/>
        <v>45.168087066942263</v>
      </c>
      <c r="F291" s="6">
        <f t="shared" si="60"/>
        <v>2.3752969121140145E-2</v>
      </c>
      <c r="G291" s="12">
        <f t="shared" si="61"/>
        <v>1.1912933057736552E-2</v>
      </c>
    </row>
    <row r="292" spans="1:7" x14ac:dyDescent="0.3">
      <c r="A292" s="11" t="s">
        <v>316</v>
      </c>
      <c r="B292" s="7">
        <v>5160</v>
      </c>
      <c r="C292" s="7">
        <v>45.19</v>
      </c>
      <c r="D292" s="2">
        <f t="shared" ref="D292:D358" si="65">C292-C291</f>
        <v>9.9999999999980105E-3</v>
      </c>
      <c r="E292" s="8">
        <f t="shared" si="64"/>
        <v>45.191840036063404</v>
      </c>
      <c r="F292" s="6">
        <f t="shared" si="60"/>
        <v>2.3752969121140145E-2</v>
      </c>
      <c r="G292" s="12">
        <f t="shared" si="61"/>
        <v>-1.840036063406103E-3</v>
      </c>
    </row>
    <row r="293" spans="1:7" x14ac:dyDescent="0.3">
      <c r="A293" s="11" t="s">
        <v>317</v>
      </c>
      <c r="B293" s="7">
        <v>5180</v>
      </c>
      <c r="C293" s="7">
        <v>45.197000000000003</v>
      </c>
      <c r="D293" s="2">
        <f t="shared" si="65"/>
        <v>7.0000000000050022E-3</v>
      </c>
      <c r="E293" s="8">
        <f t="shared" si="64"/>
        <v>45.215593005184544</v>
      </c>
      <c r="F293" s="6">
        <f t="shared" si="60"/>
        <v>2.3752969121140145E-2</v>
      </c>
      <c r="G293" s="12">
        <f t="shared" si="61"/>
        <v>-1.8593005184541767E-2</v>
      </c>
    </row>
    <row r="294" spans="1:7" x14ac:dyDescent="0.3">
      <c r="A294" s="11" t="s">
        <v>318</v>
      </c>
      <c r="B294" s="7">
        <v>5200</v>
      </c>
      <c r="C294" s="7">
        <v>45.220999999999997</v>
      </c>
      <c r="D294" s="2">
        <f t="shared" si="65"/>
        <v>2.3999999999993804E-2</v>
      </c>
      <c r="E294" s="8">
        <f t="shared" si="64"/>
        <v>45.239345974305685</v>
      </c>
      <c r="F294" s="6">
        <f t="shared" si="60"/>
        <v>2.3752969121140145E-2</v>
      </c>
      <c r="G294" s="12">
        <f t="shared" si="61"/>
        <v>-1.8345974305688628E-2</v>
      </c>
    </row>
    <row r="295" spans="1:7" x14ac:dyDescent="0.3">
      <c r="A295" s="11" t="s">
        <v>319</v>
      </c>
      <c r="B295" s="7">
        <v>5220</v>
      </c>
      <c r="C295" s="7">
        <v>45.261000000000003</v>
      </c>
      <c r="D295" s="2">
        <f t="shared" si="65"/>
        <v>4.0000000000006253E-2</v>
      </c>
      <c r="E295" s="8">
        <f t="shared" si="64"/>
        <v>45.263098943426826</v>
      </c>
      <c r="F295" s="6">
        <f t="shared" si="60"/>
        <v>2.3752969121140145E-2</v>
      </c>
      <c r="G295" s="12">
        <f t="shared" si="61"/>
        <v>-2.0989434268230411E-3</v>
      </c>
    </row>
    <row r="296" spans="1:7" x14ac:dyDescent="0.3">
      <c r="A296" s="11" t="s">
        <v>320</v>
      </c>
      <c r="B296" s="7">
        <v>5240</v>
      </c>
      <c r="C296" s="7">
        <v>45.290999999999997</v>
      </c>
      <c r="D296" s="2">
        <f t="shared" si="65"/>
        <v>2.9999999999994031E-2</v>
      </c>
      <c r="E296" s="8">
        <f t="shared" si="64"/>
        <v>45.286851912547966</v>
      </c>
      <c r="F296" s="6">
        <f t="shared" si="60"/>
        <v>2.3752969121140145E-2</v>
      </c>
      <c r="G296" s="12">
        <f t="shared" si="61"/>
        <v>4.1480874520303246E-3</v>
      </c>
    </row>
    <row r="297" spans="1:7" x14ac:dyDescent="0.3">
      <c r="A297" s="11" t="s">
        <v>321</v>
      </c>
      <c r="B297" s="7">
        <v>5260</v>
      </c>
      <c r="C297" s="7">
        <v>45.307000000000002</v>
      </c>
      <c r="D297" s="2">
        <f t="shared" si="65"/>
        <v>1.6000000000005343E-2</v>
      </c>
      <c r="E297" s="8">
        <f t="shared" si="64"/>
        <v>45.310604881669107</v>
      </c>
      <c r="F297" s="6">
        <f t="shared" si="60"/>
        <v>2.3752969121140145E-2</v>
      </c>
      <c r="G297" s="12">
        <f t="shared" si="61"/>
        <v>-3.6048816691049979E-3</v>
      </c>
    </row>
    <row r="298" spans="1:7" x14ac:dyDescent="0.3">
      <c r="A298" s="11" t="s">
        <v>322</v>
      </c>
      <c r="B298" s="7">
        <v>5280</v>
      </c>
      <c r="C298" s="7">
        <v>45.329000000000001</v>
      </c>
      <c r="D298" s="2">
        <f t="shared" si="65"/>
        <v>2.1999999999998465E-2</v>
      </c>
      <c r="E298" s="8">
        <f t="shared" si="64"/>
        <v>45.334357850790248</v>
      </c>
      <c r="F298" s="6">
        <f t="shared" si="60"/>
        <v>2.3752969121140145E-2</v>
      </c>
      <c r="G298" s="12">
        <f t="shared" si="61"/>
        <v>-5.3578507902471983E-3</v>
      </c>
    </row>
    <row r="299" spans="1:7" x14ac:dyDescent="0.3">
      <c r="A299" s="11" t="s">
        <v>323</v>
      </c>
      <c r="B299" s="7">
        <v>5300</v>
      </c>
      <c r="C299" s="7">
        <v>45.341000000000001</v>
      </c>
      <c r="D299" s="2">
        <f t="shared" si="65"/>
        <v>1.2000000000000455E-2</v>
      </c>
      <c r="E299" s="8">
        <f t="shared" si="64"/>
        <v>45.358110819911388</v>
      </c>
      <c r="F299" s="6">
        <f t="shared" si="60"/>
        <v>2.3752969121140145E-2</v>
      </c>
      <c r="G299" s="12">
        <f t="shared" si="61"/>
        <v>-1.7110819911387409E-2</v>
      </c>
    </row>
    <row r="300" spans="1:7" x14ac:dyDescent="0.3">
      <c r="A300" s="11" t="s">
        <v>324</v>
      </c>
      <c r="B300" s="7">
        <v>5320</v>
      </c>
      <c r="C300" s="7">
        <v>45.322000000000003</v>
      </c>
      <c r="D300" s="2">
        <f t="shared" si="65"/>
        <v>-1.8999999999998352E-2</v>
      </c>
      <c r="E300" s="8">
        <f t="shared" si="64"/>
        <v>45.381863789032529</v>
      </c>
      <c r="F300" s="6">
        <f t="shared" si="60"/>
        <v>2.3752969121140145E-2</v>
      </c>
      <c r="G300" s="12">
        <f t="shared" si="61"/>
        <v>-5.9863789032526427E-2</v>
      </c>
    </row>
    <row r="301" spans="1:7" x14ac:dyDescent="0.3">
      <c r="A301" s="11" t="s">
        <v>325</v>
      </c>
      <c r="B301" s="7">
        <v>5340</v>
      </c>
      <c r="C301" s="7">
        <v>45.293999999999997</v>
      </c>
      <c r="D301" s="2">
        <f t="shared" si="65"/>
        <v>-2.8000000000005798E-2</v>
      </c>
      <c r="E301" s="8">
        <f t="shared" si="64"/>
        <v>45.40561675815367</v>
      </c>
      <c r="F301" s="6">
        <f t="shared" si="60"/>
        <v>2.3752969121140145E-2</v>
      </c>
      <c r="G301" s="12">
        <f t="shared" si="61"/>
        <v>-0.11161675815367289</v>
      </c>
    </row>
    <row r="302" spans="1:7" x14ac:dyDescent="0.3">
      <c r="A302" s="11" t="s">
        <v>326</v>
      </c>
      <c r="B302" s="7">
        <v>5360</v>
      </c>
      <c r="C302" s="7">
        <v>45.292000000000002</v>
      </c>
      <c r="D302" s="2">
        <f t="shared" si="65"/>
        <v>-1.9999999999953388E-3</v>
      </c>
      <c r="E302" s="8">
        <f t="shared" si="64"/>
        <v>45.42936972727481</v>
      </c>
      <c r="F302" s="6">
        <f t="shared" si="60"/>
        <v>2.3752969121140145E-2</v>
      </c>
      <c r="G302" s="12">
        <f t="shared" si="61"/>
        <v>-0.13736972727480889</v>
      </c>
    </row>
    <row r="303" spans="1:7" x14ac:dyDescent="0.3">
      <c r="A303" s="11" t="s">
        <v>327</v>
      </c>
      <c r="B303" s="7">
        <v>5380</v>
      </c>
      <c r="C303" s="7">
        <v>45.314</v>
      </c>
      <c r="D303" s="2">
        <f t="shared" si="65"/>
        <v>2.1999999999998465E-2</v>
      </c>
      <c r="E303" s="8">
        <f t="shared" si="64"/>
        <v>45.453122696395951</v>
      </c>
      <c r="F303" s="6">
        <f t="shared" si="60"/>
        <v>2.3752969121140145E-2</v>
      </c>
      <c r="G303" s="12">
        <f t="shared" si="61"/>
        <v>-0.1391226963959511</v>
      </c>
    </row>
    <row r="304" spans="1:7" x14ac:dyDescent="0.3">
      <c r="A304" s="11" t="s">
        <v>328</v>
      </c>
      <c r="B304" s="7">
        <v>5400</v>
      </c>
      <c r="C304" s="7">
        <v>45.35</v>
      </c>
      <c r="D304" s="2">
        <f t="shared" si="65"/>
        <v>3.6000000000001364E-2</v>
      </c>
      <c r="E304" s="8">
        <f t="shared" si="64"/>
        <v>45.476875665517092</v>
      </c>
      <c r="F304" s="6">
        <f t="shared" si="60"/>
        <v>2.3752969121140145E-2</v>
      </c>
      <c r="G304" s="12">
        <f t="shared" si="61"/>
        <v>-0.1268756655170904</v>
      </c>
    </row>
    <row r="305" spans="1:18" x14ac:dyDescent="0.3">
      <c r="A305" s="11" t="s">
        <v>329</v>
      </c>
      <c r="B305" s="7">
        <v>5420</v>
      </c>
      <c r="C305" s="7">
        <v>45.396000000000001</v>
      </c>
      <c r="D305" s="2">
        <f t="shared" si="65"/>
        <v>4.5999999999999375E-2</v>
      </c>
      <c r="E305" s="8">
        <f t="shared" si="64"/>
        <v>45.500628634638232</v>
      </c>
      <c r="F305" s="6">
        <f t="shared" si="60"/>
        <v>2.3752969121140145E-2</v>
      </c>
      <c r="G305" s="12">
        <f t="shared" si="61"/>
        <v>-0.10462863463823169</v>
      </c>
    </row>
    <row r="306" spans="1:18" x14ac:dyDescent="0.3">
      <c r="A306" s="11" t="s">
        <v>330</v>
      </c>
      <c r="B306" s="7">
        <v>5440</v>
      </c>
      <c r="C306" s="7">
        <v>45.444000000000003</v>
      </c>
      <c r="D306" s="2">
        <f t="shared" si="65"/>
        <v>4.8000000000001819E-2</v>
      </c>
      <c r="E306" s="8">
        <f t="shared" si="64"/>
        <v>45.524381603759373</v>
      </c>
      <c r="F306" s="6">
        <f t="shared" si="60"/>
        <v>2.3752969121140145E-2</v>
      </c>
      <c r="G306" s="12">
        <f t="shared" si="61"/>
        <v>-8.0381603759370535E-2</v>
      </c>
    </row>
    <row r="307" spans="1:18" x14ac:dyDescent="0.3">
      <c r="A307" s="11" t="s">
        <v>331</v>
      </c>
      <c r="B307" s="7">
        <v>5460</v>
      </c>
      <c r="C307" s="7">
        <v>45.506</v>
      </c>
      <c r="D307" s="2">
        <f t="shared" si="65"/>
        <v>6.1999999999997613E-2</v>
      </c>
      <c r="E307" s="8">
        <f t="shared" si="64"/>
        <v>45.548134572880514</v>
      </c>
      <c r="F307" s="6">
        <f t="shared" si="60"/>
        <v>2.3752969121140145E-2</v>
      </c>
      <c r="G307" s="12">
        <f t="shared" si="61"/>
        <v>-4.2134572880513588E-2</v>
      </c>
    </row>
    <row r="308" spans="1:18" x14ac:dyDescent="0.3">
      <c r="A308" s="11" t="s">
        <v>332</v>
      </c>
      <c r="B308" s="7">
        <v>5480</v>
      </c>
      <c r="C308" s="7">
        <v>45.572000000000003</v>
      </c>
      <c r="D308" s="2">
        <f t="shared" si="65"/>
        <v>6.6000000000002501E-2</v>
      </c>
      <c r="E308" s="8">
        <f t="shared" si="64"/>
        <v>45.571887542001654</v>
      </c>
      <c r="F308" s="6">
        <f t="shared" si="60"/>
        <v>2.3752969121140145E-2</v>
      </c>
      <c r="G308" s="12">
        <f t="shared" si="61"/>
        <v>1.1245799834824766E-4</v>
      </c>
    </row>
    <row r="309" spans="1:18" x14ac:dyDescent="0.3">
      <c r="A309" s="21"/>
      <c r="B309" s="22"/>
      <c r="C309" s="22"/>
      <c r="D309" s="22"/>
      <c r="E309" s="22"/>
      <c r="F309" s="22"/>
      <c r="G309" s="23"/>
      <c r="H309" s="4" t="s">
        <v>5</v>
      </c>
      <c r="J309" s="4"/>
      <c r="O309" s="3">
        <f>1/O310</f>
        <v>4.1666666666666666E-3</v>
      </c>
      <c r="P309" s="3">
        <f>O309*20</f>
        <v>8.3333333333333329E-2</v>
      </c>
      <c r="Q309" s="3" t="s">
        <v>3202</v>
      </c>
      <c r="R309" s="3">
        <v>240</v>
      </c>
    </row>
    <row r="310" spans="1:18" x14ac:dyDescent="0.3">
      <c r="A310" s="11" t="s">
        <v>333</v>
      </c>
      <c r="B310" s="7">
        <v>5500</v>
      </c>
      <c r="C310" s="7">
        <v>45.636000000000003</v>
      </c>
      <c r="D310" s="2">
        <f>C310-C308</f>
        <v>6.4000000000000057E-2</v>
      </c>
      <c r="E310" s="8">
        <f>E308+F310</f>
        <v>45.65522087533499</v>
      </c>
      <c r="F310" s="6">
        <f>P309</f>
        <v>8.3333333333333329E-2</v>
      </c>
      <c r="G310" s="12">
        <f>C310-E310</f>
        <v>-1.9220875334987397E-2</v>
      </c>
      <c r="H310" s="3">
        <f>B308</f>
        <v>5480</v>
      </c>
      <c r="I310" s="3">
        <f>B350</f>
        <v>6280</v>
      </c>
      <c r="J310" s="3">
        <f>I310-H310</f>
        <v>800</v>
      </c>
      <c r="K310" s="5">
        <f>E308</f>
        <v>45.571887542001654</v>
      </c>
      <c r="L310" s="3">
        <f>C350</f>
        <v>48.911000000000001</v>
      </c>
      <c r="M310" s="5">
        <f>L310-K310</f>
        <v>3.3391124579983469</v>
      </c>
      <c r="N310" s="3">
        <f>J310/M310</f>
        <v>239.58462317844945</v>
      </c>
      <c r="O310" s="3">
        <v>240</v>
      </c>
    </row>
    <row r="311" spans="1:18" x14ac:dyDescent="0.3">
      <c r="A311" s="11" t="s">
        <v>334</v>
      </c>
      <c r="B311" s="7">
        <v>5520</v>
      </c>
      <c r="C311" s="7">
        <v>45.707999999999998</v>
      </c>
      <c r="D311" s="2">
        <f t="shared" si="65"/>
        <v>7.1999999999995623E-2</v>
      </c>
      <c r="E311" s="8">
        <f>E310+F310</f>
        <v>45.738554208668326</v>
      </c>
      <c r="F311" s="6">
        <f t="shared" ref="F311" si="66">F310</f>
        <v>8.3333333333333329E-2</v>
      </c>
      <c r="G311" s="12">
        <f t="shared" ref="G311" si="67">C311-E311</f>
        <v>-3.0554208668327476E-2</v>
      </c>
    </row>
    <row r="312" spans="1:18" x14ac:dyDescent="0.3">
      <c r="A312" s="11" t="s">
        <v>335</v>
      </c>
      <c r="B312" s="7">
        <v>5540</v>
      </c>
      <c r="C312" s="7">
        <v>45.783999999999999</v>
      </c>
      <c r="D312" s="2">
        <f t="shared" si="65"/>
        <v>7.6000000000000512E-2</v>
      </c>
      <c r="E312" s="8">
        <f t="shared" ref="E312:E325" si="68">E311+F311</f>
        <v>45.821887542001662</v>
      </c>
      <c r="F312" s="6">
        <f t="shared" ref="F312:F325" si="69">F311</f>
        <v>8.3333333333333329E-2</v>
      </c>
      <c r="G312" s="12">
        <f t="shared" ref="G312:G325" si="70">C312-E312</f>
        <v>-3.7887542001662666E-2</v>
      </c>
    </row>
    <row r="313" spans="1:18" x14ac:dyDescent="0.3">
      <c r="A313" s="11" t="s">
        <v>336</v>
      </c>
      <c r="B313" s="7">
        <v>5560</v>
      </c>
      <c r="C313" s="7">
        <v>45.857999999999997</v>
      </c>
      <c r="D313" s="2">
        <f t="shared" si="65"/>
        <v>7.3999999999998067E-2</v>
      </c>
      <c r="E313" s="8">
        <f t="shared" si="68"/>
        <v>45.905220875334997</v>
      </c>
      <c r="F313" s="6">
        <f t="shared" si="69"/>
        <v>8.3333333333333329E-2</v>
      </c>
      <c r="G313" s="12">
        <f t="shared" si="70"/>
        <v>-4.7220875335000301E-2</v>
      </c>
    </row>
    <row r="314" spans="1:18" x14ac:dyDescent="0.3">
      <c r="A314" s="11" t="s">
        <v>337</v>
      </c>
      <c r="B314" s="7">
        <v>5580</v>
      </c>
      <c r="C314" s="7">
        <v>45.939</v>
      </c>
      <c r="D314" s="2">
        <f t="shared" si="65"/>
        <v>8.100000000000307E-2</v>
      </c>
      <c r="E314" s="8">
        <f t="shared" si="68"/>
        <v>45.988554208668333</v>
      </c>
      <c r="F314" s="6">
        <f t="shared" si="69"/>
        <v>8.3333333333333329E-2</v>
      </c>
      <c r="G314" s="12">
        <f t="shared" si="70"/>
        <v>-4.9554208668332933E-2</v>
      </c>
    </row>
    <row r="315" spans="1:18" x14ac:dyDescent="0.3">
      <c r="A315" s="11" t="s">
        <v>338</v>
      </c>
      <c r="B315" s="7">
        <v>5600</v>
      </c>
      <c r="C315" s="7">
        <v>46.030999999999999</v>
      </c>
      <c r="D315" s="2">
        <f t="shared" si="65"/>
        <v>9.1999999999998749E-2</v>
      </c>
      <c r="E315" s="8">
        <f t="shared" si="68"/>
        <v>46.071887542001669</v>
      </c>
      <c r="F315" s="6">
        <f t="shared" si="69"/>
        <v>8.3333333333333329E-2</v>
      </c>
      <c r="G315" s="12">
        <f t="shared" si="70"/>
        <v>-4.0887542001669885E-2</v>
      </c>
    </row>
    <row r="316" spans="1:18" x14ac:dyDescent="0.3">
      <c r="A316" s="11" t="s">
        <v>339</v>
      </c>
      <c r="B316" s="7">
        <v>5620</v>
      </c>
      <c r="C316" s="7">
        <v>46.094000000000001</v>
      </c>
      <c r="D316" s="2">
        <f t="shared" si="65"/>
        <v>6.3000000000002387E-2</v>
      </c>
      <c r="E316" s="8">
        <f t="shared" si="68"/>
        <v>46.155220875335004</v>
      </c>
      <c r="F316" s="6">
        <f t="shared" si="69"/>
        <v>8.3333333333333329E-2</v>
      </c>
      <c r="G316" s="12">
        <f t="shared" si="70"/>
        <v>-6.12208753350032E-2</v>
      </c>
    </row>
    <row r="317" spans="1:18" x14ac:dyDescent="0.3">
      <c r="A317" s="11" t="s">
        <v>340</v>
      </c>
      <c r="B317" s="7">
        <v>5640</v>
      </c>
      <c r="C317" s="7">
        <v>46.176000000000002</v>
      </c>
      <c r="D317" s="2">
        <f t="shared" si="65"/>
        <v>8.2000000000000739E-2</v>
      </c>
      <c r="E317" s="8">
        <f t="shared" si="68"/>
        <v>46.23855420866834</v>
      </c>
      <c r="F317" s="6">
        <f t="shared" si="69"/>
        <v>8.3333333333333329E-2</v>
      </c>
      <c r="G317" s="12">
        <f t="shared" si="70"/>
        <v>-6.2554208668338163E-2</v>
      </c>
    </row>
    <row r="318" spans="1:18" x14ac:dyDescent="0.3">
      <c r="A318" s="11" t="s">
        <v>341</v>
      </c>
      <c r="B318" s="7">
        <v>5660</v>
      </c>
      <c r="C318" s="7">
        <v>46.271000000000001</v>
      </c>
      <c r="D318" s="2">
        <f t="shared" si="65"/>
        <v>9.4999999999998863E-2</v>
      </c>
      <c r="E318" s="8">
        <f t="shared" si="68"/>
        <v>46.321887542001676</v>
      </c>
      <c r="F318" s="6">
        <f t="shared" si="69"/>
        <v>8.3333333333333329E-2</v>
      </c>
      <c r="G318" s="12">
        <f t="shared" si="70"/>
        <v>-5.0887542001675001E-2</v>
      </c>
    </row>
    <row r="319" spans="1:18" x14ac:dyDescent="0.3">
      <c r="A319" s="11" t="s">
        <v>342</v>
      </c>
      <c r="B319" s="7">
        <v>5680</v>
      </c>
      <c r="C319" s="7">
        <v>46.371000000000002</v>
      </c>
      <c r="D319" s="2">
        <f t="shared" si="65"/>
        <v>0.10000000000000142</v>
      </c>
      <c r="E319" s="8">
        <f t="shared" si="68"/>
        <v>46.405220875335011</v>
      </c>
      <c r="F319" s="6">
        <f t="shared" si="69"/>
        <v>8.3333333333333329E-2</v>
      </c>
      <c r="G319" s="12">
        <f t="shared" si="70"/>
        <v>-3.4220875335009282E-2</v>
      </c>
    </row>
    <row r="320" spans="1:18" x14ac:dyDescent="0.3">
      <c r="A320" s="11" t="s">
        <v>343</v>
      </c>
      <c r="B320" s="7">
        <v>5700</v>
      </c>
      <c r="C320" s="7">
        <v>46.466999999999999</v>
      </c>
      <c r="D320" s="2">
        <f t="shared" si="65"/>
        <v>9.5999999999996533E-2</v>
      </c>
      <c r="E320" s="8">
        <f t="shared" si="68"/>
        <v>46.488554208668347</v>
      </c>
      <c r="F320" s="6">
        <f t="shared" si="69"/>
        <v>8.3333333333333329E-2</v>
      </c>
      <c r="G320" s="12">
        <f t="shared" si="70"/>
        <v>-2.1554208668348451E-2</v>
      </c>
    </row>
    <row r="321" spans="1:7" x14ac:dyDescent="0.3">
      <c r="A321" s="11" t="s">
        <v>344</v>
      </c>
      <c r="B321" s="7">
        <v>5720</v>
      </c>
      <c r="C321" s="7">
        <v>46.552999999999997</v>
      </c>
      <c r="D321" s="2">
        <f t="shared" si="65"/>
        <v>8.5999999999998522E-2</v>
      </c>
      <c r="E321" s="8">
        <f t="shared" si="68"/>
        <v>46.571887542001683</v>
      </c>
      <c r="F321" s="6">
        <f t="shared" si="69"/>
        <v>8.3333333333333329E-2</v>
      </c>
      <c r="G321" s="12">
        <f t="shared" si="70"/>
        <v>-1.8887542001685631E-2</v>
      </c>
    </row>
    <row r="322" spans="1:7" x14ac:dyDescent="0.3">
      <c r="A322" s="11" t="s">
        <v>345</v>
      </c>
      <c r="B322" s="7">
        <v>5740</v>
      </c>
      <c r="C322" s="7">
        <v>46.628</v>
      </c>
      <c r="D322" s="2">
        <f t="shared" si="65"/>
        <v>7.5000000000002842E-2</v>
      </c>
      <c r="E322" s="8">
        <f t="shared" si="68"/>
        <v>46.655220875335019</v>
      </c>
      <c r="F322" s="6">
        <f t="shared" si="69"/>
        <v>8.3333333333333329E-2</v>
      </c>
      <c r="G322" s="12">
        <f t="shared" si="70"/>
        <v>-2.7220875335018491E-2</v>
      </c>
    </row>
    <row r="323" spans="1:7" x14ac:dyDescent="0.3">
      <c r="A323" s="11" t="s">
        <v>346</v>
      </c>
      <c r="B323" s="7">
        <v>5760</v>
      </c>
      <c r="C323" s="7">
        <v>46.704000000000001</v>
      </c>
      <c r="D323" s="2">
        <f t="shared" si="65"/>
        <v>7.6000000000000512E-2</v>
      </c>
      <c r="E323" s="8">
        <f t="shared" si="68"/>
        <v>46.738554208668354</v>
      </c>
      <c r="F323" s="6">
        <f t="shared" si="69"/>
        <v>8.3333333333333329E-2</v>
      </c>
      <c r="G323" s="12">
        <f t="shared" si="70"/>
        <v>-3.4554208668353681E-2</v>
      </c>
    </row>
    <row r="324" spans="1:7" x14ac:dyDescent="0.3">
      <c r="A324" s="11" t="s">
        <v>347</v>
      </c>
      <c r="B324" s="7">
        <v>5780</v>
      </c>
      <c r="C324" s="7">
        <v>46.78</v>
      </c>
      <c r="D324" s="2">
        <f t="shared" si="65"/>
        <v>7.6000000000000512E-2</v>
      </c>
      <c r="E324" s="8">
        <f t="shared" si="68"/>
        <v>46.82188754200169</v>
      </c>
      <c r="F324" s="6">
        <f t="shared" si="69"/>
        <v>8.3333333333333329E-2</v>
      </c>
      <c r="G324" s="12">
        <f t="shared" si="70"/>
        <v>-4.1887542001688871E-2</v>
      </c>
    </row>
    <row r="325" spans="1:7" x14ac:dyDescent="0.3">
      <c r="A325" s="11" t="s">
        <v>348</v>
      </c>
      <c r="B325" s="7">
        <v>5800</v>
      </c>
      <c r="C325" s="7">
        <v>46.851999999999997</v>
      </c>
      <c r="D325" s="2">
        <f t="shared" si="65"/>
        <v>7.1999999999995623E-2</v>
      </c>
      <c r="E325" s="8">
        <f t="shared" si="68"/>
        <v>46.905220875335026</v>
      </c>
      <c r="F325" s="6">
        <f t="shared" si="69"/>
        <v>8.3333333333333329E-2</v>
      </c>
      <c r="G325" s="12">
        <f t="shared" si="70"/>
        <v>-5.322087533502895E-2</v>
      </c>
    </row>
    <row r="326" spans="1:7" x14ac:dyDescent="0.3">
      <c r="A326" s="11" t="s">
        <v>349</v>
      </c>
      <c r="B326" s="7">
        <v>5820</v>
      </c>
      <c r="C326" s="7">
        <v>46.93</v>
      </c>
      <c r="D326" s="2">
        <f t="shared" si="65"/>
        <v>7.8000000000002956E-2</v>
      </c>
      <c r="E326" s="8">
        <f t="shared" ref="E326:E337" si="71">E325+F325</f>
        <v>46.988554208668361</v>
      </c>
      <c r="F326" s="6">
        <f t="shared" ref="F326:F337" si="72">F325</f>
        <v>8.3333333333333329E-2</v>
      </c>
      <c r="G326" s="12">
        <f t="shared" ref="G326:G337" si="73">C326-E326</f>
        <v>-5.8554208668361696E-2</v>
      </c>
    </row>
    <row r="327" spans="1:7" x14ac:dyDescent="0.3">
      <c r="A327" s="11" t="s">
        <v>350</v>
      </c>
      <c r="B327" s="7">
        <v>5840</v>
      </c>
      <c r="C327" s="7">
        <v>47.008000000000003</v>
      </c>
      <c r="D327" s="2">
        <f t="shared" si="65"/>
        <v>7.8000000000002956E-2</v>
      </c>
      <c r="E327" s="8">
        <f t="shared" si="71"/>
        <v>47.071887542001697</v>
      </c>
      <c r="F327" s="6">
        <f t="shared" si="72"/>
        <v>8.3333333333333329E-2</v>
      </c>
      <c r="G327" s="12">
        <f t="shared" si="73"/>
        <v>-6.3887542001694442E-2</v>
      </c>
    </row>
    <row r="328" spans="1:7" x14ac:dyDescent="0.3">
      <c r="A328" s="11" t="s">
        <v>351</v>
      </c>
      <c r="B328" s="7">
        <v>5860</v>
      </c>
      <c r="C328" s="7">
        <v>47.078000000000003</v>
      </c>
      <c r="D328" s="2">
        <f t="shared" si="65"/>
        <v>7.0000000000000284E-2</v>
      </c>
      <c r="E328" s="8">
        <f t="shared" si="71"/>
        <v>47.155220875335033</v>
      </c>
      <c r="F328" s="6">
        <f t="shared" si="72"/>
        <v>8.3333333333333329E-2</v>
      </c>
      <c r="G328" s="12">
        <f t="shared" si="73"/>
        <v>-7.7220875335029859E-2</v>
      </c>
    </row>
    <row r="329" spans="1:7" x14ac:dyDescent="0.3">
      <c r="A329" s="11" t="s">
        <v>352</v>
      </c>
      <c r="B329" s="7">
        <v>5880</v>
      </c>
      <c r="C329" s="7">
        <v>47.149000000000001</v>
      </c>
      <c r="D329" s="2">
        <f t="shared" si="65"/>
        <v>7.0999999999997954E-2</v>
      </c>
      <c r="E329" s="8">
        <f t="shared" si="71"/>
        <v>47.238554208668369</v>
      </c>
      <c r="F329" s="6">
        <f t="shared" si="72"/>
        <v>8.3333333333333329E-2</v>
      </c>
      <c r="G329" s="12">
        <f t="shared" si="73"/>
        <v>-8.9554208668367608E-2</v>
      </c>
    </row>
    <row r="330" spans="1:7" x14ac:dyDescent="0.3">
      <c r="A330" s="11" t="s">
        <v>353</v>
      </c>
      <c r="B330" s="7">
        <v>5900</v>
      </c>
      <c r="C330" s="7">
        <v>47.222000000000001</v>
      </c>
      <c r="D330" s="2">
        <f t="shared" si="65"/>
        <v>7.3000000000000398E-2</v>
      </c>
      <c r="E330" s="8">
        <f t="shared" si="71"/>
        <v>47.321887542001704</v>
      </c>
      <c r="F330" s="6">
        <f t="shared" si="72"/>
        <v>8.3333333333333329E-2</v>
      </c>
      <c r="G330" s="12">
        <f t="shared" si="73"/>
        <v>-9.9887542001702911E-2</v>
      </c>
    </row>
    <row r="331" spans="1:7" x14ac:dyDescent="0.3">
      <c r="A331" s="11" t="s">
        <v>354</v>
      </c>
      <c r="B331" s="7">
        <v>5920</v>
      </c>
      <c r="C331" s="7">
        <v>47.313000000000002</v>
      </c>
      <c r="D331" s="2">
        <f t="shared" si="65"/>
        <v>9.100000000000108E-2</v>
      </c>
      <c r="E331" s="8">
        <f t="shared" si="71"/>
        <v>47.40522087533504</v>
      </c>
      <c r="F331" s="6">
        <f t="shared" si="72"/>
        <v>8.3333333333333329E-2</v>
      </c>
      <c r="G331" s="12">
        <f t="shared" si="73"/>
        <v>-9.2220875335037533E-2</v>
      </c>
    </row>
    <row r="332" spans="1:7" x14ac:dyDescent="0.3">
      <c r="A332" s="11" t="s">
        <v>355</v>
      </c>
      <c r="B332" s="7">
        <v>5940</v>
      </c>
      <c r="C332" s="7">
        <v>47.402000000000001</v>
      </c>
      <c r="D332" s="2">
        <f t="shared" si="65"/>
        <v>8.8999999999998636E-2</v>
      </c>
      <c r="E332" s="8">
        <f t="shared" si="71"/>
        <v>47.488554208668376</v>
      </c>
      <c r="F332" s="6">
        <f t="shared" si="72"/>
        <v>8.3333333333333329E-2</v>
      </c>
      <c r="G332" s="12">
        <f t="shared" si="73"/>
        <v>-8.6554208668374599E-2</v>
      </c>
    </row>
    <row r="333" spans="1:7" x14ac:dyDescent="0.3">
      <c r="A333" s="11" t="s">
        <v>356</v>
      </c>
      <c r="B333" s="7">
        <v>5960</v>
      </c>
      <c r="C333" s="7">
        <v>47.484000000000002</v>
      </c>
      <c r="D333" s="2">
        <f t="shared" si="65"/>
        <v>8.2000000000000739E-2</v>
      </c>
      <c r="E333" s="8">
        <f t="shared" si="71"/>
        <v>47.571887542001711</v>
      </c>
      <c r="F333" s="6">
        <f t="shared" si="72"/>
        <v>8.3333333333333329E-2</v>
      </c>
      <c r="G333" s="12">
        <f t="shared" si="73"/>
        <v>-8.7887542001709562E-2</v>
      </c>
    </row>
    <row r="334" spans="1:7" x14ac:dyDescent="0.3">
      <c r="A334" s="13" t="s">
        <v>357</v>
      </c>
      <c r="B334" s="24"/>
      <c r="C334" s="25"/>
      <c r="D334" s="25"/>
      <c r="E334" s="25"/>
      <c r="F334" s="25"/>
      <c r="G334" s="26"/>
    </row>
    <row r="335" spans="1:7" x14ac:dyDescent="0.3">
      <c r="A335" s="11" t="s">
        <v>358</v>
      </c>
      <c r="B335" s="7">
        <v>5980</v>
      </c>
      <c r="C335" s="7">
        <v>47.56</v>
      </c>
      <c r="D335" s="2">
        <f>C335-C333</f>
        <v>7.6000000000000512E-2</v>
      </c>
      <c r="E335" s="8">
        <f>E333+F333</f>
        <v>47.655220875335047</v>
      </c>
      <c r="F335" s="6">
        <f>F333</f>
        <v>8.3333333333333329E-2</v>
      </c>
      <c r="G335" s="12">
        <f t="shared" si="73"/>
        <v>-9.5220875335044752E-2</v>
      </c>
    </row>
    <row r="336" spans="1:7" x14ac:dyDescent="0.3">
      <c r="A336" s="11" t="s">
        <v>359</v>
      </c>
      <c r="B336" s="7">
        <v>6000</v>
      </c>
      <c r="C336" s="7">
        <v>47.634999999999998</v>
      </c>
      <c r="D336" s="2">
        <f t="shared" si="65"/>
        <v>7.4999999999995737E-2</v>
      </c>
      <c r="E336" s="8">
        <f t="shared" si="71"/>
        <v>47.738554208668383</v>
      </c>
      <c r="F336" s="6">
        <f t="shared" si="72"/>
        <v>8.3333333333333329E-2</v>
      </c>
      <c r="G336" s="12">
        <f t="shared" si="73"/>
        <v>-0.10355420866838472</v>
      </c>
    </row>
    <row r="337" spans="1:18" x14ac:dyDescent="0.3">
      <c r="A337" s="11" t="s">
        <v>360</v>
      </c>
      <c r="B337" s="7">
        <v>6020</v>
      </c>
      <c r="C337" s="7">
        <v>47.713000000000001</v>
      </c>
      <c r="D337" s="2">
        <f t="shared" si="65"/>
        <v>7.8000000000002956E-2</v>
      </c>
      <c r="E337" s="8">
        <f t="shared" si="71"/>
        <v>47.821887542001718</v>
      </c>
      <c r="F337" s="6">
        <f t="shared" si="72"/>
        <v>8.3333333333333329E-2</v>
      </c>
      <c r="G337" s="12">
        <f t="shared" si="73"/>
        <v>-0.10888754200171746</v>
      </c>
    </row>
    <row r="338" spans="1:18" x14ac:dyDescent="0.3">
      <c r="A338" s="11" t="s">
        <v>361</v>
      </c>
      <c r="B338" s="7">
        <v>6040</v>
      </c>
      <c r="C338" s="7">
        <v>47.798999999999999</v>
      </c>
      <c r="D338" s="2">
        <f t="shared" si="65"/>
        <v>8.5999999999998522E-2</v>
      </c>
      <c r="E338" s="8">
        <f t="shared" ref="E338:E350" si="74">E337+F337</f>
        <v>47.905220875335054</v>
      </c>
      <c r="F338" s="6">
        <f t="shared" ref="F338:F350" si="75">F337</f>
        <v>8.3333333333333329E-2</v>
      </c>
      <c r="G338" s="12">
        <f t="shared" ref="G338:G350" si="76">C338-E338</f>
        <v>-0.10622087533505464</v>
      </c>
    </row>
    <row r="339" spans="1:18" x14ac:dyDescent="0.3">
      <c r="A339" s="11" t="s">
        <v>362</v>
      </c>
      <c r="B339" s="7">
        <v>6060</v>
      </c>
      <c r="C339" s="7">
        <v>47.884999999999998</v>
      </c>
      <c r="D339" s="2">
        <f t="shared" si="65"/>
        <v>8.5999999999998522E-2</v>
      </c>
      <c r="E339" s="8">
        <f t="shared" si="74"/>
        <v>47.98855420866839</v>
      </c>
      <c r="F339" s="6">
        <f t="shared" si="75"/>
        <v>8.3333333333333329E-2</v>
      </c>
      <c r="G339" s="12">
        <f t="shared" si="76"/>
        <v>-0.10355420866839182</v>
      </c>
    </row>
    <row r="340" spans="1:18" x14ac:dyDescent="0.3">
      <c r="A340" s="11" t="s">
        <v>363</v>
      </c>
      <c r="B340" s="7">
        <v>6080</v>
      </c>
      <c r="C340" s="7">
        <v>47.978000000000002</v>
      </c>
      <c r="D340" s="2">
        <f t="shared" si="65"/>
        <v>9.3000000000003524E-2</v>
      </c>
      <c r="E340" s="8">
        <f t="shared" si="74"/>
        <v>48.071887542001726</v>
      </c>
      <c r="F340" s="6">
        <f t="shared" si="75"/>
        <v>8.3333333333333329E-2</v>
      </c>
      <c r="G340" s="12">
        <f t="shared" si="76"/>
        <v>-9.3887542001724E-2</v>
      </c>
    </row>
    <row r="341" spans="1:18" x14ac:dyDescent="0.3">
      <c r="A341" s="11" t="s">
        <v>364</v>
      </c>
      <c r="B341" s="7">
        <v>6100</v>
      </c>
      <c r="C341" s="7">
        <v>48.079000000000001</v>
      </c>
      <c r="D341" s="2">
        <f t="shared" si="65"/>
        <v>0.10099999999999909</v>
      </c>
      <c r="E341" s="8">
        <f t="shared" si="74"/>
        <v>48.155220875335061</v>
      </c>
      <c r="F341" s="6">
        <f t="shared" si="75"/>
        <v>8.3333333333333329E-2</v>
      </c>
      <c r="G341" s="12">
        <f t="shared" si="76"/>
        <v>-7.6220875335060612E-2</v>
      </c>
    </row>
    <row r="342" spans="1:18" x14ac:dyDescent="0.3">
      <c r="A342" s="11" t="s">
        <v>365</v>
      </c>
      <c r="B342" s="7">
        <v>6120</v>
      </c>
      <c r="C342" s="7">
        <v>48.182000000000002</v>
      </c>
      <c r="D342" s="2">
        <f t="shared" si="65"/>
        <v>0.10300000000000153</v>
      </c>
      <c r="E342" s="8">
        <f t="shared" si="74"/>
        <v>48.238554208668397</v>
      </c>
      <c r="F342" s="6">
        <f t="shared" si="75"/>
        <v>8.3333333333333329E-2</v>
      </c>
      <c r="G342" s="12">
        <f t="shared" si="76"/>
        <v>-5.6554208668394779E-2</v>
      </c>
    </row>
    <row r="343" spans="1:18" x14ac:dyDescent="0.3">
      <c r="A343" s="11" t="s">
        <v>366</v>
      </c>
      <c r="B343" s="7">
        <v>6140</v>
      </c>
      <c r="C343" s="7">
        <v>48.265000000000001</v>
      </c>
      <c r="D343" s="2">
        <f t="shared" si="65"/>
        <v>8.2999999999998408E-2</v>
      </c>
      <c r="E343" s="8">
        <f t="shared" si="74"/>
        <v>48.321887542001733</v>
      </c>
      <c r="F343" s="6">
        <f t="shared" si="75"/>
        <v>8.3333333333333329E-2</v>
      </c>
      <c r="G343" s="12">
        <f t="shared" si="76"/>
        <v>-5.6887542001732072E-2</v>
      </c>
    </row>
    <row r="344" spans="1:18" x14ac:dyDescent="0.3">
      <c r="A344" s="11" t="s">
        <v>367</v>
      </c>
      <c r="B344" s="7">
        <v>6160</v>
      </c>
      <c r="C344" s="7">
        <v>48.341999999999999</v>
      </c>
      <c r="D344" s="2">
        <f t="shared" si="65"/>
        <v>7.6999999999998181E-2</v>
      </c>
      <c r="E344" s="8">
        <f t="shared" si="74"/>
        <v>48.405220875335068</v>
      </c>
      <c r="F344" s="6">
        <f t="shared" si="75"/>
        <v>8.3333333333333329E-2</v>
      </c>
      <c r="G344" s="12">
        <f t="shared" si="76"/>
        <v>-6.3220875335069593E-2</v>
      </c>
    </row>
    <row r="345" spans="1:18" x14ac:dyDescent="0.3">
      <c r="A345" s="11" t="s">
        <v>368</v>
      </c>
      <c r="B345" s="7">
        <v>6180</v>
      </c>
      <c r="C345" s="7">
        <v>48.423000000000002</v>
      </c>
      <c r="D345" s="2">
        <f t="shared" si="65"/>
        <v>8.100000000000307E-2</v>
      </c>
      <c r="E345" s="8">
        <f t="shared" si="74"/>
        <v>48.488554208668404</v>
      </c>
      <c r="F345" s="6">
        <f t="shared" si="75"/>
        <v>8.3333333333333329E-2</v>
      </c>
      <c r="G345" s="12">
        <f t="shared" si="76"/>
        <v>-6.5554208668402225E-2</v>
      </c>
    </row>
    <row r="346" spans="1:18" x14ac:dyDescent="0.3">
      <c r="A346" s="11" t="s">
        <v>369</v>
      </c>
      <c r="B346" s="7">
        <v>6200</v>
      </c>
      <c r="C346" s="7">
        <v>48.521999999999998</v>
      </c>
      <c r="D346" s="2">
        <f t="shared" si="65"/>
        <v>9.8999999999996646E-2</v>
      </c>
      <c r="E346" s="8">
        <f t="shared" si="74"/>
        <v>48.57188754200174</v>
      </c>
      <c r="F346" s="6">
        <f t="shared" si="75"/>
        <v>8.3333333333333329E-2</v>
      </c>
      <c r="G346" s="12">
        <f t="shared" si="76"/>
        <v>-4.9887542001741281E-2</v>
      </c>
    </row>
    <row r="347" spans="1:18" x14ac:dyDescent="0.3">
      <c r="A347" s="11" t="s">
        <v>370</v>
      </c>
      <c r="B347" s="7">
        <v>6220</v>
      </c>
      <c r="C347" s="7">
        <v>48.615000000000002</v>
      </c>
      <c r="D347" s="2">
        <f t="shared" si="65"/>
        <v>9.3000000000003524E-2</v>
      </c>
      <c r="E347" s="8">
        <f t="shared" si="74"/>
        <v>48.655220875335075</v>
      </c>
      <c r="F347" s="6">
        <f t="shared" si="75"/>
        <v>8.3333333333333329E-2</v>
      </c>
      <c r="G347" s="12">
        <f t="shared" si="76"/>
        <v>-4.0220875335073458E-2</v>
      </c>
    </row>
    <row r="348" spans="1:18" x14ac:dyDescent="0.3">
      <c r="A348" s="11" t="s">
        <v>371</v>
      </c>
      <c r="B348" s="7">
        <v>6240</v>
      </c>
      <c r="C348" s="7">
        <v>48.716000000000001</v>
      </c>
      <c r="D348" s="2">
        <f t="shared" si="65"/>
        <v>0.10099999999999909</v>
      </c>
      <c r="E348" s="8">
        <f t="shared" si="74"/>
        <v>48.738554208668411</v>
      </c>
      <c r="F348" s="6">
        <f t="shared" si="75"/>
        <v>8.3333333333333329E-2</v>
      </c>
      <c r="G348" s="12">
        <f t="shared" si="76"/>
        <v>-2.255420866841007E-2</v>
      </c>
    </row>
    <row r="349" spans="1:18" x14ac:dyDescent="0.3">
      <c r="A349" s="11" t="s">
        <v>372</v>
      </c>
      <c r="B349" s="7">
        <v>6260</v>
      </c>
      <c r="C349" s="7">
        <v>48.811999999999998</v>
      </c>
      <c r="D349" s="2">
        <f t="shared" si="65"/>
        <v>9.5999999999996533E-2</v>
      </c>
      <c r="E349" s="8">
        <f t="shared" si="74"/>
        <v>48.821887542001747</v>
      </c>
      <c r="F349" s="6">
        <f t="shared" si="75"/>
        <v>8.3333333333333329E-2</v>
      </c>
      <c r="G349" s="12">
        <f t="shared" si="76"/>
        <v>-9.8875420017492388E-3</v>
      </c>
    </row>
    <row r="350" spans="1:18" x14ac:dyDescent="0.3">
      <c r="A350" s="11" t="s">
        <v>373</v>
      </c>
      <c r="B350" s="7">
        <v>6280</v>
      </c>
      <c r="C350" s="7">
        <v>48.911000000000001</v>
      </c>
      <c r="D350" s="2">
        <f t="shared" si="65"/>
        <v>9.9000000000003752E-2</v>
      </c>
      <c r="E350" s="8">
        <f t="shared" si="74"/>
        <v>48.905220875335083</v>
      </c>
      <c r="F350" s="6">
        <f t="shared" si="75"/>
        <v>8.3333333333333329E-2</v>
      </c>
      <c r="G350" s="12">
        <f t="shared" si="76"/>
        <v>5.779124664918811E-3</v>
      </c>
    </row>
    <row r="351" spans="1:18" ht="17.399999999999999" x14ac:dyDescent="0.35">
      <c r="A351" s="59"/>
      <c r="B351" s="60"/>
      <c r="C351" s="60"/>
      <c r="D351" s="60"/>
      <c r="E351" s="60"/>
      <c r="F351" s="60"/>
      <c r="G351" s="61"/>
      <c r="H351" s="4" t="s">
        <v>6</v>
      </c>
      <c r="J351" s="4"/>
      <c r="O351" s="3">
        <f>1/O352</f>
        <v>5.8139534883720929E-3</v>
      </c>
      <c r="P351" s="3">
        <f>O351*20</f>
        <v>0.11627906976744186</v>
      </c>
      <c r="Q351" s="3" t="s">
        <v>3202</v>
      </c>
      <c r="R351" s="3">
        <v>172</v>
      </c>
    </row>
    <row r="352" spans="1:18" x14ac:dyDescent="0.3">
      <c r="A352" s="11" t="s">
        <v>374</v>
      </c>
      <c r="B352" s="7">
        <v>6300</v>
      </c>
      <c r="C352" s="7">
        <v>49.023000000000003</v>
      </c>
      <c r="D352" s="2">
        <f>C352-C350</f>
        <v>0.11200000000000188</v>
      </c>
      <c r="E352" s="8">
        <f>E350+F352</f>
        <v>49.021499945102526</v>
      </c>
      <c r="F352" s="6">
        <f>P351</f>
        <v>0.11627906976744186</v>
      </c>
      <c r="G352" s="12">
        <f>C352-E352</f>
        <v>1.5000548974768435E-3</v>
      </c>
      <c r="H352" s="3">
        <f>B350</f>
        <v>6280</v>
      </c>
      <c r="I352" s="3">
        <f>B362</f>
        <v>6500</v>
      </c>
      <c r="J352" s="3">
        <f>I352-H352</f>
        <v>220</v>
      </c>
      <c r="K352" s="5">
        <f>E350</f>
        <v>48.905220875335083</v>
      </c>
      <c r="L352" s="3">
        <f>C362</f>
        <v>50.180999999999997</v>
      </c>
      <c r="M352" s="5">
        <f>L352-K352</f>
        <v>1.2757791246649148</v>
      </c>
      <c r="N352" s="3">
        <f>J352/M352</f>
        <v>172.44364306226072</v>
      </c>
      <c r="O352" s="3">
        <v>172</v>
      </c>
    </row>
    <row r="353" spans="1:18" x14ac:dyDescent="0.3">
      <c r="A353" s="11" t="s">
        <v>375</v>
      </c>
      <c r="B353" s="7">
        <v>6320</v>
      </c>
      <c r="C353" s="7">
        <v>49.125999999999998</v>
      </c>
      <c r="D353" s="2">
        <f t="shared" si="65"/>
        <v>0.10299999999999443</v>
      </c>
      <c r="E353" s="8">
        <f>E352+F352</f>
        <v>49.13777901486997</v>
      </c>
      <c r="F353" s="6">
        <f t="shared" ref="F353" si="77">F352</f>
        <v>0.11627906976744186</v>
      </c>
      <c r="G353" s="12">
        <f t="shared" ref="G353" si="78">C353-E353</f>
        <v>-1.1779014869972571E-2</v>
      </c>
    </row>
    <row r="354" spans="1:18" x14ac:dyDescent="0.3">
      <c r="A354" s="11" t="s">
        <v>376</v>
      </c>
      <c r="B354" s="7">
        <v>6340</v>
      </c>
      <c r="C354" s="7">
        <v>49.223999999999997</v>
      </c>
      <c r="D354" s="2">
        <f t="shared" si="65"/>
        <v>9.7999999999998977E-2</v>
      </c>
      <c r="E354" s="8">
        <f t="shared" ref="E354:E362" si="79">E353+F353</f>
        <v>49.254058084637414</v>
      </c>
      <c r="F354" s="6">
        <f t="shared" ref="F354:F389" si="80">F353</f>
        <v>0.11627906976744186</v>
      </c>
      <c r="G354" s="12">
        <f t="shared" ref="G354:G394" si="81">C354-E354</f>
        <v>-3.0058084637417437E-2</v>
      </c>
    </row>
    <row r="355" spans="1:18" x14ac:dyDescent="0.3">
      <c r="A355" s="11" t="s">
        <v>377</v>
      </c>
      <c r="B355" s="7">
        <v>6360</v>
      </c>
      <c r="C355" s="7">
        <v>49.322000000000003</v>
      </c>
      <c r="D355" s="2">
        <f t="shared" si="65"/>
        <v>9.8000000000006082E-2</v>
      </c>
      <c r="E355" s="8">
        <f t="shared" si="79"/>
        <v>49.370337154404858</v>
      </c>
      <c r="F355" s="6">
        <f t="shared" si="80"/>
        <v>0.11627906976744186</v>
      </c>
      <c r="G355" s="12">
        <f t="shared" si="81"/>
        <v>-4.8337154404855198E-2</v>
      </c>
    </row>
    <row r="356" spans="1:18" x14ac:dyDescent="0.3">
      <c r="A356" s="11" t="s">
        <v>378</v>
      </c>
      <c r="B356" s="7">
        <v>6380</v>
      </c>
      <c r="C356" s="7">
        <v>49.424999999999997</v>
      </c>
      <c r="D356" s="2">
        <f t="shared" si="65"/>
        <v>0.10299999999999443</v>
      </c>
      <c r="E356" s="8">
        <f t="shared" si="79"/>
        <v>49.486616224172302</v>
      </c>
      <c r="F356" s="6">
        <f t="shared" si="80"/>
        <v>0.11627906976744186</v>
      </c>
      <c r="G356" s="12">
        <f t="shared" si="81"/>
        <v>-6.1616224172304612E-2</v>
      </c>
    </row>
    <row r="357" spans="1:18" x14ac:dyDescent="0.3">
      <c r="A357" s="11" t="s">
        <v>379</v>
      </c>
      <c r="B357" s="7">
        <v>6400</v>
      </c>
      <c r="C357" s="7">
        <v>49.527999999999999</v>
      </c>
      <c r="D357" s="2">
        <f t="shared" si="65"/>
        <v>0.10300000000000153</v>
      </c>
      <c r="E357" s="8">
        <f t="shared" si="79"/>
        <v>49.602895293939746</v>
      </c>
      <c r="F357" s="6">
        <f t="shared" si="80"/>
        <v>0.11627906976744186</v>
      </c>
      <c r="G357" s="12">
        <f t="shared" si="81"/>
        <v>-7.4895293939746921E-2</v>
      </c>
    </row>
    <row r="358" spans="1:18" x14ac:dyDescent="0.3">
      <c r="A358" s="11" t="s">
        <v>380</v>
      </c>
      <c r="B358" s="7">
        <v>6420</v>
      </c>
      <c r="C358" s="7">
        <v>49.648000000000003</v>
      </c>
      <c r="D358" s="2">
        <f t="shared" si="65"/>
        <v>0.12000000000000455</v>
      </c>
      <c r="E358" s="8">
        <f t="shared" si="79"/>
        <v>49.719174363707189</v>
      </c>
      <c r="F358" s="6">
        <f t="shared" si="80"/>
        <v>0.11627906976744186</v>
      </c>
      <c r="G358" s="12">
        <f t="shared" si="81"/>
        <v>-7.1174363707186217E-2</v>
      </c>
    </row>
    <row r="359" spans="1:18" x14ac:dyDescent="0.3">
      <c r="A359" s="11" t="s">
        <v>381</v>
      </c>
      <c r="B359" s="7">
        <v>6440</v>
      </c>
      <c r="C359" s="7">
        <v>49.78</v>
      </c>
      <c r="D359" s="2">
        <f t="shared" ref="D359:D431" si="82">C359-C358</f>
        <v>0.1319999999999979</v>
      </c>
      <c r="E359" s="8">
        <f t="shared" si="79"/>
        <v>49.835453433474633</v>
      </c>
      <c r="F359" s="6">
        <f t="shared" si="80"/>
        <v>0.11627906976744186</v>
      </c>
      <c r="G359" s="12">
        <f t="shared" si="81"/>
        <v>-5.5453433474632163E-2</v>
      </c>
    </row>
    <row r="360" spans="1:18" x14ac:dyDescent="0.3">
      <c r="A360" s="11" t="s">
        <v>382</v>
      </c>
      <c r="B360" s="7">
        <v>6460</v>
      </c>
      <c r="C360" s="7">
        <v>49.911999999999999</v>
      </c>
      <c r="D360" s="2">
        <f t="shared" si="82"/>
        <v>0.1319999999999979</v>
      </c>
      <c r="E360" s="8">
        <f t="shared" si="79"/>
        <v>49.951732503242077</v>
      </c>
      <c r="F360" s="6">
        <f t="shared" si="80"/>
        <v>0.11627906976744186</v>
      </c>
      <c r="G360" s="12">
        <f t="shared" si="81"/>
        <v>-3.973250324207811E-2</v>
      </c>
    </row>
    <row r="361" spans="1:18" x14ac:dyDescent="0.3">
      <c r="A361" s="11" t="s">
        <v>383</v>
      </c>
      <c r="B361" s="7">
        <v>6480</v>
      </c>
      <c r="C361" s="7">
        <v>50.057000000000002</v>
      </c>
      <c r="D361" s="2">
        <f t="shared" si="82"/>
        <v>0.14500000000000313</v>
      </c>
      <c r="E361" s="8">
        <f t="shared" si="79"/>
        <v>50.068011573009521</v>
      </c>
      <c r="F361" s="6">
        <f t="shared" si="80"/>
        <v>0.11627906976744186</v>
      </c>
      <c r="G361" s="12">
        <f t="shared" si="81"/>
        <v>-1.1011573009518827E-2</v>
      </c>
    </row>
    <row r="362" spans="1:18" x14ac:dyDescent="0.3">
      <c r="A362" s="11" t="s">
        <v>384</v>
      </c>
      <c r="B362" s="7">
        <v>6500</v>
      </c>
      <c r="C362" s="7">
        <v>50.180999999999997</v>
      </c>
      <c r="D362" s="2">
        <f t="shared" si="82"/>
        <v>0.12399999999999523</v>
      </c>
      <c r="E362" s="8">
        <f t="shared" si="79"/>
        <v>50.184290642776965</v>
      </c>
      <c r="F362" s="6">
        <f t="shared" si="80"/>
        <v>0.11627906976744186</v>
      </c>
      <c r="G362" s="12">
        <f t="shared" si="81"/>
        <v>-3.2906427769674451E-3</v>
      </c>
    </row>
    <row r="363" spans="1:18" x14ac:dyDescent="0.3">
      <c r="A363" s="21"/>
      <c r="B363" s="22"/>
      <c r="C363" s="22"/>
      <c r="D363" s="22"/>
      <c r="E363" s="22"/>
      <c r="F363" s="22"/>
      <c r="G363" s="23"/>
      <c r="H363" s="4" t="s">
        <v>3294</v>
      </c>
      <c r="J363" s="4"/>
      <c r="O363" s="3">
        <f>1/O364</f>
        <v>2.6954177897574125E-3</v>
      </c>
      <c r="P363" s="3">
        <f>O363*20</f>
        <v>5.3908355795148251E-2</v>
      </c>
      <c r="Q363" s="3" t="s">
        <v>3202</v>
      </c>
      <c r="R363" s="3">
        <v>371</v>
      </c>
    </row>
    <row r="364" spans="1:18" x14ac:dyDescent="0.3">
      <c r="A364" s="11" t="s">
        <v>385</v>
      </c>
      <c r="B364" s="7">
        <v>6520</v>
      </c>
      <c r="C364" s="7">
        <v>50.247999999999998</v>
      </c>
      <c r="D364" s="2">
        <f>C364-C362</f>
        <v>6.7000000000000171E-2</v>
      </c>
      <c r="E364" s="8">
        <f>E362+F364</f>
        <v>50.238198998572116</v>
      </c>
      <c r="F364" s="6">
        <f>P363</f>
        <v>5.3908355795148251E-2</v>
      </c>
      <c r="G364" s="12">
        <f>C364-E364</f>
        <v>9.8010014278813173E-3</v>
      </c>
      <c r="H364" s="3">
        <f>B362</f>
        <v>6500</v>
      </c>
      <c r="I364" s="3">
        <f>B392</f>
        <v>6980</v>
      </c>
      <c r="J364" s="3">
        <f>I364-H364</f>
        <v>480</v>
      </c>
      <c r="K364" s="5">
        <f>E362</f>
        <v>50.184290642776965</v>
      </c>
      <c r="L364" s="3">
        <f>C392</f>
        <v>51.478999999999999</v>
      </c>
      <c r="M364" s="5">
        <f>L364-K364</f>
        <v>1.2947093572230344</v>
      </c>
      <c r="N364" s="3">
        <f>J364/M364</f>
        <v>370.73957743653841</v>
      </c>
      <c r="O364" s="3">
        <v>371</v>
      </c>
    </row>
    <row r="365" spans="1:18" x14ac:dyDescent="0.3">
      <c r="A365" s="11" t="s">
        <v>3337</v>
      </c>
      <c r="B365" s="70" t="s">
        <v>3338</v>
      </c>
      <c r="C365" s="7"/>
      <c r="D365" s="2"/>
      <c r="E365" s="8"/>
      <c r="F365" s="6"/>
      <c r="G365" s="12"/>
      <c r="K365" s="5"/>
      <c r="M365" s="5"/>
    </row>
    <row r="366" spans="1:18" x14ac:dyDescent="0.3">
      <c r="A366" s="11" t="s">
        <v>386</v>
      </c>
      <c r="B366" s="7">
        <v>6540</v>
      </c>
      <c r="C366" s="7">
        <v>50.298999999999999</v>
      </c>
      <c r="D366" s="2">
        <f>C366-C364</f>
        <v>5.1000000000001933E-2</v>
      </c>
      <c r="E366" s="8">
        <f>E364+F364</f>
        <v>50.292107354367268</v>
      </c>
      <c r="F366" s="6">
        <f t="shared" ref="F366" si="83">F364</f>
        <v>5.3908355795148251E-2</v>
      </c>
      <c r="G366" s="12">
        <f t="shared" ref="G366" si="84">C366-E366</f>
        <v>6.8926456327318419E-3</v>
      </c>
    </row>
    <row r="367" spans="1:18" x14ac:dyDescent="0.3">
      <c r="A367" s="11" t="s">
        <v>387</v>
      </c>
      <c r="B367" s="7">
        <v>6560</v>
      </c>
      <c r="C367" s="7">
        <v>50.359000000000002</v>
      </c>
      <c r="D367" s="2">
        <f t="shared" si="82"/>
        <v>6.0000000000002274E-2</v>
      </c>
      <c r="E367" s="8">
        <f t="shared" ref="E367:E389" si="85">E366+F366</f>
        <v>50.346015710162419</v>
      </c>
      <c r="F367" s="6">
        <f t="shared" si="80"/>
        <v>5.3908355795148251E-2</v>
      </c>
      <c r="G367" s="12">
        <f t="shared" si="81"/>
        <v>1.2984289837582708E-2</v>
      </c>
    </row>
    <row r="368" spans="1:18" x14ac:dyDescent="0.3">
      <c r="A368" s="11" t="s">
        <v>388</v>
      </c>
      <c r="B368" s="7">
        <v>6580</v>
      </c>
      <c r="C368" s="7">
        <v>50.393000000000001</v>
      </c>
      <c r="D368" s="2">
        <f t="shared" si="82"/>
        <v>3.399999999999892E-2</v>
      </c>
      <c r="E368" s="8">
        <f t="shared" si="85"/>
        <v>50.39992406595757</v>
      </c>
      <c r="F368" s="6">
        <f t="shared" si="80"/>
        <v>5.3908355795148251E-2</v>
      </c>
      <c r="G368" s="12">
        <f t="shared" si="81"/>
        <v>-6.9240659575697805E-3</v>
      </c>
    </row>
    <row r="369" spans="1:7" x14ac:dyDescent="0.3">
      <c r="A369" s="11" t="s">
        <v>3340</v>
      </c>
      <c r="B369" s="70" t="s">
        <v>3339</v>
      </c>
      <c r="C369" s="7"/>
      <c r="D369" s="2"/>
      <c r="E369" s="8"/>
      <c r="F369" s="6"/>
      <c r="G369" s="12"/>
    </row>
    <row r="370" spans="1:7" x14ac:dyDescent="0.3">
      <c r="A370" s="11" t="s">
        <v>389</v>
      </c>
      <c r="B370" s="7">
        <v>6600</v>
      </c>
      <c r="C370" s="7">
        <v>50.427</v>
      </c>
      <c r="D370" s="2">
        <f>C370-C368</f>
        <v>3.399999999999892E-2</v>
      </c>
      <c r="E370" s="8">
        <f>E368+F368</f>
        <v>50.453832421752722</v>
      </c>
      <c r="F370" s="6">
        <f>F368</f>
        <v>5.3908355795148251E-2</v>
      </c>
      <c r="G370" s="12">
        <f t="shared" si="81"/>
        <v>-2.6832421752722269E-2</v>
      </c>
    </row>
    <row r="371" spans="1:7" x14ac:dyDescent="0.3">
      <c r="A371" s="11" t="s">
        <v>390</v>
      </c>
      <c r="B371" s="7">
        <v>6620</v>
      </c>
      <c r="C371" s="7">
        <v>50.478000000000002</v>
      </c>
      <c r="D371" s="2">
        <f t="shared" si="82"/>
        <v>5.1000000000001933E-2</v>
      </c>
      <c r="E371" s="8">
        <f t="shared" si="85"/>
        <v>50.507740777547873</v>
      </c>
      <c r="F371" s="6">
        <f t="shared" si="80"/>
        <v>5.3908355795148251E-2</v>
      </c>
      <c r="G371" s="12">
        <f t="shared" si="81"/>
        <v>-2.9740777547871744E-2</v>
      </c>
    </row>
    <row r="372" spans="1:7" x14ac:dyDescent="0.3">
      <c r="A372" s="11" t="s">
        <v>391</v>
      </c>
      <c r="B372" s="7">
        <v>6640</v>
      </c>
      <c r="C372" s="7">
        <v>50.542000000000002</v>
      </c>
      <c r="D372" s="2">
        <f t="shared" si="82"/>
        <v>6.4000000000000057E-2</v>
      </c>
      <c r="E372" s="8">
        <f t="shared" si="85"/>
        <v>50.561649133343025</v>
      </c>
      <c r="F372" s="6">
        <f t="shared" si="80"/>
        <v>5.3908355795148251E-2</v>
      </c>
      <c r="G372" s="12">
        <f t="shared" si="81"/>
        <v>-1.9649133343023095E-2</v>
      </c>
    </row>
    <row r="373" spans="1:7" x14ac:dyDescent="0.3">
      <c r="A373" s="11" t="s">
        <v>392</v>
      </c>
      <c r="B373" s="7">
        <v>6660</v>
      </c>
      <c r="C373" s="7">
        <v>50.612000000000002</v>
      </c>
      <c r="D373" s="2">
        <f t="shared" si="82"/>
        <v>7.0000000000000284E-2</v>
      </c>
      <c r="E373" s="8">
        <f t="shared" si="85"/>
        <v>50.615557489138176</v>
      </c>
      <c r="F373" s="6">
        <f t="shared" si="80"/>
        <v>5.3908355795148251E-2</v>
      </c>
      <c r="G373" s="12">
        <f t="shared" si="81"/>
        <v>-3.5574891381742191E-3</v>
      </c>
    </row>
    <row r="374" spans="1:7" x14ac:dyDescent="0.3">
      <c r="A374" s="11" t="s">
        <v>393</v>
      </c>
      <c r="B374" s="7">
        <v>6680</v>
      </c>
      <c r="C374" s="7">
        <v>50.685000000000002</v>
      </c>
      <c r="D374" s="2">
        <f t="shared" si="82"/>
        <v>7.3000000000000398E-2</v>
      </c>
      <c r="E374" s="8">
        <f t="shared" si="85"/>
        <v>50.669465844933328</v>
      </c>
      <c r="F374" s="6">
        <f t="shared" si="80"/>
        <v>5.3908355795148251E-2</v>
      </c>
      <c r="G374" s="12">
        <f t="shared" si="81"/>
        <v>1.5534155066674771E-2</v>
      </c>
    </row>
    <row r="375" spans="1:7" x14ac:dyDescent="0.3">
      <c r="A375" s="11" t="s">
        <v>394</v>
      </c>
      <c r="B375" s="7">
        <v>6700</v>
      </c>
      <c r="C375" s="7">
        <v>50.777999999999999</v>
      </c>
      <c r="D375" s="2">
        <f t="shared" si="82"/>
        <v>9.2999999999996419E-2</v>
      </c>
      <c r="E375" s="8">
        <f t="shared" si="85"/>
        <v>50.723374200728479</v>
      </c>
      <c r="F375" s="6">
        <f t="shared" si="80"/>
        <v>5.3908355795148251E-2</v>
      </c>
      <c r="G375" s="12">
        <f t="shared" si="81"/>
        <v>5.4625799271519782E-2</v>
      </c>
    </row>
    <row r="376" spans="1:7" x14ac:dyDescent="0.3">
      <c r="A376" s="11" t="s">
        <v>395</v>
      </c>
      <c r="B376" s="7">
        <v>6720</v>
      </c>
      <c r="C376" s="7">
        <v>50.878999999999998</v>
      </c>
      <c r="D376" s="2">
        <f t="shared" si="82"/>
        <v>0.10099999999999909</v>
      </c>
      <c r="E376" s="8">
        <f t="shared" si="85"/>
        <v>50.77728255652363</v>
      </c>
      <c r="F376" s="6">
        <f t="shared" si="80"/>
        <v>5.3908355795148251E-2</v>
      </c>
      <c r="G376" s="12">
        <f t="shared" si="81"/>
        <v>0.10171744347636746</v>
      </c>
    </row>
    <row r="377" spans="1:7" x14ac:dyDescent="0.3">
      <c r="A377" s="11" t="s">
        <v>396</v>
      </c>
      <c r="B377" s="7">
        <v>6740</v>
      </c>
      <c r="C377" s="7">
        <v>50.978000000000002</v>
      </c>
      <c r="D377" s="2">
        <f t="shared" si="82"/>
        <v>9.9000000000003752E-2</v>
      </c>
      <c r="E377" s="8">
        <f t="shared" si="85"/>
        <v>50.831190912318782</v>
      </c>
      <c r="F377" s="6">
        <f t="shared" si="80"/>
        <v>5.3908355795148251E-2</v>
      </c>
      <c r="G377" s="12">
        <f t="shared" si="81"/>
        <v>0.14680908768121981</v>
      </c>
    </row>
    <row r="378" spans="1:7" x14ac:dyDescent="0.3">
      <c r="A378" s="11" t="s">
        <v>397</v>
      </c>
      <c r="B378" s="7">
        <v>6760</v>
      </c>
      <c r="C378" s="7">
        <v>51.064999999999998</v>
      </c>
      <c r="D378" s="2">
        <f t="shared" si="82"/>
        <v>8.6999999999996191E-2</v>
      </c>
      <c r="E378" s="8">
        <f t="shared" si="85"/>
        <v>50.885099268113933</v>
      </c>
      <c r="F378" s="6">
        <f t="shared" si="80"/>
        <v>5.3908355795148251E-2</v>
      </c>
      <c r="G378" s="12">
        <f t="shared" si="81"/>
        <v>0.17990073188606459</v>
      </c>
    </row>
    <row r="379" spans="1:7" x14ac:dyDescent="0.3">
      <c r="A379" s="11" t="s">
        <v>398</v>
      </c>
      <c r="B379" s="7">
        <v>6780</v>
      </c>
      <c r="C379" s="7">
        <v>51.143000000000001</v>
      </c>
      <c r="D379" s="2">
        <f t="shared" si="82"/>
        <v>7.8000000000002956E-2</v>
      </c>
      <c r="E379" s="8">
        <f t="shared" si="85"/>
        <v>50.939007623909085</v>
      </c>
      <c r="F379" s="6">
        <f t="shared" si="80"/>
        <v>5.3908355795148251E-2</v>
      </c>
      <c r="G379" s="12">
        <f t="shared" si="81"/>
        <v>0.20399237609091614</v>
      </c>
    </row>
    <row r="380" spans="1:7" x14ac:dyDescent="0.3">
      <c r="A380" s="11" t="s">
        <v>399</v>
      </c>
      <c r="B380" s="7">
        <v>6800</v>
      </c>
      <c r="C380" s="7">
        <v>51.213000000000001</v>
      </c>
      <c r="D380" s="2">
        <f t="shared" si="82"/>
        <v>7.0000000000000284E-2</v>
      </c>
      <c r="E380" s="8">
        <f t="shared" si="85"/>
        <v>50.992915979704236</v>
      </c>
      <c r="F380" s="6">
        <f t="shared" si="80"/>
        <v>5.3908355795148251E-2</v>
      </c>
      <c r="G380" s="12">
        <f t="shared" si="81"/>
        <v>0.22008402029576501</v>
      </c>
    </row>
    <row r="381" spans="1:7" x14ac:dyDescent="0.3">
      <c r="A381" s="11" t="s">
        <v>400</v>
      </c>
      <c r="B381" s="7">
        <v>6820</v>
      </c>
      <c r="C381" s="7">
        <v>51.280999999999999</v>
      </c>
      <c r="D381" s="2">
        <f t="shared" si="82"/>
        <v>6.799999999999784E-2</v>
      </c>
      <c r="E381" s="8">
        <f t="shared" si="85"/>
        <v>51.046824335499387</v>
      </c>
      <c r="F381" s="6">
        <f t="shared" si="80"/>
        <v>5.3908355795148251E-2</v>
      </c>
      <c r="G381" s="12">
        <f t="shared" si="81"/>
        <v>0.23417566450061145</v>
      </c>
    </row>
    <row r="382" spans="1:7" x14ac:dyDescent="0.3">
      <c r="A382" s="11" t="s">
        <v>401</v>
      </c>
      <c r="B382" s="7">
        <v>6840</v>
      </c>
      <c r="C382" s="7">
        <v>51.341000000000001</v>
      </c>
      <c r="D382" s="2">
        <f t="shared" si="82"/>
        <v>6.0000000000002274E-2</v>
      </c>
      <c r="E382" s="8">
        <f t="shared" si="85"/>
        <v>51.100732691294539</v>
      </c>
      <c r="F382" s="6">
        <f t="shared" si="80"/>
        <v>5.3908355795148251E-2</v>
      </c>
      <c r="G382" s="12">
        <f t="shared" si="81"/>
        <v>0.24026730870546231</v>
      </c>
    </row>
    <row r="383" spans="1:7" x14ac:dyDescent="0.3">
      <c r="A383" s="11" t="s">
        <v>402</v>
      </c>
      <c r="B383" s="7">
        <v>6860</v>
      </c>
      <c r="C383" s="7">
        <v>51.389000000000003</v>
      </c>
      <c r="D383" s="2">
        <f t="shared" si="82"/>
        <v>4.8000000000001819E-2</v>
      </c>
      <c r="E383" s="8">
        <f t="shared" si="85"/>
        <v>51.15464104708969</v>
      </c>
      <c r="F383" s="6">
        <f t="shared" si="80"/>
        <v>5.3908355795148251E-2</v>
      </c>
      <c r="G383" s="12">
        <f t="shared" si="81"/>
        <v>0.23435895291031272</v>
      </c>
    </row>
    <row r="384" spans="1:7" x14ac:dyDescent="0.3">
      <c r="A384" s="11" t="s">
        <v>403</v>
      </c>
      <c r="B384" s="7">
        <v>6880</v>
      </c>
      <c r="C384" s="7">
        <v>51.439</v>
      </c>
      <c r="D384" s="2">
        <f t="shared" si="82"/>
        <v>4.9999999999997158E-2</v>
      </c>
      <c r="E384" s="8">
        <f t="shared" si="85"/>
        <v>51.208549402884842</v>
      </c>
      <c r="F384" s="6">
        <f t="shared" si="80"/>
        <v>5.3908355795148251E-2</v>
      </c>
      <c r="G384" s="12">
        <f t="shared" si="81"/>
        <v>0.23045059711515847</v>
      </c>
    </row>
    <row r="385" spans="1:18" x14ac:dyDescent="0.3">
      <c r="A385" s="11" t="s">
        <v>404</v>
      </c>
      <c r="B385" s="7">
        <v>6900</v>
      </c>
      <c r="C385" s="7">
        <v>51.494999999999997</v>
      </c>
      <c r="D385" s="2">
        <f t="shared" si="82"/>
        <v>5.5999999999997385E-2</v>
      </c>
      <c r="E385" s="8">
        <f t="shared" si="85"/>
        <v>51.262457758679993</v>
      </c>
      <c r="F385" s="6">
        <f t="shared" si="80"/>
        <v>5.3908355795148251E-2</v>
      </c>
      <c r="G385" s="12">
        <f t="shared" si="81"/>
        <v>0.23254224132000445</v>
      </c>
    </row>
    <row r="386" spans="1:18" x14ac:dyDescent="0.3">
      <c r="A386" s="11" t="s">
        <v>3341</v>
      </c>
      <c r="B386" s="70" t="s">
        <v>3342</v>
      </c>
      <c r="C386" s="7"/>
      <c r="D386" s="2"/>
      <c r="E386" s="8"/>
      <c r="F386" s="6"/>
      <c r="G386" s="12"/>
    </row>
    <row r="387" spans="1:18" x14ac:dyDescent="0.3">
      <c r="A387" s="11" t="s">
        <v>405</v>
      </c>
      <c r="B387" s="7">
        <v>6920</v>
      </c>
      <c r="C387" s="7">
        <v>51.524000000000001</v>
      </c>
      <c r="D387" s="2">
        <f>C387-C385</f>
        <v>2.9000000000003467E-2</v>
      </c>
      <c r="E387" s="8">
        <f>E385+F385</f>
        <v>51.316366114475144</v>
      </c>
      <c r="F387" s="6">
        <f>F385</f>
        <v>5.3908355795148251E-2</v>
      </c>
      <c r="G387" s="12">
        <f t="shared" si="81"/>
        <v>0.20763388552485651</v>
      </c>
    </row>
    <row r="388" spans="1:18" x14ac:dyDescent="0.3">
      <c r="A388" s="11" t="s">
        <v>406</v>
      </c>
      <c r="B388" s="7">
        <v>6940</v>
      </c>
      <c r="C388" s="7">
        <v>51.524999999999999</v>
      </c>
      <c r="D388" s="2">
        <f t="shared" si="82"/>
        <v>9.9999999999766942E-4</v>
      </c>
      <c r="E388" s="8">
        <f t="shared" si="85"/>
        <v>51.370274470270296</v>
      </c>
      <c r="F388" s="6">
        <f t="shared" si="80"/>
        <v>5.3908355795148251E-2</v>
      </c>
      <c r="G388" s="12">
        <f t="shared" si="81"/>
        <v>0.15472552972970277</v>
      </c>
    </row>
    <row r="389" spans="1:18" x14ac:dyDescent="0.3">
      <c r="A389" s="11" t="s">
        <v>407</v>
      </c>
      <c r="B389" s="7">
        <v>6960</v>
      </c>
      <c r="C389" s="7">
        <v>51.505000000000003</v>
      </c>
      <c r="D389" s="2">
        <f>C389-C388</f>
        <v>-1.9999999999996021E-2</v>
      </c>
      <c r="E389" s="8">
        <f t="shared" si="85"/>
        <v>51.424182826065447</v>
      </c>
      <c r="F389" s="6">
        <f t="shared" si="80"/>
        <v>5.3908355795148251E-2</v>
      </c>
      <c r="G389" s="12">
        <f>C389-E389</f>
        <v>8.0817173934555342E-2</v>
      </c>
    </row>
    <row r="390" spans="1:18" x14ac:dyDescent="0.3">
      <c r="A390" s="11" t="s">
        <v>3344</v>
      </c>
      <c r="B390" s="70" t="s">
        <v>3343</v>
      </c>
      <c r="C390" s="25"/>
      <c r="D390" s="71"/>
      <c r="E390" s="72"/>
      <c r="F390" s="22"/>
      <c r="G390" s="73"/>
    </row>
    <row r="391" spans="1:18" x14ac:dyDescent="0.3">
      <c r="A391" s="13" t="s">
        <v>408</v>
      </c>
      <c r="B391" s="24"/>
      <c r="C391" s="25"/>
      <c r="D391" s="25"/>
      <c r="E391" s="25"/>
      <c r="F391" s="25"/>
      <c r="G391" s="26"/>
      <c r="K391" s="5"/>
      <c r="M391" s="5"/>
    </row>
    <row r="392" spans="1:18" x14ac:dyDescent="0.3">
      <c r="A392" s="11" t="s">
        <v>409</v>
      </c>
      <c r="B392" s="7">
        <v>6980</v>
      </c>
      <c r="C392" s="7">
        <v>51.478999999999999</v>
      </c>
      <c r="D392" s="2">
        <f>C392-C389</f>
        <v>-2.6000000000003354E-2</v>
      </c>
      <c r="E392" s="8">
        <f>E389+F389</f>
        <v>51.478091181860599</v>
      </c>
      <c r="F392" s="6">
        <f t="shared" ref="F392" si="86">F389</f>
        <v>5.3908355795148251E-2</v>
      </c>
      <c r="G392" s="12">
        <f t="shared" ref="G392" si="87">C392-E392</f>
        <v>9.0881813940058009E-4</v>
      </c>
    </row>
    <row r="393" spans="1:18" x14ac:dyDescent="0.3">
      <c r="A393" s="11"/>
      <c r="B393" s="7"/>
      <c r="C393" s="7"/>
      <c r="D393" s="2"/>
      <c r="E393" s="8"/>
      <c r="F393" s="6"/>
      <c r="G393" s="12"/>
      <c r="H393" s="4" t="s">
        <v>3476</v>
      </c>
      <c r="J393" s="4"/>
      <c r="O393" s="3">
        <f>1/O394</f>
        <v>3.7764350453172205E-4</v>
      </c>
      <c r="P393" s="3">
        <f>O393*20</f>
        <v>7.5528700906344406E-3</v>
      </c>
      <c r="Q393" s="3" t="s">
        <v>3200</v>
      </c>
      <c r="R393" s="3">
        <v>2648</v>
      </c>
    </row>
    <row r="394" spans="1:18" x14ac:dyDescent="0.3">
      <c r="A394" s="11" t="s">
        <v>410</v>
      </c>
      <c r="B394" s="7">
        <v>7000</v>
      </c>
      <c r="C394" s="7">
        <v>51.468000000000004</v>
      </c>
      <c r="D394" s="2">
        <f>C394-C392</f>
        <v>-1.099999999999568E-2</v>
      </c>
      <c r="E394" s="8">
        <f>E392-F394</f>
        <v>51.470538311769964</v>
      </c>
      <c r="F394" s="6">
        <f>P393</f>
        <v>7.5528700906344406E-3</v>
      </c>
      <c r="G394" s="12">
        <f t="shared" si="81"/>
        <v>-2.5383117699604441E-3</v>
      </c>
      <c r="H394" s="3">
        <f>B392</f>
        <v>6980</v>
      </c>
      <c r="I394" s="3">
        <f>B404</f>
        <v>7200</v>
      </c>
      <c r="J394" s="3">
        <f>I394-H394</f>
        <v>220</v>
      </c>
      <c r="K394" s="5">
        <f>E392</f>
        <v>51.478091181860599</v>
      </c>
      <c r="L394" s="3">
        <f>C404</f>
        <v>51.395000000000003</v>
      </c>
      <c r="M394" s="5">
        <f>L394-K394</f>
        <v>-8.3091181860595498E-2</v>
      </c>
      <c r="N394" s="3">
        <f>J394/M394</f>
        <v>-2647.6937151899033</v>
      </c>
      <c r="O394" s="3">
        <v>2648</v>
      </c>
    </row>
    <row r="395" spans="1:18" x14ac:dyDescent="0.3">
      <c r="A395" s="11" t="s">
        <v>411</v>
      </c>
      <c r="B395" s="7">
        <v>7020</v>
      </c>
      <c r="C395" s="7">
        <v>51.47</v>
      </c>
      <c r="D395" s="2">
        <f t="shared" si="82"/>
        <v>1.9999999999953388E-3</v>
      </c>
      <c r="E395" s="8">
        <f>E394-F394</f>
        <v>51.462985441679329</v>
      </c>
      <c r="F395" s="6">
        <f t="shared" ref="F395:F420" si="88">F394</f>
        <v>7.5528700906344406E-3</v>
      </c>
      <c r="G395" s="12">
        <f t="shared" ref="G395:G420" si="89">C395-E395</f>
        <v>7.0145583206695505E-3</v>
      </c>
    </row>
    <row r="396" spans="1:18" x14ac:dyDescent="0.3">
      <c r="A396" s="11" t="s">
        <v>412</v>
      </c>
      <c r="B396" s="7">
        <v>7040</v>
      </c>
      <c r="C396" s="7">
        <v>51.48</v>
      </c>
      <c r="D396" s="2">
        <f t="shared" si="82"/>
        <v>9.9999999999980105E-3</v>
      </c>
      <c r="E396" s="8">
        <f t="shared" ref="E396:E404" si="90">E395-F395</f>
        <v>51.455432571588695</v>
      </c>
      <c r="F396" s="6">
        <f t="shared" si="88"/>
        <v>7.5528700906344406E-3</v>
      </c>
      <c r="G396" s="12">
        <f t="shared" si="89"/>
        <v>2.4567428411302217E-2</v>
      </c>
    </row>
    <row r="397" spans="1:18" x14ac:dyDescent="0.3">
      <c r="A397" s="11" t="s">
        <v>413</v>
      </c>
      <c r="B397" s="7">
        <v>7060</v>
      </c>
      <c r="C397" s="7">
        <v>51.493000000000002</v>
      </c>
      <c r="D397" s="2">
        <f t="shared" si="82"/>
        <v>1.300000000000523E-2</v>
      </c>
      <c r="E397" s="8">
        <f t="shared" si="90"/>
        <v>51.44787970149806</v>
      </c>
      <c r="F397" s="6">
        <f t="shared" si="88"/>
        <v>7.5528700906344406E-3</v>
      </c>
      <c r="G397" s="12">
        <f t="shared" si="89"/>
        <v>4.5120298501942102E-2</v>
      </c>
    </row>
    <row r="398" spans="1:18" x14ac:dyDescent="0.3">
      <c r="A398" s="11" t="s">
        <v>414</v>
      </c>
      <c r="B398" s="7">
        <v>7080</v>
      </c>
      <c r="C398" s="7">
        <v>51.506</v>
      </c>
      <c r="D398" s="2">
        <f t="shared" si="82"/>
        <v>1.2999999999998124E-2</v>
      </c>
      <c r="E398" s="8">
        <f t="shared" si="90"/>
        <v>51.440326831407425</v>
      </c>
      <c r="F398" s="6">
        <f t="shared" si="88"/>
        <v>7.5528700906344406E-3</v>
      </c>
      <c r="G398" s="12">
        <f t="shared" si="89"/>
        <v>6.5673168592574882E-2</v>
      </c>
    </row>
    <row r="399" spans="1:18" x14ac:dyDescent="0.3">
      <c r="A399" s="11" t="s">
        <v>415</v>
      </c>
      <c r="B399" s="7">
        <v>7100</v>
      </c>
      <c r="C399" s="7">
        <v>51.51</v>
      </c>
      <c r="D399" s="2">
        <f t="shared" si="82"/>
        <v>3.9999999999977831E-3</v>
      </c>
      <c r="E399" s="8">
        <f t="shared" si="90"/>
        <v>51.432773961316791</v>
      </c>
      <c r="F399" s="6">
        <f t="shared" si="88"/>
        <v>7.5528700906344406E-3</v>
      </c>
      <c r="G399" s="12">
        <f t="shared" si="89"/>
        <v>7.7226038683207321E-2</v>
      </c>
    </row>
    <row r="400" spans="1:18" x14ac:dyDescent="0.3">
      <c r="A400" s="11" t="s">
        <v>416</v>
      </c>
      <c r="B400" s="7">
        <v>7120</v>
      </c>
      <c r="C400" s="7">
        <v>51.494</v>
      </c>
      <c r="D400" s="2">
        <f t="shared" si="82"/>
        <v>-1.5999999999998238E-2</v>
      </c>
      <c r="E400" s="8">
        <f t="shared" si="90"/>
        <v>51.425221091226156</v>
      </c>
      <c r="F400" s="6">
        <f t="shared" si="88"/>
        <v>7.5528700906344406E-3</v>
      </c>
      <c r="G400" s="12">
        <f t="shared" si="89"/>
        <v>6.8778908773843739E-2</v>
      </c>
    </row>
    <row r="401" spans="1:18" x14ac:dyDescent="0.3">
      <c r="A401" s="11" t="s">
        <v>417</v>
      </c>
      <c r="B401" s="7">
        <v>7140</v>
      </c>
      <c r="C401" s="7">
        <v>51.472000000000001</v>
      </c>
      <c r="D401" s="2">
        <f t="shared" si="82"/>
        <v>-2.1999999999998465E-2</v>
      </c>
      <c r="E401" s="8">
        <f t="shared" si="90"/>
        <v>51.417668221135521</v>
      </c>
      <c r="F401" s="6">
        <f t="shared" si="88"/>
        <v>7.5528700906344406E-3</v>
      </c>
      <c r="G401" s="12">
        <f t="shared" si="89"/>
        <v>5.4331778864479929E-2</v>
      </c>
    </row>
    <row r="402" spans="1:18" x14ac:dyDescent="0.3">
      <c r="A402" s="11" t="s">
        <v>418</v>
      </c>
      <c r="B402" s="7">
        <v>7160</v>
      </c>
      <c r="C402" s="7">
        <v>51.454999999999998</v>
      </c>
      <c r="D402" s="2">
        <f t="shared" si="82"/>
        <v>-1.7000000000003013E-2</v>
      </c>
      <c r="E402" s="8">
        <f t="shared" si="90"/>
        <v>51.410115351044887</v>
      </c>
      <c r="F402" s="6">
        <f t="shared" si="88"/>
        <v>7.5528700906344406E-3</v>
      </c>
      <c r="G402" s="12">
        <f t="shared" si="89"/>
        <v>4.4884648955111572E-2</v>
      </c>
    </row>
    <row r="403" spans="1:18" x14ac:dyDescent="0.3">
      <c r="A403" s="11" t="s">
        <v>419</v>
      </c>
      <c r="B403" s="7">
        <v>7180</v>
      </c>
      <c r="C403" s="7">
        <v>51.427999999999997</v>
      </c>
      <c r="D403" s="2">
        <f t="shared" si="82"/>
        <v>-2.7000000000001023E-2</v>
      </c>
      <c r="E403" s="8">
        <f t="shared" si="90"/>
        <v>51.402562480954252</v>
      </c>
      <c r="F403" s="6">
        <f t="shared" si="88"/>
        <v>7.5528700906344406E-3</v>
      </c>
      <c r="G403" s="12">
        <f t="shared" si="89"/>
        <v>2.5437519045745205E-2</v>
      </c>
    </row>
    <row r="404" spans="1:18" x14ac:dyDescent="0.3">
      <c r="A404" s="11" t="s">
        <v>420</v>
      </c>
      <c r="B404" s="7">
        <v>7200</v>
      </c>
      <c r="C404" s="7">
        <v>51.395000000000003</v>
      </c>
      <c r="D404" s="2">
        <f t="shared" si="82"/>
        <v>-3.2999999999994145E-2</v>
      </c>
      <c r="E404" s="8">
        <f t="shared" si="90"/>
        <v>51.395009610863617</v>
      </c>
      <c r="F404" s="6">
        <f t="shared" si="88"/>
        <v>7.5528700906344406E-3</v>
      </c>
      <c r="G404" s="12">
        <f t="shared" si="89"/>
        <v>-9.6108636142844261E-6</v>
      </c>
    </row>
    <row r="405" spans="1:18" x14ac:dyDescent="0.3">
      <c r="A405" s="21"/>
      <c r="B405" s="22"/>
      <c r="C405" s="22"/>
      <c r="D405" s="22"/>
      <c r="E405" s="22"/>
      <c r="F405" s="22"/>
      <c r="G405" s="23"/>
      <c r="H405" s="4" t="s">
        <v>45</v>
      </c>
      <c r="J405" s="4"/>
      <c r="O405" s="3">
        <f>1/O406</f>
        <v>2.0325203252032522E-3</v>
      </c>
      <c r="P405" s="3">
        <f>O405*20</f>
        <v>4.0650406504065047E-2</v>
      </c>
      <c r="Q405" s="3" t="s">
        <v>3200</v>
      </c>
      <c r="R405" s="3">
        <v>492</v>
      </c>
    </row>
    <row r="406" spans="1:18" x14ac:dyDescent="0.3">
      <c r="A406" s="11" t="s">
        <v>421</v>
      </c>
      <c r="B406" s="7">
        <v>7220</v>
      </c>
      <c r="C406" s="7">
        <v>51.363</v>
      </c>
      <c r="D406" s="2">
        <f>C406-C404</f>
        <v>-3.2000000000003581E-2</v>
      </c>
      <c r="E406" s="8">
        <f>E404-F406</f>
        <v>51.354359204359554</v>
      </c>
      <c r="F406" s="6">
        <f>P405</f>
        <v>4.0650406504065047E-2</v>
      </c>
      <c r="G406" s="12">
        <f>C406-E406</f>
        <v>8.6407956404457309E-3</v>
      </c>
      <c r="H406" s="3">
        <f>B404</f>
        <v>7200</v>
      </c>
      <c r="I406" s="3">
        <f>B424</f>
        <v>7580</v>
      </c>
      <c r="J406" s="3">
        <f>I406-H406</f>
        <v>380</v>
      </c>
      <c r="K406" s="5">
        <f>E404</f>
        <v>51.395009610863617</v>
      </c>
      <c r="L406" s="3">
        <f>C424</f>
        <v>50.622</v>
      </c>
      <c r="M406" s="5">
        <f>L406-K406</f>
        <v>-0.77300961086361752</v>
      </c>
      <c r="N406" s="3">
        <f>J406/M406</f>
        <v>-491.58509112902038</v>
      </c>
      <c r="O406" s="3">
        <v>492</v>
      </c>
    </row>
    <row r="407" spans="1:18" x14ac:dyDescent="0.3">
      <c r="A407" s="11" t="s">
        <v>422</v>
      </c>
      <c r="B407" s="7">
        <v>7240</v>
      </c>
      <c r="C407" s="7">
        <v>51.331000000000003</v>
      </c>
      <c r="D407" s="2">
        <f t="shared" si="82"/>
        <v>-3.1999999999996476E-2</v>
      </c>
      <c r="E407" s="8">
        <f>E406-F406</f>
        <v>51.31370879785549</v>
      </c>
      <c r="F407" s="6">
        <f t="shared" ref="F407" si="91">F406</f>
        <v>4.0650406504065047E-2</v>
      </c>
      <c r="G407" s="12">
        <f t="shared" ref="G407" si="92">C407-E407</f>
        <v>1.7291202144512852E-2</v>
      </c>
    </row>
    <row r="408" spans="1:18" x14ac:dyDescent="0.3">
      <c r="A408" s="11" t="s">
        <v>423</v>
      </c>
      <c r="B408" s="7">
        <v>7260</v>
      </c>
      <c r="C408" s="7">
        <v>51.301000000000002</v>
      </c>
      <c r="D408" s="2">
        <f t="shared" si="82"/>
        <v>-3.0000000000001137E-2</v>
      </c>
      <c r="E408" s="8">
        <f t="shared" ref="E408:E424" si="93">E407-F407</f>
        <v>51.273058391351427</v>
      </c>
      <c r="F408" s="6">
        <f t="shared" si="88"/>
        <v>4.0650406504065047E-2</v>
      </c>
      <c r="G408" s="12">
        <f t="shared" si="89"/>
        <v>2.7941608648575311E-2</v>
      </c>
    </row>
    <row r="409" spans="1:18" x14ac:dyDescent="0.3">
      <c r="A409" s="11" t="s">
        <v>424</v>
      </c>
      <c r="B409" s="7">
        <v>7280</v>
      </c>
      <c r="C409" s="7">
        <v>51.274999999999999</v>
      </c>
      <c r="D409" s="2">
        <f t="shared" si="82"/>
        <v>-2.6000000000003354E-2</v>
      </c>
      <c r="E409" s="8">
        <f t="shared" si="93"/>
        <v>51.232407984847363</v>
      </c>
      <c r="F409" s="6">
        <f t="shared" si="88"/>
        <v>4.0650406504065047E-2</v>
      </c>
      <c r="G409" s="12">
        <f t="shared" si="89"/>
        <v>4.2592015152635554E-2</v>
      </c>
    </row>
    <row r="410" spans="1:18" x14ac:dyDescent="0.3">
      <c r="A410" s="11" t="s">
        <v>425</v>
      </c>
      <c r="B410" s="7">
        <v>7300</v>
      </c>
      <c r="C410" s="7">
        <v>51.246000000000002</v>
      </c>
      <c r="D410" s="2">
        <f t="shared" si="82"/>
        <v>-2.8999999999996362E-2</v>
      </c>
      <c r="E410" s="8">
        <f t="shared" si="93"/>
        <v>51.191757578343299</v>
      </c>
      <c r="F410" s="6">
        <f t="shared" si="88"/>
        <v>4.0650406504065047E-2</v>
      </c>
      <c r="G410" s="12">
        <f t="shared" si="89"/>
        <v>5.4242421656702788E-2</v>
      </c>
    </row>
    <row r="411" spans="1:18" x14ac:dyDescent="0.3">
      <c r="A411" s="11" t="s">
        <v>426</v>
      </c>
      <c r="B411" s="7">
        <v>7320</v>
      </c>
      <c r="C411" s="7">
        <v>51.225000000000001</v>
      </c>
      <c r="D411" s="2">
        <f t="shared" si="82"/>
        <v>-2.1000000000000796E-2</v>
      </c>
      <c r="E411" s="8">
        <f t="shared" si="93"/>
        <v>51.151107171839236</v>
      </c>
      <c r="F411" s="6">
        <f t="shared" si="88"/>
        <v>4.0650406504065047E-2</v>
      </c>
      <c r="G411" s="12">
        <f t="shared" si="89"/>
        <v>7.3892828160765589E-2</v>
      </c>
    </row>
    <row r="412" spans="1:18" x14ac:dyDescent="0.3">
      <c r="A412" s="11" t="s">
        <v>427</v>
      </c>
      <c r="B412" s="7">
        <v>7340</v>
      </c>
      <c r="C412" s="7">
        <v>51.2</v>
      </c>
      <c r="D412" s="2">
        <f t="shared" si="82"/>
        <v>-2.4999999999998579E-2</v>
      </c>
      <c r="E412" s="8">
        <f t="shared" si="93"/>
        <v>51.110456765335172</v>
      </c>
      <c r="F412" s="6">
        <f t="shared" si="88"/>
        <v>4.0650406504065047E-2</v>
      </c>
      <c r="G412" s="12">
        <f t="shared" si="89"/>
        <v>8.9543234664830607E-2</v>
      </c>
    </row>
    <row r="413" spans="1:18" x14ac:dyDescent="0.3">
      <c r="A413" s="11" t="s">
        <v>428</v>
      </c>
      <c r="B413" s="7">
        <v>7360</v>
      </c>
      <c r="C413" s="7">
        <v>51.155999999999999</v>
      </c>
      <c r="D413" s="2">
        <f t="shared" si="82"/>
        <v>-4.4000000000004036E-2</v>
      </c>
      <c r="E413" s="8">
        <f t="shared" si="93"/>
        <v>51.069806358831109</v>
      </c>
      <c r="F413" s="6">
        <f t="shared" si="88"/>
        <v>4.0650406504065047E-2</v>
      </c>
      <c r="G413" s="12">
        <f t="shared" si="89"/>
        <v>8.6193641168890167E-2</v>
      </c>
    </row>
    <row r="414" spans="1:18" x14ac:dyDescent="0.3">
      <c r="A414" s="11" t="s">
        <v>429</v>
      </c>
      <c r="B414" s="7">
        <v>7380</v>
      </c>
      <c r="C414" s="7">
        <v>51.104999999999997</v>
      </c>
      <c r="D414" s="2">
        <f t="shared" si="82"/>
        <v>-5.1000000000001933E-2</v>
      </c>
      <c r="E414" s="8">
        <f t="shared" si="93"/>
        <v>51.029155952327045</v>
      </c>
      <c r="F414" s="6">
        <f t="shared" si="88"/>
        <v>4.0650406504065047E-2</v>
      </c>
      <c r="G414" s="12">
        <f t="shared" si="89"/>
        <v>7.5844047672951831E-2</v>
      </c>
    </row>
    <row r="415" spans="1:18" x14ac:dyDescent="0.3">
      <c r="A415" s="11" t="s">
        <v>430</v>
      </c>
      <c r="B415" s="7">
        <v>7400</v>
      </c>
      <c r="C415" s="7">
        <v>51.063000000000002</v>
      </c>
      <c r="D415" s="2">
        <f t="shared" si="82"/>
        <v>-4.1999999999994486E-2</v>
      </c>
      <c r="E415" s="8">
        <f t="shared" si="93"/>
        <v>50.988505545822981</v>
      </c>
      <c r="F415" s="6">
        <f t="shared" si="88"/>
        <v>4.0650406504065047E-2</v>
      </c>
      <c r="G415" s="12">
        <f t="shared" si="89"/>
        <v>7.4494454177020941E-2</v>
      </c>
    </row>
    <row r="416" spans="1:18" x14ac:dyDescent="0.3">
      <c r="A416" s="11" t="s">
        <v>431</v>
      </c>
      <c r="B416" s="7">
        <v>7420</v>
      </c>
      <c r="C416" s="7">
        <v>51.042999999999999</v>
      </c>
      <c r="D416" s="2">
        <f t="shared" si="82"/>
        <v>-2.0000000000003126E-2</v>
      </c>
      <c r="E416" s="8">
        <f t="shared" si="93"/>
        <v>50.947855139318918</v>
      </c>
      <c r="F416" s="6">
        <f t="shared" si="88"/>
        <v>4.0650406504065047E-2</v>
      </c>
      <c r="G416" s="12">
        <f t="shared" si="89"/>
        <v>9.5144860681081411E-2</v>
      </c>
    </row>
    <row r="417" spans="1:18" x14ac:dyDescent="0.3">
      <c r="A417" s="11" t="s">
        <v>432</v>
      </c>
      <c r="B417" s="7">
        <v>7440</v>
      </c>
      <c r="C417" s="7">
        <v>51.045000000000002</v>
      </c>
      <c r="D417" s="2">
        <f t="shared" si="82"/>
        <v>2.0000000000024443E-3</v>
      </c>
      <c r="E417" s="8">
        <f t="shared" si="93"/>
        <v>50.907204732814854</v>
      </c>
      <c r="F417" s="6">
        <f t="shared" si="88"/>
        <v>4.0650406504065047E-2</v>
      </c>
      <c r="G417" s="12">
        <f t="shared" si="89"/>
        <v>0.13779526718514745</v>
      </c>
    </row>
    <row r="418" spans="1:18" x14ac:dyDescent="0.3">
      <c r="A418" s="11" t="s">
        <v>433</v>
      </c>
      <c r="B418" s="7">
        <v>7460</v>
      </c>
      <c r="C418" s="7">
        <v>51.054000000000002</v>
      </c>
      <c r="D418" s="2">
        <f t="shared" si="82"/>
        <v>9.0000000000003411E-3</v>
      </c>
      <c r="E418" s="8">
        <f t="shared" si="93"/>
        <v>50.866554326310791</v>
      </c>
      <c r="F418" s="6">
        <f t="shared" si="88"/>
        <v>4.0650406504065047E-2</v>
      </c>
      <c r="G418" s="12">
        <f t="shared" si="89"/>
        <v>0.18744567368921139</v>
      </c>
    </row>
    <row r="419" spans="1:18" x14ac:dyDescent="0.3">
      <c r="A419" s="11" t="s">
        <v>434</v>
      </c>
      <c r="B419" s="7">
        <v>7480</v>
      </c>
      <c r="C419" s="7">
        <v>51.055</v>
      </c>
      <c r="D419" s="2">
        <f t="shared" si="82"/>
        <v>9.9999999999766942E-4</v>
      </c>
      <c r="E419" s="8">
        <f t="shared" si="93"/>
        <v>50.825903919806727</v>
      </c>
      <c r="F419" s="6">
        <f t="shared" si="88"/>
        <v>4.0650406504065047E-2</v>
      </c>
      <c r="G419" s="12">
        <f t="shared" si="89"/>
        <v>0.22909608019327266</v>
      </c>
    </row>
    <row r="420" spans="1:18" x14ac:dyDescent="0.3">
      <c r="A420" s="11" t="s">
        <v>435</v>
      </c>
      <c r="B420" s="7">
        <v>7500</v>
      </c>
      <c r="C420" s="7">
        <v>51.042000000000002</v>
      </c>
      <c r="D420" s="2">
        <f t="shared" si="82"/>
        <v>-1.2999999999998124E-2</v>
      </c>
      <c r="E420" s="8">
        <f t="shared" si="93"/>
        <v>50.785253513302663</v>
      </c>
      <c r="F420" s="6">
        <f t="shared" si="88"/>
        <v>4.0650406504065047E-2</v>
      </c>
      <c r="G420" s="12">
        <f t="shared" si="89"/>
        <v>0.25674648669733813</v>
      </c>
    </row>
    <row r="421" spans="1:18" x14ac:dyDescent="0.3">
      <c r="A421" s="11" t="s">
        <v>436</v>
      </c>
      <c r="B421" s="7">
        <v>7520</v>
      </c>
      <c r="C421" s="7">
        <v>51.012999999999998</v>
      </c>
      <c r="D421" s="2">
        <f t="shared" si="82"/>
        <v>-2.9000000000003467E-2</v>
      </c>
      <c r="E421" s="8">
        <f t="shared" si="93"/>
        <v>50.7446031067986</v>
      </c>
      <c r="F421" s="6">
        <f t="shared" ref="F421:F435" si="94">F420</f>
        <v>4.0650406504065047E-2</v>
      </c>
      <c r="G421" s="12">
        <f t="shared" ref="G421:G437" si="95">C421-E421</f>
        <v>0.26839689320139826</v>
      </c>
    </row>
    <row r="422" spans="1:18" x14ac:dyDescent="0.3">
      <c r="A422" s="11" t="s">
        <v>437</v>
      </c>
      <c r="B422" s="7">
        <v>7540</v>
      </c>
      <c r="C422" s="7">
        <v>50.936999999999998</v>
      </c>
      <c r="D422" s="2">
        <f t="shared" si="82"/>
        <v>-7.6000000000000512E-2</v>
      </c>
      <c r="E422" s="8">
        <f t="shared" si="93"/>
        <v>50.703952700294536</v>
      </c>
      <c r="F422" s="6">
        <f t="shared" si="94"/>
        <v>4.0650406504065047E-2</v>
      </c>
      <c r="G422" s="12">
        <f t="shared" si="95"/>
        <v>0.23304729970546134</v>
      </c>
    </row>
    <row r="423" spans="1:18" x14ac:dyDescent="0.3">
      <c r="A423" s="11" t="s">
        <v>438</v>
      </c>
      <c r="B423" s="7">
        <v>7560</v>
      </c>
      <c r="C423" s="7">
        <v>50.793999999999997</v>
      </c>
      <c r="D423" s="2">
        <f t="shared" si="82"/>
        <v>-0.14300000000000068</v>
      </c>
      <c r="E423" s="8">
        <f t="shared" si="93"/>
        <v>50.663302293790473</v>
      </c>
      <c r="F423" s="6">
        <f t="shared" si="94"/>
        <v>4.0650406504065047E-2</v>
      </c>
      <c r="G423" s="12">
        <f t="shared" si="95"/>
        <v>0.13069770620952426</v>
      </c>
    </row>
    <row r="424" spans="1:18" x14ac:dyDescent="0.3">
      <c r="A424" s="11" t="s">
        <v>439</v>
      </c>
      <c r="B424" s="7">
        <v>7580</v>
      </c>
      <c r="C424" s="7">
        <v>50.622</v>
      </c>
      <c r="D424" s="2">
        <f>C424-C423</f>
        <v>-0.17199999999999704</v>
      </c>
      <c r="E424" s="8">
        <f t="shared" si="93"/>
        <v>50.622651887286409</v>
      </c>
      <c r="F424" s="6">
        <f>F423</f>
        <v>4.0650406504065047E-2</v>
      </c>
      <c r="G424" s="12">
        <f>C424-E424</f>
        <v>-6.518872864091918E-4</v>
      </c>
    </row>
    <row r="425" spans="1:18" x14ac:dyDescent="0.3">
      <c r="A425" s="11"/>
      <c r="B425" s="7"/>
      <c r="C425" s="7"/>
      <c r="D425" s="2"/>
      <c r="E425" s="8"/>
      <c r="F425" s="6"/>
      <c r="G425" s="12"/>
      <c r="H425" s="4" t="s">
        <v>3203</v>
      </c>
      <c r="J425" s="4"/>
      <c r="O425" s="3">
        <f>1/O426</f>
        <v>3.1645569620253164E-3</v>
      </c>
      <c r="P425" s="3">
        <f>O425*20</f>
        <v>6.3291139240506333E-2</v>
      </c>
      <c r="Q425" s="3" t="s">
        <v>3200</v>
      </c>
      <c r="R425" s="3">
        <v>316</v>
      </c>
    </row>
    <row r="426" spans="1:18" x14ac:dyDescent="0.3">
      <c r="A426" s="11" t="s">
        <v>440</v>
      </c>
      <c r="B426" s="7">
        <v>7600</v>
      </c>
      <c r="C426" s="7">
        <v>50.454999999999998</v>
      </c>
      <c r="D426" s="2">
        <f>C426-C424</f>
        <v>-0.16700000000000159</v>
      </c>
      <c r="E426" s="8">
        <f>E424-F426</f>
        <v>50.559360748045904</v>
      </c>
      <c r="F426" s="6">
        <f>P425</f>
        <v>6.3291139240506333E-2</v>
      </c>
      <c r="G426" s="12">
        <f t="shared" ref="G426" si="96">C426-E426</f>
        <v>-0.10436074804590589</v>
      </c>
      <c r="H426" s="3">
        <f>B424</f>
        <v>7580</v>
      </c>
      <c r="I426" s="3">
        <f>B435</f>
        <v>7780</v>
      </c>
      <c r="J426" s="3">
        <f>I426-H426</f>
        <v>200</v>
      </c>
      <c r="K426" s="5">
        <f>E424</f>
        <v>50.622651887286409</v>
      </c>
      <c r="L426" s="3">
        <f>C435</f>
        <v>49.99</v>
      </c>
      <c r="M426" s="5">
        <f>L426-K426</f>
        <v>-0.63265188728640709</v>
      </c>
      <c r="N426" s="3">
        <f>J426/M426</f>
        <v>-316.12961886172047</v>
      </c>
      <c r="O426" s="3">
        <v>316</v>
      </c>
    </row>
    <row r="427" spans="1:18" x14ac:dyDescent="0.3">
      <c r="A427" s="11" t="s">
        <v>441</v>
      </c>
      <c r="B427" s="7">
        <v>7620</v>
      </c>
      <c r="C427" s="7">
        <v>50.305999999999997</v>
      </c>
      <c r="D427" s="2">
        <f t="shared" si="82"/>
        <v>-0.14900000000000091</v>
      </c>
      <c r="E427" s="8">
        <f>E426-F426</f>
        <v>50.496069608805399</v>
      </c>
      <c r="F427" s="6">
        <f t="shared" si="94"/>
        <v>6.3291139240506333E-2</v>
      </c>
      <c r="G427" s="12">
        <f t="shared" si="95"/>
        <v>-0.19006960880540191</v>
      </c>
    </row>
    <row r="428" spans="1:18" x14ac:dyDescent="0.3">
      <c r="A428" s="11" t="s">
        <v>442</v>
      </c>
      <c r="B428" s="7">
        <v>7640</v>
      </c>
      <c r="C428" s="7">
        <v>50.176000000000002</v>
      </c>
      <c r="D428" s="2">
        <f t="shared" si="82"/>
        <v>-0.12999999999999545</v>
      </c>
      <c r="E428" s="8">
        <f t="shared" ref="E428:E435" si="97">E427-F427</f>
        <v>50.432778469564894</v>
      </c>
      <c r="F428" s="6">
        <f t="shared" si="94"/>
        <v>6.3291139240506333E-2</v>
      </c>
      <c r="G428" s="12">
        <f t="shared" si="95"/>
        <v>-0.25677846956489248</v>
      </c>
    </row>
    <row r="429" spans="1:18" x14ac:dyDescent="0.3">
      <c r="A429" s="11" t="s">
        <v>443</v>
      </c>
      <c r="B429" s="7">
        <v>7660</v>
      </c>
      <c r="C429" s="7">
        <v>50.098999999999997</v>
      </c>
      <c r="D429" s="2">
        <f>C429-C428</f>
        <v>-7.7000000000005286E-2</v>
      </c>
      <c r="E429" s="8">
        <f>E428-F428</f>
        <v>50.36948733032439</v>
      </c>
      <c r="F429" s="6">
        <f>F428</f>
        <v>6.3291139240506333E-2</v>
      </c>
      <c r="G429" s="12">
        <f>C429-E429</f>
        <v>-0.27048733032439287</v>
      </c>
    </row>
    <row r="430" spans="1:18" x14ac:dyDescent="0.3">
      <c r="A430" s="11" t="s">
        <v>444</v>
      </c>
      <c r="B430" s="7">
        <v>7680</v>
      </c>
      <c r="C430" s="7">
        <v>50.072000000000003</v>
      </c>
      <c r="D430" s="2">
        <f t="shared" si="82"/>
        <v>-2.6999999999993918E-2</v>
      </c>
      <c r="E430" s="8">
        <f>E429-F429</f>
        <v>50.306196191083885</v>
      </c>
      <c r="F430" s="6">
        <f t="shared" ref="F430" si="98">F429</f>
        <v>6.3291139240506333E-2</v>
      </c>
      <c r="G430" s="12">
        <f t="shared" ref="G430" si="99">C430-E430</f>
        <v>-0.2341961910838819</v>
      </c>
    </row>
    <row r="431" spans="1:18" x14ac:dyDescent="0.3">
      <c r="A431" s="11" t="s">
        <v>445</v>
      </c>
      <c r="B431" s="7">
        <v>7700</v>
      </c>
      <c r="C431" s="7">
        <v>50.048999999999999</v>
      </c>
      <c r="D431" s="2">
        <f t="shared" si="82"/>
        <v>-2.300000000000324E-2</v>
      </c>
      <c r="E431" s="8">
        <f t="shared" si="97"/>
        <v>50.24290505184338</v>
      </c>
      <c r="F431" s="6">
        <f t="shared" si="94"/>
        <v>6.3291139240506333E-2</v>
      </c>
      <c r="G431" s="12">
        <f t="shared" si="95"/>
        <v>-0.19390505184338025</v>
      </c>
    </row>
    <row r="432" spans="1:18" x14ac:dyDescent="0.3">
      <c r="A432" s="11" t="s">
        <v>446</v>
      </c>
      <c r="B432" s="7">
        <v>7720</v>
      </c>
      <c r="C432" s="7">
        <v>50.029000000000003</v>
      </c>
      <c r="D432" s="2">
        <f t="shared" ref="D432:D498" si="100">C432-C431</f>
        <v>-1.9999999999996021E-2</v>
      </c>
      <c r="E432" s="8">
        <f t="shared" si="97"/>
        <v>50.179613912602875</v>
      </c>
      <c r="F432" s="6">
        <f t="shared" si="94"/>
        <v>6.3291139240506333E-2</v>
      </c>
      <c r="G432" s="12">
        <f t="shared" si="95"/>
        <v>-0.15061391260287138</v>
      </c>
    </row>
    <row r="433" spans="1:18" x14ac:dyDescent="0.3">
      <c r="A433" s="11" t="s">
        <v>447</v>
      </c>
      <c r="B433" s="7">
        <v>7740</v>
      </c>
      <c r="C433" s="7">
        <v>50.027999999999999</v>
      </c>
      <c r="D433" s="2">
        <f t="shared" si="100"/>
        <v>-1.0000000000047748E-3</v>
      </c>
      <c r="E433" s="8">
        <f t="shared" si="97"/>
        <v>50.11632277336237</v>
      </c>
      <c r="F433" s="6">
        <f t="shared" si="94"/>
        <v>6.3291139240506333E-2</v>
      </c>
      <c r="G433" s="12">
        <f t="shared" si="95"/>
        <v>-8.8322773362371265E-2</v>
      </c>
    </row>
    <row r="434" spans="1:18" x14ac:dyDescent="0.3">
      <c r="A434" s="11" t="s">
        <v>448</v>
      </c>
      <c r="B434" s="7">
        <v>7760</v>
      </c>
      <c r="C434" s="7">
        <v>50.012999999999998</v>
      </c>
      <c r="D434" s="2">
        <f t="shared" si="100"/>
        <v>-1.5000000000000568E-2</v>
      </c>
      <c r="E434" s="8">
        <f t="shared" si="97"/>
        <v>50.053031634121865</v>
      </c>
      <c r="F434" s="6">
        <f t="shared" si="94"/>
        <v>6.3291139240506333E-2</v>
      </c>
      <c r="G434" s="12">
        <f t="shared" si="95"/>
        <v>-4.0031634121866944E-2</v>
      </c>
    </row>
    <row r="435" spans="1:18" x14ac:dyDescent="0.3">
      <c r="A435" s="11" t="s">
        <v>449</v>
      </c>
      <c r="B435" s="7">
        <v>7780</v>
      </c>
      <c r="C435" s="7">
        <v>49.99</v>
      </c>
      <c r="D435" s="2">
        <f t="shared" si="100"/>
        <v>-2.2999999999996135E-2</v>
      </c>
      <c r="E435" s="8">
        <f t="shared" si="97"/>
        <v>49.98974049488136</v>
      </c>
      <c r="F435" s="6">
        <f t="shared" si="94"/>
        <v>6.3291139240506333E-2</v>
      </c>
      <c r="G435" s="12">
        <f t="shared" si="95"/>
        <v>2.595051186418118E-4</v>
      </c>
    </row>
    <row r="436" spans="1:18" x14ac:dyDescent="0.3">
      <c r="A436" s="11"/>
      <c r="B436" s="7"/>
      <c r="C436" s="7"/>
      <c r="D436" s="2"/>
      <c r="E436" s="8"/>
      <c r="F436" s="6"/>
      <c r="G436" s="12"/>
      <c r="H436" s="4" t="s">
        <v>3204</v>
      </c>
      <c r="J436" s="4"/>
      <c r="O436" s="3">
        <f>1/O437</f>
        <v>1.0822510822510823E-3</v>
      </c>
      <c r="P436" s="3">
        <f>O436*20</f>
        <v>2.1645021645021644E-2</v>
      </c>
      <c r="Q436" s="3" t="s">
        <v>3200</v>
      </c>
      <c r="R436" s="3">
        <v>924</v>
      </c>
    </row>
    <row r="437" spans="1:18" x14ac:dyDescent="0.3">
      <c r="A437" s="11" t="s">
        <v>450</v>
      </c>
      <c r="B437" s="7">
        <v>7800</v>
      </c>
      <c r="C437" s="7">
        <v>49.981999999999999</v>
      </c>
      <c r="D437" s="2">
        <f>C437-C435</f>
        <v>-8.0000000000026716E-3</v>
      </c>
      <c r="E437" s="8">
        <f>E435-F437</f>
        <v>49.968095473236339</v>
      </c>
      <c r="F437" s="6">
        <f>P436</f>
        <v>2.1645021645021644E-2</v>
      </c>
      <c r="G437" s="12">
        <f t="shared" si="95"/>
        <v>1.3904526763660385E-2</v>
      </c>
      <c r="H437" s="3">
        <f>B435</f>
        <v>7780</v>
      </c>
      <c r="I437" s="3">
        <f>B476</f>
        <v>8560</v>
      </c>
      <c r="J437" s="3">
        <f>I437-H437</f>
        <v>780</v>
      </c>
      <c r="K437" s="5">
        <f>E435</f>
        <v>49.98974049488136</v>
      </c>
      <c r="L437" s="3">
        <f>C476</f>
        <v>49.146000000000001</v>
      </c>
      <c r="M437" s="5">
        <f>L437-K437</f>
        <v>-0.84374049488135938</v>
      </c>
      <c r="N437" s="3">
        <f>J437/M437</f>
        <v>-924.45485872961194</v>
      </c>
      <c r="O437" s="3">
        <v>924</v>
      </c>
    </row>
    <row r="438" spans="1:18" x14ac:dyDescent="0.3">
      <c r="A438" s="11" t="s">
        <v>451</v>
      </c>
      <c r="B438" s="7">
        <v>7820</v>
      </c>
      <c r="C438" s="7">
        <v>49.970999999999997</v>
      </c>
      <c r="D438" s="2">
        <f t="shared" si="100"/>
        <v>-1.1000000000002785E-2</v>
      </c>
      <c r="E438" s="8">
        <f t="shared" ref="E438:E448" si="101">E437-F437</f>
        <v>49.946450451591318</v>
      </c>
      <c r="F438" s="6">
        <f t="shared" ref="F438:F448" si="102">F437</f>
        <v>2.1645021645021644E-2</v>
      </c>
      <c r="G438" s="12">
        <f t="shared" ref="G438:G448" si="103">C438-E438</f>
        <v>2.4549548408678845E-2</v>
      </c>
    </row>
    <row r="439" spans="1:18" x14ac:dyDescent="0.3">
      <c r="A439" s="11" t="s">
        <v>452</v>
      </c>
      <c r="B439" s="7">
        <v>7840</v>
      </c>
      <c r="C439" s="7">
        <v>49.951999999999998</v>
      </c>
      <c r="D439" s="2">
        <f t="shared" si="100"/>
        <v>-1.8999999999998352E-2</v>
      </c>
      <c r="E439" s="8">
        <f t="shared" si="101"/>
        <v>49.924805429946296</v>
      </c>
      <c r="F439" s="6">
        <f t="shared" si="102"/>
        <v>2.1645021645021644E-2</v>
      </c>
      <c r="G439" s="12">
        <f t="shared" si="103"/>
        <v>2.7194570053701739E-2</v>
      </c>
    </row>
    <row r="440" spans="1:18" x14ac:dyDescent="0.3">
      <c r="A440" s="11" t="s">
        <v>453</v>
      </c>
      <c r="B440" s="7">
        <v>7860</v>
      </c>
      <c r="C440" s="7">
        <v>49.926000000000002</v>
      </c>
      <c r="D440" s="2">
        <f t="shared" si="100"/>
        <v>-2.5999999999996248E-2</v>
      </c>
      <c r="E440" s="8">
        <f t="shared" si="101"/>
        <v>49.903160408301275</v>
      </c>
      <c r="F440" s="6">
        <f t="shared" si="102"/>
        <v>2.1645021645021644E-2</v>
      </c>
      <c r="G440" s="12">
        <f t="shared" si="103"/>
        <v>2.2839591698726736E-2</v>
      </c>
    </row>
    <row r="441" spans="1:18" x14ac:dyDescent="0.3">
      <c r="A441" s="11" t="s">
        <v>454</v>
      </c>
      <c r="B441" s="7">
        <v>7880</v>
      </c>
      <c r="C441" s="7">
        <v>49.917999999999999</v>
      </c>
      <c r="D441" s="2">
        <f t="shared" si="100"/>
        <v>-8.0000000000026716E-3</v>
      </c>
      <c r="E441" s="8">
        <f t="shared" si="101"/>
        <v>49.881515386656254</v>
      </c>
      <c r="F441" s="6">
        <f t="shared" si="102"/>
        <v>2.1645021645021644E-2</v>
      </c>
      <c r="G441" s="12">
        <f t="shared" si="103"/>
        <v>3.6484613343745309E-2</v>
      </c>
    </row>
    <row r="442" spans="1:18" x14ac:dyDescent="0.3">
      <c r="A442" s="11" t="s">
        <v>455</v>
      </c>
      <c r="B442" s="7">
        <v>7900</v>
      </c>
      <c r="C442" s="7">
        <v>49.914000000000001</v>
      </c>
      <c r="D442" s="2">
        <f t="shared" si="100"/>
        <v>-3.9999999999977831E-3</v>
      </c>
      <c r="E442" s="8">
        <f t="shared" si="101"/>
        <v>49.859870365011233</v>
      </c>
      <c r="F442" s="6">
        <f t="shared" si="102"/>
        <v>2.1645021645021644E-2</v>
      </c>
      <c r="G442" s="12">
        <f t="shared" si="103"/>
        <v>5.4129634988768771E-2</v>
      </c>
    </row>
    <row r="443" spans="1:18" x14ac:dyDescent="0.3">
      <c r="A443" s="11" t="s">
        <v>456</v>
      </c>
      <c r="B443" s="7">
        <v>7920</v>
      </c>
      <c r="C443" s="7">
        <v>49.902999999999999</v>
      </c>
      <c r="D443" s="2">
        <f t="shared" si="100"/>
        <v>-1.1000000000002785E-2</v>
      </c>
      <c r="E443" s="8">
        <f t="shared" si="101"/>
        <v>49.838225343366211</v>
      </c>
      <c r="F443" s="6">
        <f t="shared" si="102"/>
        <v>2.1645021645021644E-2</v>
      </c>
      <c r="G443" s="12">
        <f t="shared" si="103"/>
        <v>6.4774656633787231E-2</v>
      </c>
    </row>
    <row r="444" spans="1:18" x14ac:dyDescent="0.3">
      <c r="A444" s="11" t="s">
        <v>457</v>
      </c>
      <c r="B444" s="7">
        <v>7940</v>
      </c>
      <c r="C444" s="7">
        <v>49.886000000000003</v>
      </c>
      <c r="D444" s="2">
        <f t="shared" si="100"/>
        <v>-1.6999999999995907E-2</v>
      </c>
      <c r="E444" s="8">
        <f t="shared" si="101"/>
        <v>49.81658032172119</v>
      </c>
      <c r="F444" s="6">
        <f t="shared" si="102"/>
        <v>2.1645021645021644E-2</v>
      </c>
      <c r="G444" s="12">
        <f t="shared" si="103"/>
        <v>6.9419678278812569E-2</v>
      </c>
    </row>
    <row r="445" spans="1:18" x14ac:dyDescent="0.3">
      <c r="A445" s="11" t="s">
        <v>458</v>
      </c>
      <c r="B445" s="7">
        <v>7960</v>
      </c>
      <c r="C445" s="7">
        <v>49.868000000000002</v>
      </c>
      <c r="D445" s="2">
        <f t="shared" si="100"/>
        <v>-1.8000000000000682E-2</v>
      </c>
      <c r="E445" s="8">
        <f t="shared" si="101"/>
        <v>49.794935300076169</v>
      </c>
      <c r="F445" s="6">
        <f t="shared" si="102"/>
        <v>2.1645021645021644E-2</v>
      </c>
      <c r="G445" s="12">
        <f t="shared" si="103"/>
        <v>7.3064699923833132E-2</v>
      </c>
    </row>
    <row r="446" spans="1:18" x14ac:dyDescent="0.3">
      <c r="A446" s="13" t="s">
        <v>459</v>
      </c>
      <c r="B446" s="24"/>
      <c r="C446" s="25"/>
      <c r="D446" s="25"/>
      <c r="E446" s="25"/>
      <c r="F446" s="25"/>
      <c r="G446" s="26"/>
    </row>
    <row r="447" spans="1:18" x14ac:dyDescent="0.3">
      <c r="A447" s="11" t="s">
        <v>460</v>
      </c>
      <c r="B447" s="7">
        <v>7980</v>
      </c>
      <c r="C447" s="7">
        <v>49.859000000000002</v>
      </c>
      <c r="D447" s="2">
        <f>C447-C445</f>
        <v>-9.0000000000003411E-3</v>
      </c>
      <c r="E447" s="8">
        <f>E445-F445</f>
        <v>49.773290278431148</v>
      </c>
      <c r="F447" s="6">
        <f>F445</f>
        <v>2.1645021645021644E-2</v>
      </c>
      <c r="G447" s="12">
        <f t="shared" si="103"/>
        <v>8.5709721568854036E-2</v>
      </c>
    </row>
    <row r="448" spans="1:18" x14ac:dyDescent="0.3">
      <c r="A448" s="11" t="s">
        <v>461</v>
      </c>
      <c r="B448" s="7">
        <v>8000</v>
      </c>
      <c r="C448" s="7">
        <v>49.856000000000002</v>
      </c>
      <c r="D448" s="2">
        <f t="shared" si="100"/>
        <v>-3.0000000000001137E-3</v>
      </c>
      <c r="E448" s="8">
        <f t="shared" si="101"/>
        <v>49.751645256786126</v>
      </c>
      <c r="F448" s="6">
        <f t="shared" si="102"/>
        <v>2.1645021645021644E-2</v>
      </c>
      <c r="G448" s="12">
        <f t="shared" si="103"/>
        <v>0.10435474321387517</v>
      </c>
    </row>
    <row r="449" spans="1:7" x14ac:dyDescent="0.3">
      <c r="A449" s="11" t="s">
        <v>462</v>
      </c>
      <c r="B449" s="7">
        <v>8020</v>
      </c>
      <c r="C449" s="7">
        <v>49.843000000000004</v>
      </c>
      <c r="D449" s="2">
        <f t="shared" si="100"/>
        <v>-1.2999999999998124E-2</v>
      </c>
      <c r="E449" s="8">
        <f t="shared" ref="E449:E458" si="104">E448-F448</f>
        <v>49.730000235141105</v>
      </c>
      <c r="F449" s="6">
        <f t="shared" ref="F449:F458" si="105">F448</f>
        <v>2.1645021645021644E-2</v>
      </c>
      <c r="G449" s="12">
        <f t="shared" ref="G449:G458" si="106">C449-E449</f>
        <v>0.11299976485889829</v>
      </c>
    </row>
    <row r="450" spans="1:7" x14ac:dyDescent="0.3">
      <c r="A450" s="11" t="s">
        <v>463</v>
      </c>
      <c r="B450" s="7">
        <v>8040</v>
      </c>
      <c r="C450" s="7">
        <v>49.823</v>
      </c>
      <c r="D450" s="2">
        <f t="shared" si="100"/>
        <v>-2.0000000000003126E-2</v>
      </c>
      <c r="E450" s="8">
        <f t="shared" si="104"/>
        <v>49.708355213496084</v>
      </c>
      <c r="F450" s="6">
        <f t="shared" si="105"/>
        <v>2.1645021645021644E-2</v>
      </c>
      <c r="G450" s="12">
        <f t="shared" si="106"/>
        <v>0.11464478650391641</v>
      </c>
    </row>
    <row r="451" spans="1:7" x14ac:dyDescent="0.3">
      <c r="A451" s="11" t="s">
        <v>464</v>
      </c>
      <c r="B451" s="7">
        <v>8060</v>
      </c>
      <c r="C451" s="7">
        <v>49.808999999999997</v>
      </c>
      <c r="D451" s="2">
        <f t="shared" si="100"/>
        <v>-1.4000000000002899E-2</v>
      </c>
      <c r="E451" s="8">
        <f t="shared" si="104"/>
        <v>49.686710191851063</v>
      </c>
      <c r="F451" s="6">
        <f t="shared" si="105"/>
        <v>2.1645021645021644E-2</v>
      </c>
      <c r="G451" s="12">
        <f t="shared" si="106"/>
        <v>0.12228980814893475</v>
      </c>
    </row>
    <row r="452" spans="1:7" x14ac:dyDescent="0.3">
      <c r="A452" s="11" t="s">
        <v>465</v>
      </c>
      <c r="B452" s="7">
        <v>8080</v>
      </c>
      <c r="C452" s="7">
        <v>49.792000000000002</v>
      </c>
      <c r="D452" s="2">
        <f t="shared" si="100"/>
        <v>-1.6999999999995907E-2</v>
      </c>
      <c r="E452" s="8">
        <f t="shared" si="104"/>
        <v>49.665065170206042</v>
      </c>
      <c r="F452" s="6">
        <f t="shared" si="105"/>
        <v>2.1645021645021644E-2</v>
      </c>
      <c r="G452" s="12">
        <f t="shared" si="106"/>
        <v>0.12693482979396009</v>
      </c>
    </row>
    <row r="453" spans="1:7" x14ac:dyDescent="0.3">
      <c r="A453" s="11" t="s">
        <v>466</v>
      </c>
      <c r="B453" s="7">
        <v>8100</v>
      </c>
      <c r="C453" s="7">
        <v>49.776000000000003</v>
      </c>
      <c r="D453" s="2">
        <f t="shared" si="100"/>
        <v>-1.5999999999998238E-2</v>
      </c>
      <c r="E453" s="8">
        <f t="shared" si="104"/>
        <v>49.64342014856102</v>
      </c>
      <c r="F453" s="6">
        <f t="shared" si="105"/>
        <v>2.1645021645021644E-2</v>
      </c>
      <c r="G453" s="12">
        <f t="shared" si="106"/>
        <v>0.1325798514389831</v>
      </c>
    </row>
    <row r="454" spans="1:7" x14ac:dyDescent="0.3">
      <c r="A454" s="11" t="s">
        <v>467</v>
      </c>
      <c r="B454" s="7">
        <v>8120</v>
      </c>
      <c r="C454" s="7">
        <v>49.76</v>
      </c>
      <c r="D454" s="2">
        <f t="shared" si="100"/>
        <v>-1.6000000000005343E-2</v>
      </c>
      <c r="E454" s="8">
        <f t="shared" si="104"/>
        <v>49.621775126915999</v>
      </c>
      <c r="F454" s="6">
        <f t="shared" si="105"/>
        <v>2.1645021645021644E-2</v>
      </c>
      <c r="G454" s="12">
        <f t="shared" si="106"/>
        <v>0.138224873083999</v>
      </c>
    </row>
    <row r="455" spans="1:7" x14ac:dyDescent="0.3">
      <c r="A455" s="11" t="s">
        <v>468</v>
      </c>
      <c r="B455" s="7">
        <v>8140</v>
      </c>
      <c r="C455" s="7">
        <v>49.735999999999997</v>
      </c>
      <c r="D455" s="2">
        <f t="shared" si="100"/>
        <v>-2.4000000000000909E-2</v>
      </c>
      <c r="E455" s="8">
        <f t="shared" si="104"/>
        <v>49.600130105270978</v>
      </c>
      <c r="F455" s="6">
        <f t="shared" si="105"/>
        <v>2.1645021645021644E-2</v>
      </c>
      <c r="G455" s="12">
        <f t="shared" si="106"/>
        <v>0.13586989472901934</v>
      </c>
    </row>
    <row r="456" spans="1:7" x14ac:dyDescent="0.3">
      <c r="A456" s="11" t="s">
        <v>469</v>
      </c>
      <c r="B456" s="7">
        <v>8160</v>
      </c>
      <c r="C456" s="7">
        <v>49.706000000000003</v>
      </c>
      <c r="D456" s="2">
        <f t="shared" si="100"/>
        <v>-2.9999999999994031E-2</v>
      </c>
      <c r="E456" s="8">
        <f t="shared" si="104"/>
        <v>49.578485083625957</v>
      </c>
      <c r="F456" s="6">
        <f t="shared" si="105"/>
        <v>2.1645021645021644E-2</v>
      </c>
      <c r="G456" s="12">
        <f t="shared" si="106"/>
        <v>0.12751491637404655</v>
      </c>
    </row>
    <row r="457" spans="1:7" x14ac:dyDescent="0.3">
      <c r="A457" s="11" t="s">
        <v>470</v>
      </c>
      <c r="B457" s="7">
        <v>8180</v>
      </c>
      <c r="C457" s="7">
        <v>49.677</v>
      </c>
      <c r="D457" s="2">
        <f t="shared" si="100"/>
        <v>-2.9000000000003467E-2</v>
      </c>
      <c r="E457" s="8">
        <f t="shared" si="104"/>
        <v>49.556840061980935</v>
      </c>
      <c r="F457" s="6">
        <f t="shared" si="105"/>
        <v>2.1645021645021644E-2</v>
      </c>
      <c r="G457" s="12">
        <f t="shared" si="106"/>
        <v>0.12015993801906433</v>
      </c>
    </row>
    <row r="458" spans="1:7" x14ac:dyDescent="0.3">
      <c r="A458" s="11" t="s">
        <v>471</v>
      </c>
      <c r="B458" s="7">
        <v>8200</v>
      </c>
      <c r="C458" s="7">
        <v>49.652000000000001</v>
      </c>
      <c r="D458" s="2">
        <f t="shared" si="100"/>
        <v>-2.4999999999998579E-2</v>
      </c>
      <c r="E458" s="8">
        <f t="shared" si="104"/>
        <v>49.535195040335914</v>
      </c>
      <c r="F458" s="6">
        <f t="shared" si="105"/>
        <v>2.1645021645021644E-2</v>
      </c>
      <c r="G458" s="12">
        <f t="shared" si="106"/>
        <v>0.11680495966408699</v>
      </c>
    </row>
    <row r="459" spans="1:7" x14ac:dyDescent="0.3">
      <c r="A459" s="11" t="s">
        <v>472</v>
      </c>
      <c r="B459" s="7">
        <v>8220</v>
      </c>
      <c r="C459" s="7">
        <v>49.603999999999999</v>
      </c>
      <c r="D459" s="2">
        <f t="shared" si="100"/>
        <v>-4.8000000000001819E-2</v>
      </c>
      <c r="E459" s="8">
        <f t="shared" ref="E459:E476" si="107">E458-F458</f>
        <v>49.513550018690893</v>
      </c>
      <c r="F459" s="6">
        <f t="shared" ref="F459:F476" si="108">F458</f>
        <v>2.1645021645021644E-2</v>
      </c>
      <c r="G459" s="12">
        <f t="shared" ref="G459:G476" si="109">C459-E459</f>
        <v>9.044998130910642E-2</v>
      </c>
    </row>
    <row r="460" spans="1:7" x14ac:dyDescent="0.3">
      <c r="A460" s="11" t="s">
        <v>473</v>
      </c>
      <c r="B460" s="7">
        <v>8240</v>
      </c>
      <c r="C460" s="7">
        <v>49.542000000000002</v>
      </c>
      <c r="D460" s="2">
        <f t="shared" si="100"/>
        <v>-6.1999999999997613E-2</v>
      </c>
      <c r="E460" s="8">
        <f t="shared" si="107"/>
        <v>49.491904997045872</v>
      </c>
      <c r="F460" s="6">
        <f t="shared" si="108"/>
        <v>2.1645021645021644E-2</v>
      </c>
      <c r="G460" s="12">
        <f t="shared" si="109"/>
        <v>5.0095002954130052E-2</v>
      </c>
    </row>
    <row r="461" spans="1:7" x14ac:dyDescent="0.3">
      <c r="A461" s="11" t="s">
        <v>474</v>
      </c>
      <c r="B461" s="7">
        <v>8260</v>
      </c>
      <c r="C461" s="7">
        <v>49.499000000000002</v>
      </c>
      <c r="D461" s="2">
        <f t="shared" si="100"/>
        <v>-4.2999999999999261E-2</v>
      </c>
      <c r="E461" s="8">
        <f t="shared" si="107"/>
        <v>49.47025997540085</v>
      </c>
      <c r="F461" s="6">
        <f t="shared" si="108"/>
        <v>2.1645021645021644E-2</v>
      </c>
      <c r="G461" s="12">
        <f t="shared" si="109"/>
        <v>2.8740024599152036E-2</v>
      </c>
    </row>
    <row r="462" spans="1:7" x14ac:dyDescent="0.3">
      <c r="A462" s="11" t="s">
        <v>475</v>
      </c>
      <c r="B462" s="7">
        <v>8280</v>
      </c>
      <c r="C462" s="7">
        <v>49.46</v>
      </c>
      <c r="D462" s="2">
        <f t="shared" si="100"/>
        <v>-3.9000000000001478E-2</v>
      </c>
      <c r="E462" s="8">
        <f t="shared" si="107"/>
        <v>49.448614953755829</v>
      </c>
      <c r="F462" s="6">
        <f t="shared" si="108"/>
        <v>2.1645021645021644E-2</v>
      </c>
      <c r="G462" s="12">
        <f t="shared" si="109"/>
        <v>1.1385046244171804E-2</v>
      </c>
    </row>
    <row r="463" spans="1:7" x14ac:dyDescent="0.3">
      <c r="A463" s="11" t="s">
        <v>476</v>
      </c>
      <c r="B463" s="7">
        <v>8300</v>
      </c>
      <c r="C463" s="7">
        <v>49.42</v>
      </c>
      <c r="D463" s="2">
        <f t="shared" si="100"/>
        <v>-3.9999999999999147E-2</v>
      </c>
      <c r="E463" s="8">
        <f t="shared" si="107"/>
        <v>49.426969932110808</v>
      </c>
      <c r="F463" s="6">
        <f t="shared" si="108"/>
        <v>2.1645021645021644E-2</v>
      </c>
      <c r="G463" s="12">
        <f t="shared" si="109"/>
        <v>-6.9699321108060985E-3</v>
      </c>
    </row>
    <row r="464" spans="1:7" x14ac:dyDescent="0.3">
      <c r="A464" s="11" t="s">
        <v>477</v>
      </c>
      <c r="B464" s="7">
        <v>8320</v>
      </c>
      <c r="C464" s="7">
        <v>49.392000000000003</v>
      </c>
      <c r="D464" s="2">
        <f t="shared" si="100"/>
        <v>-2.7999999999998693E-2</v>
      </c>
      <c r="E464" s="8">
        <f t="shared" si="107"/>
        <v>49.405324910465787</v>
      </c>
      <c r="F464" s="6">
        <f t="shared" si="108"/>
        <v>2.1645021645021644E-2</v>
      </c>
      <c r="G464" s="12">
        <f t="shared" si="109"/>
        <v>-1.3324910465783546E-2</v>
      </c>
    </row>
    <row r="465" spans="1:18" x14ac:dyDescent="0.3">
      <c r="A465" s="11" t="s">
        <v>478</v>
      </c>
      <c r="B465" s="7">
        <v>8340</v>
      </c>
      <c r="C465" s="7">
        <v>49.357999999999997</v>
      </c>
      <c r="D465" s="2">
        <f t="shared" si="100"/>
        <v>-3.4000000000006025E-2</v>
      </c>
      <c r="E465" s="8">
        <f t="shared" si="107"/>
        <v>49.383679888820765</v>
      </c>
      <c r="F465" s="6">
        <f t="shared" si="108"/>
        <v>2.1645021645021644E-2</v>
      </c>
      <c r="G465" s="12">
        <f t="shared" si="109"/>
        <v>-2.5679888820768326E-2</v>
      </c>
    </row>
    <row r="466" spans="1:18" x14ac:dyDescent="0.3">
      <c r="A466" s="11" t="s">
        <v>479</v>
      </c>
      <c r="B466" s="7">
        <v>8360</v>
      </c>
      <c r="C466" s="7">
        <v>49.322000000000003</v>
      </c>
      <c r="D466" s="2">
        <f t="shared" si="100"/>
        <v>-3.5999999999994259E-2</v>
      </c>
      <c r="E466" s="8">
        <f t="shared" si="107"/>
        <v>49.362034867175744</v>
      </c>
      <c r="F466" s="6">
        <f t="shared" si="108"/>
        <v>2.1645021645021644E-2</v>
      </c>
      <c r="G466" s="12">
        <f t="shared" si="109"/>
        <v>-4.003486717574134E-2</v>
      </c>
    </row>
    <row r="467" spans="1:18" x14ac:dyDescent="0.3">
      <c r="A467" s="11" t="s">
        <v>480</v>
      </c>
      <c r="B467" s="7">
        <v>8380</v>
      </c>
      <c r="C467" s="7">
        <v>49.29</v>
      </c>
      <c r="D467" s="2">
        <f t="shared" si="100"/>
        <v>-3.2000000000003581E-2</v>
      </c>
      <c r="E467" s="8">
        <f t="shared" si="107"/>
        <v>49.340389845530723</v>
      </c>
      <c r="F467" s="6">
        <f t="shared" si="108"/>
        <v>2.1645021645021644E-2</v>
      </c>
      <c r="G467" s="12">
        <f t="shared" si="109"/>
        <v>-5.0389845530723676E-2</v>
      </c>
    </row>
    <row r="468" spans="1:18" x14ac:dyDescent="0.3">
      <c r="A468" s="11" t="s">
        <v>481</v>
      </c>
      <c r="B468" s="7">
        <v>8400</v>
      </c>
      <c r="C468" s="7">
        <v>49.273000000000003</v>
      </c>
      <c r="D468" s="2">
        <f t="shared" si="100"/>
        <v>-1.6999999999995907E-2</v>
      </c>
      <c r="E468" s="8">
        <f t="shared" si="107"/>
        <v>49.318744823885702</v>
      </c>
      <c r="F468" s="6">
        <f t="shared" si="108"/>
        <v>2.1645021645021644E-2</v>
      </c>
      <c r="G468" s="12">
        <f t="shared" si="109"/>
        <v>-4.5744823885698338E-2</v>
      </c>
    </row>
    <row r="469" spans="1:18" x14ac:dyDescent="0.3">
      <c r="A469" s="11" t="s">
        <v>482</v>
      </c>
      <c r="B469" s="7">
        <v>8420</v>
      </c>
      <c r="C469" s="7">
        <v>49.261000000000003</v>
      </c>
      <c r="D469" s="2">
        <f t="shared" si="100"/>
        <v>-1.2000000000000455E-2</v>
      </c>
      <c r="E469" s="8">
        <f t="shared" si="107"/>
        <v>49.29709980224068</v>
      </c>
      <c r="F469" s="6">
        <f t="shared" si="108"/>
        <v>2.1645021645021644E-2</v>
      </c>
      <c r="G469" s="12">
        <f t="shared" si="109"/>
        <v>-3.6099802240677548E-2</v>
      </c>
    </row>
    <row r="470" spans="1:18" x14ac:dyDescent="0.3">
      <c r="A470" s="11" t="s">
        <v>483</v>
      </c>
      <c r="B470" s="7">
        <v>8440</v>
      </c>
      <c r="C470" s="7">
        <v>49.253999999999998</v>
      </c>
      <c r="D470" s="2">
        <f t="shared" si="100"/>
        <v>-7.0000000000050022E-3</v>
      </c>
      <c r="E470" s="8">
        <f t="shared" si="107"/>
        <v>49.275454780595659</v>
      </c>
      <c r="F470" s="6">
        <f t="shared" si="108"/>
        <v>2.1645021645021644E-2</v>
      </c>
      <c r="G470" s="12">
        <f t="shared" si="109"/>
        <v>-2.1454780595661305E-2</v>
      </c>
    </row>
    <row r="471" spans="1:18" x14ac:dyDescent="0.3">
      <c r="A471" s="11" t="s">
        <v>484</v>
      </c>
      <c r="B471" s="7">
        <v>8460</v>
      </c>
      <c r="C471" s="7">
        <v>49.262999999999998</v>
      </c>
      <c r="D471" s="2">
        <f t="shared" si="100"/>
        <v>9.0000000000003411E-3</v>
      </c>
      <c r="E471" s="8">
        <f t="shared" si="107"/>
        <v>49.253809758950638</v>
      </c>
      <c r="F471" s="6">
        <f t="shared" si="108"/>
        <v>2.1645021645021644E-2</v>
      </c>
      <c r="G471" s="12">
        <f t="shared" si="109"/>
        <v>9.1902410493602815E-3</v>
      </c>
    </row>
    <row r="472" spans="1:18" x14ac:dyDescent="0.3">
      <c r="A472" s="11" t="s">
        <v>485</v>
      </c>
      <c r="B472" s="7">
        <v>8480</v>
      </c>
      <c r="C472" s="7">
        <v>49.28</v>
      </c>
      <c r="D472" s="2">
        <f t="shared" si="100"/>
        <v>1.7000000000003013E-2</v>
      </c>
      <c r="E472" s="8">
        <f t="shared" si="107"/>
        <v>49.232164737305617</v>
      </c>
      <c r="F472" s="6">
        <f t="shared" si="108"/>
        <v>2.1645021645021644E-2</v>
      </c>
      <c r="G472" s="12">
        <f t="shared" si="109"/>
        <v>4.7835262694384539E-2</v>
      </c>
    </row>
    <row r="473" spans="1:18" x14ac:dyDescent="0.3">
      <c r="A473" s="11" t="s">
        <v>486</v>
      </c>
      <c r="B473" s="7">
        <v>8500</v>
      </c>
      <c r="C473" s="7">
        <v>49.298999999999999</v>
      </c>
      <c r="D473" s="2">
        <f t="shared" si="100"/>
        <v>1.8999999999998352E-2</v>
      </c>
      <c r="E473" s="8">
        <f t="shared" si="107"/>
        <v>49.210519715660595</v>
      </c>
      <c r="F473" s="6">
        <f t="shared" si="108"/>
        <v>2.1645021645021644E-2</v>
      </c>
      <c r="G473" s="12">
        <f t="shared" si="109"/>
        <v>8.8480284339404136E-2</v>
      </c>
    </row>
    <row r="474" spans="1:18" x14ac:dyDescent="0.3">
      <c r="A474" s="11" t="s">
        <v>487</v>
      </c>
      <c r="B474" s="7">
        <v>8520</v>
      </c>
      <c r="C474" s="7">
        <v>49.28</v>
      </c>
      <c r="D474" s="2">
        <f t="shared" si="100"/>
        <v>-1.8999999999998352E-2</v>
      </c>
      <c r="E474" s="8">
        <f t="shared" si="107"/>
        <v>49.188874694015574</v>
      </c>
      <c r="F474" s="6">
        <f t="shared" si="108"/>
        <v>2.1645021645021644E-2</v>
      </c>
      <c r="G474" s="12">
        <f t="shared" si="109"/>
        <v>9.112530598442703E-2</v>
      </c>
    </row>
    <row r="475" spans="1:18" x14ac:dyDescent="0.3">
      <c r="A475" s="11" t="s">
        <v>488</v>
      </c>
      <c r="B475" s="7">
        <v>8540</v>
      </c>
      <c r="C475" s="7">
        <v>49.216000000000001</v>
      </c>
      <c r="D475" s="2">
        <f t="shared" si="100"/>
        <v>-6.4000000000000057E-2</v>
      </c>
      <c r="E475" s="8">
        <f t="shared" si="107"/>
        <v>49.167229672370553</v>
      </c>
      <c r="F475" s="6">
        <f t="shared" si="108"/>
        <v>2.1645021645021644E-2</v>
      </c>
      <c r="G475" s="12">
        <f t="shared" si="109"/>
        <v>4.8770327629448218E-2</v>
      </c>
    </row>
    <row r="476" spans="1:18" x14ac:dyDescent="0.3">
      <c r="A476" s="11" t="s">
        <v>489</v>
      </c>
      <c r="B476" s="7">
        <v>8560</v>
      </c>
      <c r="C476" s="7">
        <v>49.146000000000001</v>
      </c>
      <c r="D476" s="2">
        <f t="shared" si="100"/>
        <v>-7.0000000000000284E-2</v>
      </c>
      <c r="E476" s="8">
        <f t="shared" si="107"/>
        <v>49.145584650725532</v>
      </c>
      <c r="F476" s="6">
        <f t="shared" si="108"/>
        <v>2.1645021645021644E-2</v>
      </c>
      <c r="G476" s="12">
        <f t="shared" si="109"/>
        <v>4.1534927446917891E-4</v>
      </c>
    </row>
    <row r="477" spans="1:18" x14ac:dyDescent="0.3">
      <c r="A477" s="11"/>
      <c r="B477" s="24"/>
      <c r="C477" s="25"/>
      <c r="D477" s="25"/>
      <c r="E477" s="25"/>
      <c r="F477" s="25"/>
      <c r="G477" s="26"/>
      <c r="H477" s="4" t="s">
        <v>7</v>
      </c>
      <c r="J477" s="4"/>
      <c r="O477" s="3">
        <f>1/O478</f>
        <v>4.2194092827004216E-3</v>
      </c>
      <c r="P477" s="3">
        <f>O477*20</f>
        <v>8.4388185654008435E-2</v>
      </c>
      <c r="Q477" s="3" t="s">
        <v>3200</v>
      </c>
      <c r="R477" s="3">
        <v>237</v>
      </c>
    </row>
    <row r="478" spans="1:18" x14ac:dyDescent="0.3">
      <c r="A478" s="11" t="s">
        <v>490</v>
      </c>
      <c r="B478" s="7">
        <v>8580</v>
      </c>
      <c r="C478" s="7">
        <v>49.003</v>
      </c>
      <c r="D478" s="2">
        <f>C478-C476</f>
        <v>-0.14300000000000068</v>
      </c>
      <c r="E478" s="8">
        <f>E476-F478</f>
        <v>49.061196465071525</v>
      </c>
      <c r="F478" s="6">
        <f>P477</f>
        <v>8.4388185654008435E-2</v>
      </c>
      <c r="G478" s="12">
        <f>C478-E478</f>
        <v>-5.8196465071524983E-2</v>
      </c>
      <c r="H478" s="3">
        <f>B476</f>
        <v>8560</v>
      </c>
      <c r="I478" s="3">
        <f>B487</f>
        <v>8760</v>
      </c>
      <c r="J478" s="3">
        <f>I478-H478</f>
        <v>200</v>
      </c>
      <c r="K478" s="5">
        <f>E476</f>
        <v>49.145584650725532</v>
      </c>
      <c r="L478" s="3">
        <f>C487</f>
        <v>48.302999999999997</v>
      </c>
      <c r="M478" s="5">
        <f>L478-K478</f>
        <v>-0.84258465072553435</v>
      </c>
      <c r="N478" s="3">
        <f>J478/M478</f>
        <v>-237.3648746482429</v>
      </c>
      <c r="O478" s="3">
        <v>237</v>
      </c>
    </row>
    <row r="479" spans="1:18" x14ac:dyDescent="0.3">
      <c r="A479" s="11" t="s">
        <v>491</v>
      </c>
      <c r="B479" s="7">
        <v>8600</v>
      </c>
      <c r="C479" s="7">
        <v>49</v>
      </c>
      <c r="D479" s="2">
        <f t="shared" si="100"/>
        <v>-3.0000000000001137E-3</v>
      </c>
      <c r="E479" s="8">
        <f>E478-F478</f>
        <v>48.976808279417519</v>
      </c>
      <c r="F479" s="6">
        <f t="shared" ref="F479" si="110">F478</f>
        <v>8.4388185654008435E-2</v>
      </c>
      <c r="G479" s="12">
        <f t="shared" ref="G479" si="111">C479-E479</f>
        <v>2.3191720582481423E-2</v>
      </c>
    </row>
    <row r="480" spans="1:18" x14ac:dyDescent="0.3">
      <c r="A480" s="11" t="s">
        <v>492</v>
      </c>
      <c r="B480" s="7">
        <v>8620</v>
      </c>
      <c r="C480" s="7">
        <v>48.997999999999998</v>
      </c>
      <c r="D480" s="2">
        <f t="shared" si="100"/>
        <v>-2.0000000000024443E-3</v>
      </c>
      <c r="E480" s="8">
        <f t="shared" ref="E480:E506" si="112">E479-F479</f>
        <v>48.892420093763512</v>
      </c>
      <c r="F480" s="6">
        <f t="shared" ref="F480:F506" si="113">F479</f>
        <v>8.4388185654008435E-2</v>
      </c>
      <c r="G480" s="12">
        <f t="shared" ref="G480:G506" si="114">C480-E480</f>
        <v>0.1055799062364855</v>
      </c>
    </row>
    <row r="481" spans="1:18" x14ac:dyDescent="0.3">
      <c r="A481" s="11" t="s">
        <v>493</v>
      </c>
      <c r="B481" s="7">
        <v>8640</v>
      </c>
      <c r="C481" s="7">
        <v>48.936</v>
      </c>
      <c r="D481" s="2">
        <f t="shared" si="100"/>
        <v>-6.1999999999997613E-2</v>
      </c>
      <c r="E481" s="8">
        <f t="shared" si="112"/>
        <v>48.808031908109506</v>
      </c>
      <c r="F481" s="6">
        <f t="shared" si="113"/>
        <v>8.4388185654008435E-2</v>
      </c>
      <c r="G481" s="12">
        <f t="shared" si="114"/>
        <v>0.12796809189049441</v>
      </c>
    </row>
    <row r="482" spans="1:18" x14ac:dyDescent="0.3">
      <c r="A482" s="11" t="s">
        <v>494</v>
      </c>
      <c r="B482" s="7">
        <v>8660</v>
      </c>
      <c r="C482" s="7">
        <v>48.860999999999997</v>
      </c>
      <c r="D482" s="2">
        <f t="shared" si="100"/>
        <v>-7.5000000000002842E-2</v>
      </c>
      <c r="E482" s="8">
        <f t="shared" si="112"/>
        <v>48.723643722455499</v>
      </c>
      <c r="F482" s="6">
        <f t="shared" si="113"/>
        <v>8.4388185654008435E-2</v>
      </c>
      <c r="G482" s="12">
        <f t="shared" si="114"/>
        <v>0.13735627754449808</v>
      </c>
    </row>
    <row r="483" spans="1:18" x14ac:dyDescent="0.3">
      <c r="A483" s="11" t="s">
        <v>495</v>
      </c>
      <c r="B483" s="7">
        <v>8680</v>
      </c>
      <c r="C483" s="7">
        <v>48.780999999999999</v>
      </c>
      <c r="D483" s="2">
        <f t="shared" si="100"/>
        <v>-7.9999999999998295E-2</v>
      </c>
      <c r="E483" s="8">
        <f t="shared" si="112"/>
        <v>48.639255536801492</v>
      </c>
      <c r="F483" s="6">
        <f t="shared" si="113"/>
        <v>8.4388185654008435E-2</v>
      </c>
      <c r="G483" s="12">
        <f t="shared" si="114"/>
        <v>0.14174446319850631</v>
      </c>
    </row>
    <row r="484" spans="1:18" x14ac:dyDescent="0.3">
      <c r="A484" s="11" t="s">
        <v>496</v>
      </c>
      <c r="B484" s="7">
        <v>8700</v>
      </c>
      <c r="C484" s="7">
        <v>48.686</v>
      </c>
      <c r="D484" s="2">
        <f t="shared" si="100"/>
        <v>-9.4999999999998863E-2</v>
      </c>
      <c r="E484" s="8">
        <f t="shared" si="112"/>
        <v>48.554867351147486</v>
      </c>
      <c r="F484" s="6">
        <f t="shared" si="113"/>
        <v>8.4388185654008435E-2</v>
      </c>
      <c r="G484" s="12">
        <f t="shared" si="114"/>
        <v>0.13113264885251397</v>
      </c>
    </row>
    <row r="485" spans="1:18" x14ac:dyDescent="0.3">
      <c r="A485" s="11" t="s">
        <v>497</v>
      </c>
      <c r="B485" s="7">
        <v>8720</v>
      </c>
      <c r="C485" s="7">
        <v>48.569000000000003</v>
      </c>
      <c r="D485" s="2">
        <f t="shared" si="100"/>
        <v>-0.11699999999999733</v>
      </c>
      <c r="E485" s="8">
        <f t="shared" si="112"/>
        <v>48.470479165493479</v>
      </c>
      <c r="F485" s="6">
        <f t="shared" si="113"/>
        <v>8.4388185654008435E-2</v>
      </c>
      <c r="G485" s="12">
        <f t="shared" si="114"/>
        <v>9.8520834506523158E-2</v>
      </c>
    </row>
    <row r="486" spans="1:18" x14ac:dyDescent="0.3">
      <c r="A486" s="11" t="s">
        <v>498</v>
      </c>
      <c r="B486" s="7">
        <v>8740</v>
      </c>
      <c r="C486" s="7">
        <v>48.439</v>
      </c>
      <c r="D486" s="2">
        <f t="shared" si="100"/>
        <v>-0.13000000000000256</v>
      </c>
      <c r="E486" s="8">
        <f t="shared" si="112"/>
        <v>48.386090979839473</v>
      </c>
      <c r="F486" s="6">
        <f t="shared" si="113"/>
        <v>8.4388185654008435E-2</v>
      </c>
      <c r="G486" s="12">
        <f t="shared" si="114"/>
        <v>5.290902016052712E-2</v>
      </c>
    </row>
    <row r="487" spans="1:18" x14ac:dyDescent="0.3">
      <c r="A487" s="11" t="s">
        <v>499</v>
      </c>
      <c r="B487" s="7">
        <v>8760</v>
      </c>
      <c r="C487" s="7">
        <v>48.302999999999997</v>
      </c>
      <c r="D487" s="2">
        <f t="shared" si="100"/>
        <v>-0.13600000000000279</v>
      </c>
      <c r="E487" s="8">
        <f t="shared" si="112"/>
        <v>48.301702794185466</v>
      </c>
      <c r="F487" s="6">
        <f t="shared" si="113"/>
        <v>8.4388185654008435E-2</v>
      </c>
      <c r="G487" s="12">
        <f t="shared" si="114"/>
        <v>1.2972058145308552E-3</v>
      </c>
    </row>
    <row r="488" spans="1:18" x14ac:dyDescent="0.3">
      <c r="A488" s="21"/>
      <c r="B488" s="22"/>
      <c r="C488" s="22"/>
      <c r="D488" s="22"/>
      <c r="E488" s="22"/>
      <c r="F488" s="22"/>
      <c r="G488" s="23"/>
      <c r="H488" s="4" t="s">
        <v>8</v>
      </c>
      <c r="J488" s="4"/>
      <c r="O488" s="3">
        <f>1/O489</f>
        <v>7.462686567164179E-3</v>
      </c>
      <c r="P488" s="3">
        <f>O488*20</f>
        <v>0.14925373134328357</v>
      </c>
      <c r="Q488" s="3" t="s">
        <v>3200</v>
      </c>
      <c r="R488" s="3">
        <v>134</v>
      </c>
    </row>
    <row r="489" spans="1:18" x14ac:dyDescent="0.3">
      <c r="A489" s="11" t="s">
        <v>500</v>
      </c>
      <c r="B489" s="7">
        <v>8780</v>
      </c>
      <c r="C489" s="7">
        <v>48.17</v>
      </c>
      <c r="D489" s="2">
        <f>C489-C487</f>
        <v>-0.13299999999999557</v>
      </c>
      <c r="E489" s="8">
        <f>E487-F489</f>
        <v>48.15244906284218</v>
      </c>
      <c r="F489" s="6">
        <f>P488</f>
        <v>0.14925373134328357</v>
      </c>
      <c r="G489" s="12">
        <f>C489-E489</f>
        <v>1.7550937157821522E-2</v>
      </c>
      <c r="H489" s="3">
        <f>B487</f>
        <v>8760</v>
      </c>
      <c r="I489" s="3">
        <f>B521</f>
        <v>9400</v>
      </c>
      <c r="J489" s="3">
        <f>I489-H489</f>
        <v>640</v>
      </c>
      <c r="K489" s="5">
        <f>E487</f>
        <v>48.301702794185466</v>
      </c>
      <c r="L489" s="3">
        <f>C521</f>
        <v>43.523000000000003</v>
      </c>
      <c r="M489" s="5">
        <f>L489-K489</f>
        <v>-4.7787027941854632</v>
      </c>
      <c r="N489" s="3">
        <f>J489/M489</f>
        <v>-133.92755891383885</v>
      </c>
      <c r="O489" s="3">
        <v>134</v>
      </c>
    </row>
    <row r="490" spans="1:18" x14ac:dyDescent="0.3">
      <c r="A490" s="11" t="s">
        <v>501</v>
      </c>
      <c r="B490" s="7">
        <v>8800</v>
      </c>
      <c r="C490" s="7">
        <v>48.026000000000003</v>
      </c>
      <c r="D490" s="2">
        <f t="shared" si="100"/>
        <v>-0.14399999999999835</v>
      </c>
      <c r="E490" s="8">
        <f>E489-F489</f>
        <v>48.003195331498894</v>
      </c>
      <c r="F490" s="6">
        <f t="shared" ref="F490" si="115">F489</f>
        <v>0.14925373134328357</v>
      </c>
      <c r="G490" s="12">
        <f t="shared" ref="G490" si="116">C490-E490</f>
        <v>2.2804668501109404E-2</v>
      </c>
    </row>
    <row r="491" spans="1:18" x14ac:dyDescent="0.3">
      <c r="A491" s="11" t="s">
        <v>502</v>
      </c>
      <c r="B491" s="7">
        <v>8820</v>
      </c>
      <c r="C491" s="7">
        <v>47.872999999999998</v>
      </c>
      <c r="D491" s="2">
        <f t="shared" si="100"/>
        <v>-0.1530000000000058</v>
      </c>
      <c r="E491" s="8">
        <f t="shared" si="112"/>
        <v>47.853941600155608</v>
      </c>
      <c r="F491" s="6">
        <f t="shared" si="113"/>
        <v>0.14925373134328357</v>
      </c>
      <c r="G491" s="12">
        <f t="shared" si="114"/>
        <v>1.9058399844389839E-2</v>
      </c>
    </row>
    <row r="492" spans="1:18" x14ac:dyDescent="0.3">
      <c r="A492" s="11" t="s">
        <v>503</v>
      </c>
      <c r="B492" s="7">
        <v>8840</v>
      </c>
      <c r="C492" s="7">
        <v>47.720999999999997</v>
      </c>
      <c r="D492" s="2">
        <f t="shared" si="100"/>
        <v>-0.15200000000000102</v>
      </c>
      <c r="E492" s="8">
        <f t="shared" si="112"/>
        <v>47.704687868812321</v>
      </c>
      <c r="F492" s="6">
        <f t="shared" si="113"/>
        <v>0.14925373134328357</v>
      </c>
      <c r="G492" s="12">
        <f t="shared" si="114"/>
        <v>1.631213118767505E-2</v>
      </c>
    </row>
    <row r="493" spans="1:18" x14ac:dyDescent="0.3">
      <c r="A493" s="11" t="s">
        <v>504</v>
      </c>
      <c r="B493" s="7">
        <v>8860</v>
      </c>
      <c r="C493" s="7">
        <v>47.569000000000003</v>
      </c>
      <c r="D493" s="2">
        <f t="shared" si="100"/>
        <v>-0.15199999999999392</v>
      </c>
      <c r="E493" s="8">
        <f t="shared" si="112"/>
        <v>47.555434137469035</v>
      </c>
      <c r="F493" s="6">
        <f t="shared" si="113"/>
        <v>0.14925373134328357</v>
      </c>
      <c r="G493" s="12">
        <f t="shared" si="114"/>
        <v>1.3565862530967365E-2</v>
      </c>
    </row>
    <row r="494" spans="1:18" x14ac:dyDescent="0.3">
      <c r="A494" s="11" t="s">
        <v>505</v>
      </c>
      <c r="B494" s="7">
        <v>8880</v>
      </c>
      <c r="C494" s="7">
        <v>47.414000000000001</v>
      </c>
      <c r="D494" s="2">
        <f t="shared" si="100"/>
        <v>-0.15500000000000114</v>
      </c>
      <c r="E494" s="8">
        <f t="shared" si="112"/>
        <v>47.406180406125749</v>
      </c>
      <c r="F494" s="6">
        <f t="shared" si="113"/>
        <v>0.14925373134328357</v>
      </c>
      <c r="G494" s="12">
        <f t="shared" si="114"/>
        <v>7.8195938742524618E-3</v>
      </c>
    </row>
    <row r="495" spans="1:18" x14ac:dyDescent="0.3">
      <c r="A495" s="11" t="s">
        <v>506</v>
      </c>
      <c r="B495" s="7">
        <v>8900</v>
      </c>
      <c r="C495" s="7">
        <v>47.247999999999998</v>
      </c>
      <c r="D495" s="2">
        <f t="shared" si="100"/>
        <v>-0.16600000000000392</v>
      </c>
      <c r="E495" s="8">
        <f t="shared" si="112"/>
        <v>47.256926674782463</v>
      </c>
      <c r="F495" s="6">
        <f t="shared" si="113"/>
        <v>0.14925373134328357</v>
      </c>
      <c r="G495" s="12">
        <f t="shared" si="114"/>
        <v>-8.9266747824652271E-3</v>
      </c>
    </row>
    <row r="496" spans="1:18" x14ac:dyDescent="0.3">
      <c r="A496" s="11" t="s">
        <v>507</v>
      </c>
      <c r="B496" s="7">
        <v>8920</v>
      </c>
      <c r="C496" s="7">
        <v>47.094999999999999</v>
      </c>
      <c r="D496" s="2">
        <f t="shared" si="100"/>
        <v>-0.15299999999999869</v>
      </c>
      <c r="E496" s="8">
        <f t="shared" si="112"/>
        <v>47.107672943439177</v>
      </c>
      <c r="F496" s="6">
        <f t="shared" si="113"/>
        <v>0.14925373134328357</v>
      </c>
      <c r="G496" s="12">
        <f t="shared" si="114"/>
        <v>-1.2672943439177686E-2</v>
      </c>
    </row>
    <row r="497" spans="1:7" x14ac:dyDescent="0.3">
      <c r="A497" s="11" t="s">
        <v>508</v>
      </c>
      <c r="B497" s="7">
        <v>8940</v>
      </c>
      <c r="C497" s="7">
        <v>46.932000000000002</v>
      </c>
      <c r="D497" s="2">
        <f t="shared" si="100"/>
        <v>-0.1629999999999967</v>
      </c>
      <c r="E497" s="8">
        <f t="shared" si="112"/>
        <v>46.95841921209589</v>
      </c>
      <c r="F497" s="6">
        <f t="shared" si="113"/>
        <v>0.14925373134328357</v>
      </c>
      <c r="G497" s="12">
        <f t="shared" si="114"/>
        <v>-2.6419212095888156E-2</v>
      </c>
    </row>
    <row r="498" spans="1:7" x14ac:dyDescent="0.3">
      <c r="A498" s="11" t="s">
        <v>509</v>
      </c>
      <c r="B498" s="7">
        <v>8960</v>
      </c>
      <c r="C498" s="7">
        <v>46.771000000000001</v>
      </c>
      <c r="D498" s="2">
        <f t="shared" si="100"/>
        <v>-0.16100000000000136</v>
      </c>
      <c r="E498" s="8">
        <f t="shared" si="112"/>
        <v>46.809165480752604</v>
      </c>
      <c r="F498" s="6">
        <f t="shared" si="113"/>
        <v>0.14925373134328357</v>
      </c>
      <c r="G498" s="12">
        <f t="shared" si="114"/>
        <v>-3.8165480752603287E-2</v>
      </c>
    </row>
    <row r="499" spans="1:7" x14ac:dyDescent="0.3">
      <c r="A499" s="13" t="s">
        <v>510</v>
      </c>
      <c r="B499" s="24"/>
      <c r="C499" s="25"/>
      <c r="D499" s="25"/>
      <c r="E499" s="25"/>
      <c r="F499" s="25"/>
      <c r="G499" s="26"/>
    </row>
    <row r="500" spans="1:7" x14ac:dyDescent="0.3">
      <c r="A500" s="11" t="s">
        <v>511</v>
      </c>
      <c r="B500" s="7">
        <v>8980</v>
      </c>
      <c r="C500" s="7">
        <v>46.603000000000002</v>
      </c>
      <c r="D500" s="2">
        <f>C500-C498</f>
        <v>-0.16799999999999926</v>
      </c>
      <c r="E500" s="8">
        <f>E498-F498</f>
        <v>46.659911749409318</v>
      </c>
      <c r="F500" s="6">
        <f>F498</f>
        <v>0.14925373134328357</v>
      </c>
      <c r="G500" s="12">
        <f t="shared" si="114"/>
        <v>-5.6911749409316315E-2</v>
      </c>
    </row>
    <row r="501" spans="1:7" x14ac:dyDescent="0.3">
      <c r="A501" s="11" t="s">
        <v>512</v>
      </c>
      <c r="B501" s="7">
        <v>9000</v>
      </c>
      <c r="C501" s="7">
        <v>46.438000000000002</v>
      </c>
      <c r="D501" s="2">
        <f t="shared" ref="D501:D568" si="117">C501-C500</f>
        <v>-0.16499999999999915</v>
      </c>
      <c r="E501" s="8">
        <f t="shared" si="112"/>
        <v>46.510658018066032</v>
      </c>
      <c r="F501" s="6">
        <f t="shared" si="113"/>
        <v>0.14925373134328357</v>
      </c>
      <c r="G501" s="12">
        <f t="shared" si="114"/>
        <v>-7.2658018066029229E-2</v>
      </c>
    </row>
    <row r="502" spans="1:7" x14ac:dyDescent="0.3">
      <c r="A502" s="11" t="s">
        <v>513</v>
      </c>
      <c r="B502" s="7">
        <v>9020</v>
      </c>
      <c r="C502" s="7">
        <v>46.273000000000003</v>
      </c>
      <c r="D502" s="2">
        <f t="shared" si="117"/>
        <v>-0.16499999999999915</v>
      </c>
      <c r="E502" s="8">
        <f t="shared" si="112"/>
        <v>46.361404286722745</v>
      </c>
      <c r="F502" s="6">
        <f t="shared" si="113"/>
        <v>0.14925373134328357</v>
      </c>
      <c r="G502" s="12">
        <f t="shared" si="114"/>
        <v>-8.8404286722742143E-2</v>
      </c>
    </row>
    <row r="503" spans="1:7" x14ac:dyDescent="0.3">
      <c r="A503" s="11" t="s">
        <v>514</v>
      </c>
      <c r="B503" s="7">
        <v>9040</v>
      </c>
      <c r="C503" s="7">
        <v>46.124000000000002</v>
      </c>
      <c r="D503" s="2">
        <f t="shared" si="117"/>
        <v>-0.14900000000000091</v>
      </c>
      <c r="E503" s="8">
        <f t="shared" si="112"/>
        <v>46.212150555379459</v>
      </c>
      <c r="F503" s="6">
        <f t="shared" si="113"/>
        <v>0.14925373134328357</v>
      </c>
      <c r="G503" s="12">
        <f t="shared" si="114"/>
        <v>-8.8150555379456819E-2</v>
      </c>
    </row>
    <row r="504" spans="1:7" x14ac:dyDescent="0.3">
      <c r="A504" s="11" t="s">
        <v>515</v>
      </c>
      <c r="B504" s="7">
        <v>9060</v>
      </c>
      <c r="C504" s="7">
        <v>45.972999999999999</v>
      </c>
      <c r="D504" s="2">
        <f t="shared" si="117"/>
        <v>-0.15100000000000335</v>
      </c>
      <c r="E504" s="8">
        <f t="shared" si="112"/>
        <v>46.062896824036173</v>
      </c>
      <c r="F504" s="6">
        <f t="shared" si="113"/>
        <v>0.14925373134328357</v>
      </c>
      <c r="G504" s="12">
        <f t="shared" si="114"/>
        <v>-8.9896824036173939E-2</v>
      </c>
    </row>
    <row r="505" spans="1:7" x14ac:dyDescent="0.3">
      <c r="A505" s="11" t="s">
        <v>516</v>
      </c>
      <c r="B505" s="7">
        <v>9080</v>
      </c>
      <c r="C505" s="7">
        <v>45.82</v>
      </c>
      <c r="D505" s="2">
        <f t="shared" si="117"/>
        <v>-0.15299999999999869</v>
      </c>
      <c r="E505" s="8">
        <f t="shared" si="112"/>
        <v>45.913643092692887</v>
      </c>
      <c r="F505" s="6">
        <f t="shared" si="113"/>
        <v>0.14925373134328357</v>
      </c>
      <c r="G505" s="12">
        <f t="shared" si="114"/>
        <v>-9.3643092692886398E-2</v>
      </c>
    </row>
    <row r="506" spans="1:7" x14ac:dyDescent="0.3">
      <c r="A506" s="11" t="s">
        <v>517</v>
      </c>
      <c r="B506" s="7">
        <v>9100</v>
      </c>
      <c r="C506" s="7">
        <v>45.670999999999999</v>
      </c>
      <c r="D506" s="2">
        <f t="shared" si="117"/>
        <v>-0.14900000000000091</v>
      </c>
      <c r="E506" s="8">
        <f t="shared" si="112"/>
        <v>45.7643893613496</v>
      </c>
      <c r="F506" s="6">
        <f t="shared" si="113"/>
        <v>0.14925373134328357</v>
      </c>
      <c r="G506" s="12">
        <f t="shared" si="114"/>
        <v>-9.3389361349601074E-2</v>
      </c>
    </row>
    <row r="507" spans="1:7" x14ac:dyDescent="0.3">
      <c r="A507" s="11" t="s">
        <v>518</v>
      </c>
      <c r="B507" s="7">
        <v>9120</v>
      </c>
      <c r="C507" s="7">
        <v>45.524999999999999</v>
      </c>
      <c r="D507" s="2">
        <f t="shared" si="117"/>
        <v>-0.1460000000000008</v>
      </c>
      <c r="E507" s="8">
        <f t="shared" ref="E507:E526" si="118">E506-F506</f>
        <v>45.615135630006314</v>
      </c>
      <c r="F507" s="6">
        <f t="shared" ref="F507:F526" si="119">F506</f>
        <v>0.14925373134328357</v>
      </c>
      <c r="G507" s="12">
        <f t="shared" ref="G507:G526" si="120">C507-E507</f>
        <v>-9.0135630006315637E-2</v>
      </c>
    </row>
    <row r="508" spans="1:7" x14ac:dyDescent="0.3">
      <c r="A508" s="11" t="s">
        <v>519</v>
      </c>
      <c r="B508" s="7">
        <v>9140</v>
      </c>
      <c r="C508" s="7">
        <v>45.365000000000002</v>
      </c>
      <c r="D508" s="2">
        <f t="shared" si="117"/>
        <v>-0.15999999999999659</v>
      </c>
      <c r="E508" s="8">
        <f t="shared" si="118"/>
        <v>45.465881898663028</v>
      </c>
      <c r="F508" s="6">
        <f t="shared" si="119"/>
        <v>0.14925373134328357</v>
      </c>
      <c r="G508" s="12">
        <f t="shared" si="120"/>
        <v>-0.10088189866302599</v>
      </c>
    </row>
    <row r="509" spans="1:7" x14ac:dyDescent="0.3">
      <c r="A509" s="11" t="s">
        <v>520</v>
      </c>
      <c r="B509" s="7">
        <v>9160</v>
      </c>
      <c r="C509" s="7">
        <v>45.207999999999998</v>
      </c>
      <c r="D509" s="2">
        <f t="shared" si="117"/>
        <v>-0.15700000000000358</v>
      </c>
      <c r="E509" s="8">
        <f t="shared" si="118"/>
        <v>45.316628167319742</v>
      </c>
      <c r="F509" s="6">
        <f t="shared" si="119"/>
        <v>0.14925373134328357</v>
      </c>
      <c r="G509" s="12">
        <f t="shared" si="120"/>
        <v>-0.10862816731974334</v>
      </c>
    </row>
    <row r="510" spans="1:7" x14ac:dyDescent="0.3">
      <c r="A510" s="11" t="s">
        <v>521</v>
      </c>
      <c r="B510" s="7">
        <v>9180</v>
      </c>
      <c r="C510" s="7">
        <v>45.061</v>
      </c>
      <c r="D510" s="2">
        <f t="shared" si="117"/>
        <v>-0.14699999999999847</v>
      </c>
      <c r="E510" s="8">
        <f t="shared" si="118"/>
        <v>45.167374435976456</v>
      </c>
      <c r="F510" s="6">
        <f t="shared" si="119"/>
        <v>0.14925373134328357</v>
      </c>
      <c r="G510" s="12">
        <f t="shared" si="120"/>
        <v>-0.10637443597645557</v>
      </c>
    </row>
    <row r="511" spans="1:7" x14ac:dyDescent="0.3">
      <c r="A511" s="11" t="s">
        <v>522</v>
      </c>
      <c r="B511" s="7">
        <v>9200</v>
      </c>
      <c r="C511" s="7">
        <v>44.911000000000001</v>
      </c>
      <c r="D511" s="2">
        <f t="shared" si="117"/>
        <v>-0.14999999999999858</v>
      </c>
      <c r="E511" s="8">
        <f t="shared" si="118"/>
        <v>45.018120704633169</v>
      </c>
      <c r="F511" s="6">
        <f t="shared" si="119"/>
        <v>0.14925373134328357</v>
      </c>
      <c r="G511" s="12">
        <f t="shared" si="120"/>
        <v>-0.10712070463316792</v>
      </c>
    </row>
    <row r="512" spans="1:7" x14ac:dyDescent="0.3">
      <c r="A512" s="11" t="s">
        <v>523</v>
      </c>
      <c r="B512" s="7">
        <v>9220</v>
      </c>
      <c r="C512" s="7">
        <v>44.764000000000003</v>
      </c>
      <c r="D512" s="2">
        <f t="shared" si="117"/>
        <v>-0.14699999999999847</v>
      </c>
      <c r="E512" s="8">
        <f t="shared" si="118"/>
        <v>44.868866973289883</v>
      </c>
      <c r="F512" s="6">
        <f t="shared" si="119"/>
        <v>0.14925373134328357</v>
      </c>
      <c r="G512" s="12">
        <f t="shared" si="120"/>
        <v>-0.10486697328988015</v>
      </c>
    </row>
    <row r="513" spans="1:18" x14ac:dyDescent="0.3">
      <c r="A513" s="11" t="s">
        <v>524</v>
      </c>
      <c r="B513" s="7">
        <v>9240</v>
      </c>
      <c r="C513" s="7">
        <v>44.600999999999999</v>
      </c>
      <c r="D513" s="2">
        <f t="shared" si="117"/>
        <v>-0.16300000000000381</v>
      </c>
      <c r="E513" s="8">
        <f t="shared" si="118"/>
        <v>44.719613241946597</v>
      </c>
      <c r="F513" s="6">
        <f t="shared" si="119"/>
        <v>0.14925373134328357</v>
      </c>
      <c r="G513" s="12">
        <f t="shared" si="120"/>
        <v>-0.11861324194659773</v>
      </c>
    </row>
    <row r="514" spans="1:18" x14ac:dyDescent="0.3">
      <c r="A514" s="11" t="s">
        <v>525</v>
      </c>
      <c r="B514" s="7">
        <v>9260</v>
      </c>
      <c r="C514" s="7">
        <v>44.429000000000002</v>
      </c>
      <c r="D514" s="2">
        <f t="shared" si="117"/>
        <v>-0.17199999999999704</v>
      </c>
      <c r="E514" s="8">
        <f t="shared" si="118"/>
        <v>44.570359510603311</v>
      </c>
      <c r="F514" s="6">
        <f t="shared" si="119"/>
        <v>0.14925373134328357</v>
      </c>
      <c r="G514" s="12">
        <f t="shared" si="120"/>
        <v>-0.14135951060330854</v>
      </c>
    </row>
    <row r="515" spans="1:18" x14ac:dyDescent="0.3">
      <c r="A515" s="11" t="s">
        <v>526</v>
      </c>
      <c r="B515" s="7">
        <v>9280</v>
      </c>
      <c r="C515" s="7">
        <v>44.271000000000001</v>
      </c>
      <c r="D515" s="2">
        <f t="shared" si="117"/>
        <v>-0.15800000000000125</v>
      </c>
      <c r="E515" s="8">
        <f t="shared" si="118"/>
        <v>44.421105779260024</v>
      </c>
      <c r="F515" s="6">
        <f t="shared" si="119"/>
        <v>0.14925373134328357</v>
      </c>
      <c r="G515" s="12">
        <f t="shared" si="120"/>
        <v>-0.15010577926002355</v>
      </c>
    </row>
    <row r="516" spans="1:18" x14ac:dyDescent="0.3">
      <c r="A516" s="11" t="s">
        <v>527</v>
      </c>
      <c r="B516" s="7">
        <v>9300</v>
      </c>
      <c r="C516" s="7">
        <v>44.136000000000003</v>
      </c>
      <c r="D516" s="2">
        <f t="shared" si="117"/>
        <v>-0.13499999999999801</v>
      </c>
      <c r="E516" s="8">
        <f t="shared" si="118"/>
        <v>44.271852047916738</v>
      </c>
      <c r="F516" s="6">
        <f t="shared" si="119"/>
        <v>0.14925373134328357</v>
      </c>
      <c r="G516" s="12">
        <f t="shared" si="120"/>
        <v>-0.13585204791673533</v>
      </c>
    </row>
    <row r="517" spans="1:18" x14ac:dyDescent="0.3">
      <c r="A517" s="11" t="s">
        <v>528</v>
      </c>
      <c r="B517" s="7">
        <v>9320</v>
      </c>
      <c r="C517" s="7">
        <v>44.008000000000003</v>
      </c>
      <c r="D517" s="2">
        <f t="shared" si="117"/>
        <v>-0.12800000000000011</v>
      </c>
      <c r="E517" s="8">
        <f t="shared" si="118"/>
        <v>44.122598316573452</v>
      </c>
      <c r="F517" s="6">
        <f t="shared" si="119"/>
        <v>0.14925373134328357</v>
      </c>
      <c r="G517" s="12">
        <f t="shared" si="120"/>
        <v>-0.11459831657344921</v>
      </c>
    </row>
    <row r="518" spans="1:18" x14ac:dyDescent="0.3">
      <c r="A518" s="11" t="s">
        <v>529</v>
      </c>
      <c r="B518" s="7">
        <v>9340</v>
      </c>
      <c r="C518" s="7">
        <v>43.89</v>
      </c>
      <c r="D518" s="2">
        <f t="shared" si="117"/>
        <v>-0.1180000000000021</v>
      </c>
      <c r="E518" s="8">
        <f t="shared" si="118"/>
        <v>43.973344585230166</v>
      </c>
      <c r="F518" s="6">
        <f t="shared" si="119"/>
        <v>0.14925373134328357</v>
      </c>
      <c r="G518" s="12">
        <f t="shared" si="120"/>
        <v>-8.334458523016508E-2</v>
      </c>
    </row>
    <row r="519" spans="1:18" x14ac:dyDescent="0.3">
      <c r="A519" s="11" t="s">
        <v>530</v>
      </c>
      <c r="B519" s="7">
        <v>9360</v>
      </c>
      <c r="C519" s="7">
        <v>43.76</v>
      </c>
      <c r="D519" s="2">
        <f t="shared" si="117"/>
        <v>-0.13000000000000256</v>
      </c>
      <c r="E519" s="8">
        <f t="shared" si="118"/>
        <v>43.824090853886879</v>
      </c>
      <c r="F519" s="6">
        <f t="shared" si="119"/>
        <v>0.14925373134328357</v>
      </c>
      <c r="G519" s="12">
        <f t="shared" si="120"/>
        <v>-6.4090853886881405E-2</v>
      </c>
    </row>
    <row r="520" spans="1:18" x14ac:dyDescent="0.3">
      <c r="A520" s="11" t="s">
        <v>531</v>
      </c>
      <c r="B520" s="7">
        <v>9380</v>
      </c>
      <c r="C520" s="7">
        <v>43.637</v>
      </c>
      <c r="D520" s="2">
        <f t="shared" si="117"/>
        <v>-0.12299999999999756</v>
      </c>
      <c r="E520" s="8">
        <f t="shared" si="118"/>
        <v>43.674837122543593</v>
      </c>
      <c r="F520" s="6">
        <f t="shared" si="119"/>
        <v>0.14925373134328357</v>
      </c>
      <c r="G520" s="12">
        <f t="shared" si="120"/>
        <v>-3.7837122543592727E-2</v>
      </c>
    </row>
    <row r="521" spans="1:18" x14ac:dyDescent="0.3">
      <c r="A521" s="11" t="s">
        <v>532</v>
      </c>
      <c r="B521" s="7">
        <v>9400</v>
      </c>
      <c r="C521" s="7">
        <v>43.523000000000003</v>
      </c>
      <c r="D521" s="2">
        <f t="shared" si="117"/>
        <v>-0.11399999999999721</v>
      </c>
      <c r="E521" s="8">
        <f t="shared" si="118"/>
        <v>43.525583391200307</v>
      </c>
      <c r="F521" s="6">
        <f t="shared" si="119"/>
        <v>0.14925373134328357</v>
      </c>
      <c r="G521" s="12">
        <f t="shared" si="120"/>
        <v>-2.5833912003037085E-3</v>
      </c>
    </row>
    <row r="522" spans="1:18" x14ac:dyDescent="0.3">
      <c r="A522" s="21"/>
      <c r="B522" s="22"/>
      <c r="C522" s="22"/>
      <c r="D522" s="22"/>
      <c r="E522" s="22"/>
      <c r="F522" s="22"/>
      <c r="G522" s="23"/>
      <c r="H522" s="4" t="s">
        <v>9</v>
      </c>
      <c r="J522" s="4"/>
      <c r="O522" s="3">
        <f>1/O523</f>
        <v>1.9193857965451055E-3</v>
      </c>
      <c r="P522" s="3">
        <f>O522*20</f>
        <v>3.8387715930902108E-2</v>
      </c>
      <c r="Q522" s="3" t="s">
        <v>3200</v>
      </c>
      <c r="R522" s="3">
        <v>521</v>
      </c>
    </row>
    <row r="523" spans="1:18" x14ac:dyDescent="0.3">
      <c r="A523" s="11" t="s">
        <v>533</v>
      </c>
      <c r="B523" s="7">
        <v>9420</v>
      </c>
      <c r="C523" s="7">
        <v>43.430999999999997</v>
      </c>
      <c r="D523" s="2">
        <f>C523-C521</f>
        <v>-9.2000000000005855E-2</v>
      </c>
      <c r="E523" s="8">
        <f>E521-F523</f>
        <v>43.487195675269405</v>
      </c>
      <c r="F523" s="6">
        <f>P522</f>
        <v>3.8387715930902108E-2</v>
      </c>
      <c r="G523" s="12">
        <f>C523-E523</f>
        <v>-5.6195675269407275E-2</v>
      </c>
      <c r="H523" s="3">
        <f>B521</f>
        <v>9400</v>
      </c>
      <c r="I523" s="3">
        <f>B535</f>
        <v>9660</v>
      </c>
      <c r="J523" s="3">
        <f>I523-H523</f>
        <v>260</v>
      </c>
      <c r="K523" s="5">
        <f>E521</f>
        <v>43.525583391200307</v>
      </c>
      <c r="L523" s="3">
        <f>C535</f>
        <v>43.027000000000001</v>
      </c>
      <c r="M523" s="5">
        <f>L523-K523</f>
        <v>-0.49858339120030593</v>
      </c>
      <c r="N523" s="3">
        <f>J523/M523</f>
        <v>-521.47745911484844</v>
      </c>
      <c r="O523" s="3">
        <v>521</v>
      </c>
    </row>
    <row r="524" spans="1:18" x14ac:dyDescent="0.3">
      <c r="A524" s="11" t="s">
        <v>534</v>
      </c>
      <c r="B524" s="7">
        <v>9440</v>
      </c>
      <c r="C524" s="7">
        <v>43.363</v>
      </c>
      <c r="D524" s="2">
        <f t="shared" si="117"/>
        <v>-6.799999999999784E-2</v>
      </c>
      <c r="E524" s="8">
        <f>E523-F523</f>
        <v>43.448807959338502</v>
      </c>
      <c r="F524" s="6">
        <f t="shared" ref="F524" si="121">F523</f>
        <v>3.8387715930902108E-2</v>
      </c>
      <c r="G524" s="12">
        <f t="shared" ref="G524" si="122">C524-E524</f>
        <v>-8.5807959338502826E-2</v>
      </c>
    </row>
    <row r="525" spans="1:18" x14ac:dyDescent="0.3">
      <c r="A525" s="11" t="s">
        <v>535</v>
      </c>
      <c r="B525" s="7">
        <v>9460</v>
      </c>
      <c r="C525" s="7">
        <v>43.317999999999998</v>
      </c>
      <c r="D525" s="2">
        <f t="shared" si="117"/>
        <v>-4.5000000000001705E-2</v>
      </c>
      <c r="E525" s="8">
        <f t="shared" si="118"/>
        <v>43.4104202434076</v>
      </c>
      <c r="F525" s="6">
        <f t="shared" si="119"/>
        <v>3.8387715930902108E-2</v>
      </c>
      <c r="G525" s="12">
        <f t="shared" si="120"/>
        <v>-9.2420243407602243E-2</v>
      </c>
    </row>
    <row r="526" spans="1:18" x14ac:dyDescent="0.3">
      <c r="A526" s="11" t="s">
        <v>536</v>
      </c>
      <c r="B526" s="7">
        <v>9480</v>
      </c>
      <c r="C526" s="7">
        <v>43.295000000000002</v>
      </c>
      <c r="D526" s="2">
        <f t="shared" si="117"/>
        <v>-2.2999999999996135E-2</v>
      </c>
      <c r="E526" s="8">
        <f t="shared" si="118"/>
        <v>43.372032527476698</v>
      </c>
      <c r="F526" s="6">
        <f t="shared" si="119"/>
        <v>3.8387715930902108E-2</v>
      </c>
      <c r="G526" s="12">
        <f t="shared" si="120"/>
        <v>-7.7032527476696089E-2</v>
      </c>
    </row>
    <row r="527" spans="1:18" x14ac:dyDescent="0.3">
      <c r="A527" s="11" t="s">
        <v>537</v>
      </c>
      <c r="B527" s="7">
        <v>9500</v>
      </c>
      <c r="C527" s="7">
        <v>43.265999999999998</v>
      </c>
      <c r="D527" s="2">
        <f t="shared" si="117"/>
        <v>-2.9000000000003467E-2</v>
      </c>
      <c r="E527" s="8">
        <f t="shared" ref="E527:E535" si="123">E526-F526</f>
        <v>43.333644811545796</v>
      </c>
      <c r="F527" s="6">
        <f t="shared" ref="F527:F554" si="124">F526</f>
        <v>3.8387715930902108E-2</v>
      </c>
      <c r="G527" s="12">
        <f t="shared" ref="G527:G554" si="125">C527-E527</f>
        <v>-6.7644811545797268E-2</v>
      </c>
    </row>
    <row r="528" spans="1:18" x14ac:dyDescent="0.3">
      <c r="A528" s="11" t="s">
        <v>538</v>
      </c>
      <c r="B528" s="7">
        <v>9520</v>
      </c>
      <c r="C528" s="7">
        <v>43.207999999999998</v>
      </c>
      <c r="D528" s="2">
        <f t="shared" si="117"/>
        <v>-5.7999999999999829E-2</v>
      </c>
      <c r="E528" s="8">
        <f t="shared" si="123"/>
        <v>43.295257095614893</v>
      </c>
      <c r="F528" s="6">
        <f t="shared" si="124"/>
        <v>3.8387715930902108E-2</v>
      </c>
      <c r="G528" s="12">
        <f t="shared" si="125"/>
        <v>-8.7257095614894808E-2</v>
      </c>
    </row>
    <row r="529" spans="1:18" x14ac:dyDescent="0.3">
      <c r="A529" s="11" t="s">
        <v>539</v>
      </c>
      <c r="B529" s="7">
        <v>9540</v>
      </c>
      <c r="C529" s="7">
        <v>43.15</v>
      </c>
      <c r="D529" s="2">
        <f t="shared" si="117"/>
        <v>-5.7999999999999829E-2</v>
      </c>
      <c r="E529" s="8">
        <f t="shared" si="123"/>
        <v>43.256869379683991</v>
      </c>
      <c r="F529" s="6">
        <f t="shared" si="124"/>
        <v>3.8387715930902108E-2</v>
      </c>
      <c r="G529" s="12">
        <f t="shared" si="125"/>
        <v>-0.10686937968399235</v>
      </c>
    </row>
    <row r="530" spans="1:18" x14ac:dyDescent="0.3">
      <c r="A530" s="11" t="s">
        <v>540</v>
      </c>
      <c r="B530" s="7">
        <v>9560</v>
      </c>
      <c r="C530" s="7">
        <v>43.118000000000002</v>
      </c>
      <c r="D530" s="2">
        <f t="shared" si="117"/>
        <v>-3.1999999999996476E-2</v>
      </c>
      <c r="E530" s="8">
        <f t="shared" si="123"/>
        <v>43.218481663753089</v>
      </c>
      <c r="F530" s="6">
        <f t="shared" si="124"/>
        <v>3.8387715930902108E-2</v>
      </c>
      <c r="G530" s="12">
        <f t="shared" si="125"/>
        <v>-0.10048166375308654</v>
      </c>
    </row>
    <row r="531" spans="1:18" x14ac:dyDescent="0.3">
      <c r="A531" s="11" t="s">
        <v>541</v>
      </c>
      <c r="B531" s="7">
        <v>9580</v>
      </c>
      <c r="C531" s="7">
        <v>43.091000000000001</v>
      </c>
      <c r="D531" s="2">
        <f t="shared" si="117"/>
        <v>-2.7000000000001023E-2</v>
      </c>
      <c r="E531" s="8">
        <f t="shared" si="123"/>
        <v>43.180093947822186</v>
      </c>
      <c r="F531" s="6">
        <f t="shared" si="124"/>
        <v>3.8387715930902108E-2</v>
      </c>
      <c r="G531" s="12">
        <f t="shared" si="125"/>
        <v>-8.9093947822185271E-2</v>
      </c>
    </row>
    <row r="532" spans="1:18" x14ac:dyDescent="0.3">
      <c r="A532" s="11" t="s">
        <v>542</v>
      </c>
      <c r="B532" s="7">
        <v>9600</v>
      </c>
      <c r="C532" s="7">
        <v>43.057000000000002</v>
      </c>
      <c r="D532" s="2">
        <f t="shared" si="117"/>
        <v>-3.399999999999892E-2</v>
      </c>
      <c r="E532" s="8">
        <f t="shared" si="123"/>
        <v>43.141706231891284</v>
      </c>
      <c r="F532" s="6">
        <f t="shared" si="124"/>
        <v>3.8387715930902108E-2</v>
      </c>
      <c r="G532" s="12">
        <f t="shared" si="125"/>
        <v>-8.4706231891281902E-2</v>
      </c>
    </row>
    <row r="533" spans="1:18" x14ac:dyDescent="0.3">
      <c r="A533" s="11" t="s">
        <v>543</v>
      </c>
      <c r="B533" s="7">
        <v>9620</v>
      </c>
      <c r="C533" s="7">
        <v>43.036000000000001</v>
      </c>
      <c r="D533" s="2">
        <f t="shared" si="117"/>
        <v>-2.1000000000000796E-2</v>
      </c>
      <c r="E533" s="8">
        <f t="shared" si="123"/>
        <v>43.103318515960382</v>
      </c>
      <c r="F533" s="6">
        <f t="shared" si="124"/>
        <v>3.8387715930902108E-2</v>
      </c>
      <c r="G533" s="12">
        <f t="shared" si="125"/>
        <v>-6.731851596038041E-2</v>
      </c>
    </row>
    <row r="534" spans="1:18" x14ac:dyDescent="0.3">
      <c r="A534" s="11" t="s">
        <v>544</v>
      </c>
      <c r="B534" s="7">
        <v>9640</v>
      </c>
      <c r="C534" s="7">
        <v>43.03</v>
      </c>
      <c r="D534" s="2">
        <f t="shared" si="117"/>
        <v>-6.0000000000002274E-3</v>
      </c>
      <c r="E534" s="8">
        <f t="shared" si="123"/>
        <v>43.064930800029479</v>
      </c>
      <c r="F534" s="6">
        <f t="shared" si="124"/>
        <v>3.8387715930902108E-2</v>
      </c>
      <c r="G534" s="12">
        <f t="shared" si="125"/>
        <v>-3.4930800029478348E-2</v>
      </c>
    </row>
    <row r="535" spans="1:18" x14ac:dyDescent="0.3">
      <c r="A535" s="11" t="s">
        <v>545</v>
      </c>
      <c r="B535" s="7">
        <v>9660</v>
      </c>
      <c r="C535" s="7">
        <v>43.027000000000001</v>
      </c>
      <c r="D535" s="2">
        <f t="shared" si="117"/>
        <v>-3.0000000000001137E-3</v>
      </c>
      <c r="E535" s="8">
        <f t="shared" si="123"/>
        <v>43.026543084098577</v>
      </c>
      <c r="F535" s="6">
        <f t="shared" si="124"/>
        <v>3.8387715930902108E-2</v>
      </c>
      <c r="G535" s="12">
        <f t="shared" si="125"/>
        <v>4.5691590142382665E-4</v>
      </c>
    </row>
    <row r="536" spans="1:18" x14ac:dyDescent="0.3">
      <c r="A536" s="21"/>
      <c r="B536" s="22"/>
      <c r="C536" s="22"/>
      <c r="D536" s="22"/>
      <c r="E536" s="22"/>
      <c r="F536" s="22"/>
      <c r="G536" s="23"/>
      <c r="H536" s="4" t="s">
        <v>10</v>
      </c>
      <c r="J536" s="4"/>
      <c r="O536" s="3">
        <f>1/O537</f>
        <v>1.589825119236884E-3</v>
      </c>
      <c r="P536" s="3">
        <f>O536*20</f>
        <v>3.1796502384737683E-2</v>
      </c>
      <c r="Q536" s="3" t="s">
        <v>3202</v>
      </c>
      <c r="R536" s="3">
        <v>629</v>
      </c>
    </row>
    <row r="537" spans="1:18" x14ac:dyDescent="0.3">
      <c r="A537" s="11" t="s">
        <v>546</v>
      </c>
      <c r="B537" s="7">
        <v>9680</v>
      </c>
      <c r="C537" s="7">
        <v>43.042000000000002</v>
      </c>
      <c r="D537" s="2">
        <f>C537-C535</f>
        <v>1.5000000000000568E-2</v>
      </c>
      <c r="E537" s="8">
        <f>E535+F537</f>
        <v>43.058339586483314</v>
      </c>
      <c r="F537" s="6">
        <f>P536</f>
        <v>3.1796502384737683E-2</v>
      </c>
      <c r="G537" s="12">
        <f>C537-E537</f>
        <v>-1.6339586483312019E-2</v>
      </c>
      <c r="H537" s="3">
        <f>B535</f>
        <v>9660</v>
      </c>
      <c r="I537" s="3">
        <f>B555</f>
        <v>10020</v>
      </c>
      <c r="J537" s="3">
        <f>I537-H537</f>
        <v>360</v>
      </c>
      <c r="K537" s="5">
        <f>E535</f>
        <v>43.026543084098577</v>
      </c>
      <c r="L537" s="3">
        <f>C555</f>
        <v>43.598999999999997</v>
      </c>
      <c r="M537" s="5">
        <f>L537-K537</f>
        <v>0.57245691590141945</v>
      </c>
      <c r="N537" s="3">
        <f>J537/M537</f>
        <v>628.86828685286457</v>
      </c>
      <c r="O537" s="3">
        <v>629</v>
      </c>
    </row>
    <row r="538" spans="1:18" x14ac:dyDescent="0.3">
      <c r="A538" s="11" t="s">
        <v>547</v>
      </c>
      <c r="B538" s="7">
        <v>9700</v>
      </c>
      <c r="C538" s="7">
        <v>43.055999999999997</v>
      </c>
      <c r="D538" s="2">
        <f t="shared" si="117"/>
        <v>1.3999999999995794E-2</v>
      </c>
      <c r="E538" s="8">
        <f>E537+F537</f>
        <v>43.09013608886805</v>
      </c>
      <c r="F538" s="6">
        <f t="shared" ref="F538" si="126">F537</f>
        <v>3.1796502384737683E-2</v>
      </c>
      <c r="G538" s="12">
        <f t="shared" ref="G538" si="127">C538-E538</f>
        <v>-3.4136088868052639E-2</v>
      </c>
    </row>
    <row r="539" spans="1:18" x14ac:dyDescent="0.3">
      <c r="A539" s="11" t="s">
        <v>548</v>
      </c>
      <c r="B539" s="7">
        <v>9720</v>
      </c>
      <c r="C539" s="7">
        <v>43.073999999999998</v>
      </c>
      <c r="D539" s="2">
        <f t="shared" si="117"/>
        <v>1.8000000000000682E-2</v>
      </c>
      <c r="E539" s="8">
        <f>E538+F538</f>
        <v>43.121932591252786</v>
      </c>
      <c r="F539" s="6">
        <f t="shared" si="124"/>
        <v>3.1796502384737683E-2</v>
      </c>
      <c r="G539" s="12">
        <f t="shared" si="125"/>
        <v>-4.793259125278837E-2</v>
      </c>
    </row>
    <row r="540" spans="1:18" x14ac:dyDescent="0.3">
      <c r="A540" s="11" t="s">
        <v>549</v>
      </c>
      <c r="B540" s="7">
        <v>9740</v>
      </c>
      <c r="C540" s="7">
        <v>43.082999999999998</v>
      </c>
      <c r="D540" s="2">
        <f t="shared" si="117"/>
        <v>9.0000000000003411E-3</v>
      </c>
      <c r="E540" s="8">
        <f t="shared" ref="E540:E554" si="128">E539+F539</f>
        <v>43.153729093637523</v>
      </c>
      <c r="F540" s="6">
        <f t="shared" si="124"/>
        <v>3.1796502384737683E-2</v>
      </c>
      <c r="G540" s="12">
        <f t="shared" si="125"/>
        <v>-7.0729093637524443E-2</v>
      </c>
    </row>
    <row r="541" spans="1:18" x14ac:dyDescent="0.3">
      <c r="A541" s="11" t="s">
        <v>550</v>
      </c>
      <c r="B541" s="7">
        <v>9760</v>
      </c>
      <c r="C541" s="7">
        <v>43.093000000000004</v>
      </c>
      <c r="D541" s="2">
        <f t="shared" si="117"/>
        <v>1.0000000000005116E-2</v>
      </c>
      <c r="E541" s="8">
        <f t="shared" si="128"/>
        <v>43.185525596022259</v>
      </c>
      <c r="F541" s="6">
        <f t="shared" si="124"/>
        <v>3.1796502384737683E-2</v>
      </c>
      <c r="G541" s="12">
        <f t="shared" si="125"/>
        <v>-9.2525596022255741E-2</v>
      </c>
    </row>
    <row r="542" spans="1:18" x14ac:dyDescent="0.3">
      <c r="A542" s="11" t="s">
        <v>551</v>
      </c>
      <c r="B542" s="7">
        <v>9780</v>
      </c>
      <c r="C542" s="7">
        <v>43.131999999999998</v>
      </c>
      <c r="D542" s="2">
        <f t="shared" si="117"/>
        <v>3.8999999999994373E-2</v>
      </c>
      <c r="E542" s="8">
        <f t="shared" si="128"/>
        <v>43.217322098406996</v>
      </c>
      <c r="F542" s="6">
        <f t="shared" si="124"/>
        <v>3.1796502384737683E-2</v>
      </c>
      <c r="G542" s="12">
        <f t="shared" si="125"/>
        <v>-8.5322098406997782E-2</v>
      </c>
    </row>
    <row r="543" spans="1:18" x14ac:dyDescent="0.3">
      <c r="A543" s="11" t="s">
        <v>552</v>
      </c>
      <c r="B543" s="7">
        <v>9800</v>
      </c>
      <c r="C543" s="7">
        <v>43.173999999999999</v>
      </c>
      <c r="D543" s="2">
        <f t="shared" si="117"/>
        <v>4.2000000000001592E-2</v>
      </c>
      <c r="E543" s="8">
        <f t="shared" si="128"/>
        <v>43.249118600791732</v>
      </c>
      <c r="F543" s="6">
        <f t="shared" si="124"/>
        <v>3.1796502384737683E-2</v>
      </c>
      <c r="G543" s="12">
        <f t="shared" si="125"/>
        <v>-7.5118600791732604E-2</v>
      </c>
    </row>
    <row r="544" spans="1:18" x14ac:dyDescent="0.3">
      <c r="A544" s="11" t="s">
        <v>553</v>
      </c>
      <c r="B544" s="7">
        <v>9820</v>
      </c>
      <c r="C544" s="7">
        <v>43.198999999999998</v>
      </c>
      <c r="D544" s="2">
        <f t="shared" si="117"/>
        <v>2.4999999999998579E-2</v>
      </c>
      <c r="E544" s="8">
        <f t="shared" si="128"/>
        <v>43.280915103176469</v>
      </c>
      <c r="F544" s="6">
        <f t="shared" si="124"/>
        <v>3.1796502384737683E-2</v>
      </c>
      <c r="G544" s="12">
        <f t="shared" si="125"/>
        <v>-8.1915103176470438E-2</v>
      </c>
    </row>
    <row r="545" spans="1:18" x14ac:dyDescent="0.3">
      <c r="A545" s="11" t="s">
        <v>554</v>
      </c>
      <c r="B545" s="7">
        <v>9840</v>
      </c>
      <c r="C545" s="7">
        <v>43.220999999999997</v>
      </c>
      <c r="D545" s="2">
        <f t="shared" si="117"/>
        <v>2.1999999999998465E-2</v>
      </c>
      <c r="E545" s="8">
        <f t="shared" si="128"/>
        <v>43.312711605561205</v>
      </c>
      <c r="F545" s="6">
        <f t="shared" si="124"/>
        <v>3.1796502384737683E-2</v>
      </c>
      <c r="G545" s="12">
        <f t="shared" si="125"/>
        <v>-9.1711605561208387E-2</v>
      </c>
    </row>
    <row r="546" spans="1:18" x14ac:dyDescent="0.3">
      <c r="A546" s="11" t="s">
        <v>555</v>
      </c>
      <c r="B546" s="7">
        <v>9860</v>
      </c>
      <c r="C546" s="7">
        <v>43.262</v>
      </c>
      <c r="D546" s="2">
        <f t="shared" si="117"/>
        <v>4.1000000000003922E-2</v>
      </c>
      <c r="E546" s="8">
        <f t="shared" si="128"/>
        <v>43.344508107945941</v>
      </c>
      <c r="F546" s="6">
        <f t="shared" si="124"/>
        <v>3.1796502384737683E-2</v>
      </c>
      <c r="G546" s="12">
        <f t="shared" si="125"/>
        <v>-8.2508107945940878E-2</v>
      </c>
    </row>
    <row r="547" spans="1:18" x14ac:dyDescent="0.3">
      <c r="A547" s="11" t="s">
        <v>556</v>
      </c>
      <c r="B547" s="7">
        <v>9880</v>
      </c>
      <c r="C547" s="7">
        <v>43.311999999999998</v>
      </c>
      <c r="D547" s="2">
        <f t="shared" si="117"/>
        <v>4.9999999999997158E-2</v>
      </c>
      <c r="E547" s="8">
        <f t="shared" si="128"/>
        <v>43.376304610330678</v>
      </c>
      <c r="F547" s="6">
        <f t="shared" si="124"/>
        <v>3.1796502384737683E-2</v>
      </c>
      <c r="G547" s="12">
        <f t="shared" si="125"/>
        <v>-6.4304610330680134E-2</v>
      </c>
    </row>
    <row r="548" spans="1:18" x14ac:dyDescent="0.3">
      <c r="A548" s="11" t="s">
        <v>557</v>
      </c>
      <c r="B548" s="7">
        <v>9900</v>
      </c>
      <c r="C548" s="7">
        <v>43.360999999999997</v>
      </c>
      <c r="D548" s="2">
        <f t="shared" si="117"/>
        <v>4.8999999999999488E-2</v>
      </c>
      <c r="E548" s="8">
        <f t="shared" si="128"/>
        <v>43.408101112715414</v>
      </c>
      <c r="F548" s="6">
        <f t="shared" si="124"/>
        <v>3.1796502384737683E-2</v>
      </c>
      <c r="G548" s="12">
        <f t="shared" si="125"/>
        <v>-4.7101112715417059E-2</v>
      </c>
    </row>
    <row r="549" spans="1:18" x14ac:dyDescent="0.3">
      <c r="A549" s="11" t="s">
        <v>558</v>
      </c>
      <c r="B549" s="7">
        <v>9920</v>
      </c>
      <c r="C549" s="7">
        <v>43.420999999999999</v>
      </c>
      <c r="D549" s="2">
        <f t="shared" si="117"/>
        <v>6.0000000000002274E-2</v>
      </c>
      <c r="E549" s="8">
        <f t="shared" si="128"/>
        <v>43.439897615100151</v>
      </c>
      <c r="F549" s="6">
        <f t="shared" si="124"/>
        <v>3.1796502384737683E-2</v>
      </c>
      <c r="G549" s="12">
        <f t="shared" si="125"/>
        <v>-1.8897615100151199E-2</v>
      </c>
    </row>
    <row r="550" spans="1:18" x14ac:dyDescent="0.3">
      <c r="A550" s="11" t="s">
        <v>559</v>
      </c>
      <c r="B550" s="7">
        <v>9940</v>
      </c>
      <c r="C550" s="7">
        <v>43.619</v>
      </c>
      <c r="D550" s="2">
        <f t="shared" si="117"/>
        <v>0.1980000000000004</v>
      </c>
      <c r="E550" s="8">
        <f t="shared" si="128"/>
        <v>43.471694117484887</v>
      </c>
      <c r="F550" s="6">
        <f t="shared" si="124"/>
        <v>3.1796502384737683E-2</v>
      </c>
      <c r="G550" s="12">
        <f t="shared" si="125"/>
        <v>0.14730588251511278</v>
      </c>
    </row>
    <row r="551" spans="1:18" x14ac:dyDescent="0.3">
      <c r="A551" s="11" t="s">
        <v>560</v>
      </c>
      <c r="B551" s="7">
        <v>9960</v>
      </c>
      <c r="C551" s="7">
        <v>43.637999999999998</v>
      </c>
      <c r="D551" s="2">
        <f t="shared" si="117"/>
        <v>1.8999999999998352E-2</v>
      </c>
      <c r="E551" s="8">
        <f t="shared" si="128"/>
        <v>43.503490619869623</v>
      </c>
      <c r="F551" s="6">
        <f t="shared" si="124"/>
        <v>3.1796502384737683E-2</v>
      </c>
      <c r="G551" s="12">
        <f t="shared" si="125"/>
        <v>0.13450938013037472</v>
      </c>
    </row>
    <row r="552" spans="1:18" x14ac:dyDescent="0.3">
      <c r="A552" s="13" t="s">
        <v>561</v>
      </c>
      <c r="B552" s="24"/>
      <c r="C552" s="25"/>
      <c r="D552" s="25"/>
      <c r="E552" s="25"/>
      <c r="F552" s="25"/>
      <c r="G552" s="26"/>
    </row>
    <row r="553" spans="1:18" x14ac:dyDescent="0.3">
      <c r="A553" s="11" t="s">
        <v>562</v>
      </c>
      <c r="B553" s="7">
        <v>9980</v>
      </c>
      <c r="C553" s="7">
        <v>43.646999999999998</v>
      </c>
      <c r="D553" s="2">
        <f>C553-C551</f>
        <v>9.0000000000003411E-3</v>
      </c>
      <c r="E553" s="8">
        <f>E551+F551</f>
        <v>43.53528712225436</v>
      </c>
      <c r="F553" s="6">
        <f>F551</f>
        <v>3.1796502384737683E-2</v>
      </c>
      <c r="G553" s="12">
        <f t="shared" si="125"/>
        <v>0.11171287774563865</v>
      </c>
    </row>
    <row r="554" spans="1:18" x14ac:dyDescent="0.3">
      <c r="A554" s="11" t="s">
        <v>563</v>
      </c>
      <c r="B554" s="7">
        <v>10000</v>
      </c>
      <c r="C554" s="7">
        <v>43.594999999999999</v>
      </c>
      <c r="D554" s="2">
        <f t="shared" si="117"/>
        <v>-5.1999999999999602E-2</v>
      </c>
      <c r="E554" s="8">
        <f t="shared" si="128"/>
        <v>43.567083624639096</v>
      </c>
      <c r="F554" s="6">
        <f t="shared" si="124"/>
        <v>3.1796502384737683E-2</v>
      </c>
      <c r="G554" s="12">
        <f t="shared" si="125"/>
        <v>2.7916375360902634E-2</v>
      </c>
    </row>
    <row r="555" spans="1:18" x14ac:dyDescent="0.3">
      <c r="A555" s="11" t="s">
        <v>564</v>
      </c>
      <c r="B555" s="7">
        <v>10020</v>
      </c>
      <c r="C555" s="7">
        <v>43.598999999999997</v>
      </c>
      <c r="D555" s="2">
        <f t="shared" si="117"/>
        <v>3.9999999999977831E-3</v>
      </c>
      <c r="E555" s="8">
        <f t="shared" ref="E555" si="129">E554+F554</f>
        <v>43.598880127023833</v>
      </c>
      <c r="F555" s="6">
        <f t="shared" ref="F555:F576" si="130">F554</f>
        <v>3.1796502384737683E-2</v>
      </c>
      <c r="G555" s="12">
        <f t="shared" ref="G555:G576" si="131">C555-E555</f>
        <v>1.1987297616400383E-4</v>
      </c>
    </row>
    <row r="556" spans="1:18" x14ac:dyDescent="0.3">
      <c r="A556" s="21"/>
      <c r="B556" s="22"/>
      <c r="C556" s="22"/>
      <c r="D556" s="22"/>
      <c r="E556" s="22"/>
      <c r="F556" s="22"/>
      <c r="G556" s="23"/>
      <c r="H556" s="4" t="s">
        <v>3301</v>
      </c>
      <c r="J556" s="4"/>
      <c r="O556" s="3">
        <f>1/O557</f>
        <v>1.5037593984962405E-4</v>
      </c>
      <c r="P556" s="3">
        <f>O556*20</f>
        <v>3.0075187969924809E-3</v>
      </c>
      <c r="Q556" s="3" t="s">
        <v>3202</v>
      </c>
      <c r="R556" s="3">
        <v>6650</v>
      </c>
    </row>
    <row r="557" spans="1:18" x14ac:dyDescent="0.3">
      <c r="A557" s="11" t="s">
        <v>565</v>
      </c>
      <c r="B557" s="7">
        <v>10040</v>
      </c>
      <c r="C557" s="7">
        <v>43.603999999999999</v>
      </c>
      <c r="D557" s="2">
        <f>C557-C555</f>
        <v>5.000000000002558E-3</v>
      </c>
      <c r="E557" s="8">
        <f>E555+F557</f>
        <v>43.601887645820824</v>
      </c>
      <c r="F557" s="6">
        <f>P556</f>
        <v>3.0075187969924809E-3</v>
      </c>
      <c r="G557" s="12">
        <f>C557-E557</f>
        <v>2.1123541791752132E-3</v>
      </c>
      <c r="H557" s="3">
        <f>B555</f>
        <v>10020</v>
      </c>
      <c r="I557" s="3">
        <f>B572</f>
        <v>10340</v>
      </c>
      <c r="J557" s="3">
        <f>I557-H557</f>
        <v>320</v>
      </c>
      <c r="K557" s="5">
        <f>E555</f>
        <v>43.598880127023833</v>
      </c>
      <c r="L557" s="3">
        <f>C572</f>
        <v>43.646999999999998</v>
      </c>
      <c r="M557" s="5">
        <f>L557-K557</f>
        <v>4.8119872976165823E-2</v>
      </c>
      <c r="N557" s="3">
        <f>J557/M557</f>
        <v>6650.059117123993</v>
      </c>
      <c r="O557" s="3">
        <v>6650</v>
      </c>
    </row>
    <row r="558" spans="1:18" x14ac:dyDescent="0.3">
      <c r="A558" s="11" t="s">
        <v>566</v>
      </c>
      <c r="B558" s="7">
        <v>10060</v>
      </c>
      <c r="C558" s="7">
        <v>43.604999999999997</v>
      </c>
      <c r="D558" s="2">
        <f t="shared" si="117"/>
        <v>9.9999999999766942E-4</v>
      </c>
      <c r="E558" s="8">
        <f>E557+F557</f>
        <v>43.604895164617815</v>
      </c>
      <c r="F558" s="6">
        <f t="shared" ref="F558" si="132">F557</f>
        <v>3.0075187969924809E-3</v>
      </c>
      <c r="G558" s="12">
        <f t="shared" ref="G558" si="133">C558-E558</f>
        <v>1.0483538218153399E-4</v>
      </c>
    </row>
    <row r="559" spans="1:18" x14ac:dyDescent="0.3">
      <c r="A559" s="11" t="s">
        <v>567</v>
      </c>
      <c r="B559" s="7">
        <v>10080</v>
      </c>
      <c r="C559" s="7">
        <v>43.591000000000001</v>
      </c>
      <c r="D559" s="2">
        <f t="shared" si="117"/>
        <v>-1.3999999999995794E-2</v>
      </c>
      <c r="E559" s="8">
        <f t="shared" ref="E559:E572" si="134">E558+F558</f>
        <v>43.607902683414807</v>
      </c>
      <c r="F559" s="6">
        <f t="shared" si="130"/>
        <v>3.0075187969924809E-3</v>
      </c>
      <c r="G559" s="12">
        <f t="shared" si="131"/>
        <v>-1.6902683414805608E-2</v>
      </c>
    </row>
    <row r="560" spans="1:18" x14ac:dyDescent="0.3">
      <c r="A560" s="11" t="s">
        <v>568</v>
      </c>
      <c r="B560" s="7">
        <v>10100</v>
      </c>
      <c r="C560" s="7">
        <v>43.564999999999998</v>
      </c>
      <c r="D560" s="2">
        <f t="shared" si="117"/>
        <v>-2.6000000000003354E-2</v>
      </c>
      <c r="E560" s="8">
        <f t="shared" si="134"/>
        <v>43.610910202211798</v>
      </c>
      <c r="F560" s="6">
        <f t="shared" si="130"/>
        <v>3.0075187969924809E-3</v>
      </c>
      <c r="G560" s="12">
        <f t="shared" si="131"/>
        <v>-4.5910202211800311E-2</v>
      </c>
    </row>
    <row r="561" spans="1:18" x14ac:dyDescent="0.3">
      <c r="A561" s="11" t="s">
        <v>569</v>
      </c>
      <c r="B561" s="7">
        <v>10120</v>
      </c>
      <c r="C561" s="7">
        <v>43.539000000000001</v>
      </c>
      <c r="D561" s="2">
        <f t="shared" si="117"/>
        <v>-2.5999999999996248E-2</v>
      </c>
      <c r="E561" s="8">
        <f t="shared" si="134"/>
        <v>43.613917721008789</v>
      </c>
      <c r="F561" s="6">
        <f t="shared" si="130"/>
        <v>3.0075187969924809E-3</v>
      </c>
      <c r="G561" s="12">
        <f t="shared" si="131"/>
        <v>-7.4917721008787908E-2</v>
      </c>
    </row>
    <row r="562" spans="1:18" x14ac:dyDescent="0.3">
      <c r="A562" s="11" t="s">
        <v>570</v>
      </c>
      <c r="B562" s="7">
        <v>10140</v>
      </c>
      <c r="C562" s="7">
        <v>43.518999999999998</v>
      </c>
      <c r="D562" s="2">
        <f t="shared" si="117"/>
        <v>-2.0000000000003126E-2</v>
      </c>
      <c r="E562" s="8">
        <f t="shared" si="134"/>
        <v>43.616925239805781</v>
      </c>
      <c r="F562" s="6">
        <f t="shared" si="130"/>
        <v>3.0075187969924809E-3</v>
      </c>
      <c r="G562" s="12">
        <f t="shared" si="131"/>
        <v>-9.7925239805782383E-2</v>
      </c>
    </row>
    <row r="563" spans="1:18" x14ac:dyDescent="0.3">
      <c r="A563" s="11" t="s">
        <v>571</v>
      </c>
      <c r="B563" s="7">
        <v>10160</v>
      </c>
      <c r="C563" s="7">
        <v>43.509</v>
      </c>
      <c r="D563" s="2">
        <f t="shared" si="117"/>
        <v>-9.9999999999980105E-3</v>
      </c>
      <c r="E563" s="8">
        <f t="shared" si="134"/>
        <v>43.619932758602772</v>
      </c>
      <c r="F563" s="6">
        <f t="shared" si="130"/>
        <v>3.0075187969924809E-3</v>
      </c>
      <c r="G563" s="12">
        <f t="shared" si="131"/>
        <v>-0.11093275860277174</v>
      </c>
    </row>
    <row r="564" spans="1:18" x14ac:dyDescent="0.3">
      <c r="A564" s="11" t="s">
        <v>572</v>
      </c>
      <c r="B564" s="7">
        <v>10180</v>
      </c>
      <c r="C564" s="7">
        <v>43.503999999999998</v>
      </c>
      <c r="D564" s="2">
        <f t="shared" si="117"/>
        <v>-5.000000000002558E-3</v>
      </c>
      <c r="E564" s="8">
        <f t="shared" si="134"/>
        <v>43.622940277399763</v>
      </c>
      <c r="F564" s="6">
        <f t="shared" si="130"/>
        <v>3.0075187969924809E-3</v>
      </c>
      <c r="G564" s="12">
        <f t="shared" si="131"/>
        <v>-0.11894027739976565</v>
      </c>
    </row>
    <row r="565" spans="1:18" x14ac:dyDescent="0.3">
      <c r="A565" s="11" t="s">
        <v>573</v>
      </c>
      <c r="B565" s="7">
        <v>10200</v>
      </c>
      <c r="C565" s="7">
        <v>43.499000000000002</v>
      </c>
      <c r="D565" s="2">
        <f t="shared" si="117"/>
        <v>-4.9999999999954525E-3</v>
      </c>
      <c r="E565" s="8">
        <f t="shared" si="134"/>
        <v>43.625947796196755</v>
      </c>
      <c r="F565" s="6">
        <f t="shared" si="130"/>
        <v>3.0075187969924809E-3</v>
      </c>
      <c r="G565" s="12">
        <f t="shared" si="131"/>
        <v>-0.12694779619675245</v>
      </c>
    </row>
    <row r="566" spans="1:18" x14ac:dyDescent="0.3">
      <c r="A566" s="11" t="s">
        <v>574</v>
      </c>
      <c r="B566" s="7">
        <v>10220</v>
      </c>
      <c r="C566" s="7">
        <v>43.515999999999998</v>
      </c>
      <c r="D566" s="2">
        <f t="shared" si="117"/>
        <v>1.6999999999995907E-2</v>
      </c>
      <c r="E566" s="8">
        <f t="shared" si="134"/>
        <v>43.628955314993746</v>
      </c>
      <c r="F566" s="6">
        <f t="shared" si="130"/>
        <v>3.0075187969924809E-3</v>
      </c>
      <c r="G566" s="12">
        <f t="shared" si="131"/>
        <v>-0.11295531499374789</v>
      </c>
    </row>
    <row r="567" spans="1:18" x14ac:dyDescent="0.3">
      <c r="A567" s="11" t="s">
        <v>575</v>
      </c>
      <c r="B567" s="7">
        <v>10240</v>
      </c>
      <c r="C567" s="7">
        <v>43.543999999999997</v>
      </c>
      <c r="D567" s="2">
        <f t="shared" si="117"/>
        <v>2.7999999999998693E-2</v>
      </c>
      <c r="E567" s="8">
        <f t="shared" si="134"/>
        <v>43.631962833790737</v>
      </c>
      <c r="F567" s="6">
        <f t="shared" si="130"/>
        <v>3.0075187969924809E-3</v>
      </c>
      <c r="G567" s="12">
        <f t="shared" si="131"/>
        <v>-8.7962833790740547E-2</v>
      </c>
    </row>
    <row r="568" spans="1:18" x14ac:dyDescent="0.3">
      <c r="A568" s="11" t="s">
        <v>576</v>
      </c>
      <c r="B568" s="7">
        <v>10260</v>
      </c>
      <c r="C568" s="7">
        <v>43.554000000000002</v>
      </c>
      <c r="D568" s="2">
        <f t="shared" si="117"/>
        <v>1.0000000000005116E-2</v>
      </c>
      <c r="E568" s="8">
        <f t="shared" si="134"/>
        <v>43.634970352587729</v>
      </c>
      <c r="F568" s="6">
        <f t="shared" si="130"/>
        <v>3.0075187969924809E-3</v>
      </c>
      <c r="G568" s="12">
        <f t="shared" si="131"/>
        <v>-8.0970352587726779E-2</v>
      </c>
    </row>
    <row r="569" spans="1:18" x14ac:dyDescent="0.3">
      <c r="A569" s="11" t="s">
        <v>577</v>
      </c>
      <c r="B569" s="7">
        <v>10280</v>
      </c>
      <c r="C569" s="7">
        <v>43.555</v>
      </c>
      <c r="D569" s="2">
        <f t="shared" ref="D569:D637" si="135">C569-C568</f>
        <v>9.9999999999766942E-4</v>
      </c>
      <c r="E569" s="8">
        <f t="shared" si="134"/>
        <v>43.63797787138472</v>
      </c>
      <c r="F569" s="6">
        <f t="shared" si="130"/>
        <v>3.0075187969924809E-3</v>
      </c>
      <c r="G569" s="12">
        <f t="shared" si="131"/>
        <v>-8.2977871384720459E-2</v>
      </c>
    </row>
    <row r="570" spans="1:18" x14ac:dyDescent="0.3">
      <c r="A570" s="11" t="s">
        <v>578</v>
      </c>
      <c r="B570" s="7">
        <v>10300</v>
      </c>
      <c r="C570" s="7">
        <v>43.546999999999997</v>
      </c>
      <c r="D570" s="2">
        <f t="shared" si="135"/>
        <v>-8.0000000000026716E-3</v>
      </c>
      <c r="E570" s="8">
        <f t="shared" si="134"/>
        <v>43.640985390181712</v>
      </c>
      <c r="F570" s="6">
        <f t="shared" si="130"/>
        <v>3.0075187969924809E-3</v>
      </c>
      <c r="G570" s="12">
        <f t="shared" si="131"/>
        <v>-9.3985390181714479E-2</v>
      </c>
    </row>
    <row r="571" spans="1:18" x14ac:dyDescent="0.3">
      <c r="A571" s="11" t="s">
        <v>579</v>
      </c>
      <c r="B571" s="7">
        <v>10320</v>
      </c>
      <c r="C571" s="7">
        <v>43.554000000000002</v>
      </c>
      <c r="D571" s="2">
        <f t="shared" si="135"/>
        <v>7.0000000000050022E-3</v>
      </c>
      <c r="E571" s="8">
        <f t="shared" si="134"/>
        <v>43.643992908978703</v>
      </c>
      <c r="F571" s="6">
        <f t="shared" si="130"/>
        <v>3.0075187969924809E-3</v>
      </c>
      <c r="G571" s="12">
        <f t="shared" si="131"/>
        <v>-8.9992908978700825E-2</v>
      </c>
    </row>
    <row r="572" spans="1:18" x14ac:dyDescent="0.3">
      <c r="A572" s="11" t="s">
        <v>580</v>
      </c>
      <c r="B572" s="7">
        <v>10340</v>
      </c>
      <c r="C572" s="7">
        <v>43.646999999999998</v>
      </c>
      <c r="D572" s="2">
        <f t="shared" si="135"/>
        <v>9.2999999999996419E-2</v>
      </c>
      <c r="E572" s="8">
        <f t="shared" si="134"/>
        <v>43.647000427775694</v>
      </c>
      <c r="F572" s="6">
        <f t="shared" si="130"/>
        <v>3.0075187969924809E-3</v>
      </c>
      <c r="G572" s="12">
        <f t="shared" si="131"/>
        <v>-4.2777569575491725E-7</v>
      </c>
    </row>
    <row r="573" spans="1:18" x14ac:dyDescent="0.3">
      <c r="A573" s="21"/>
      <c r="B573" s="22"/>
      <c r="C573" s="22"/>
      <c r="D573" s="22"/>
      <c r="E573" s="22"/>
      <c r="F573" s="22"/>
      <c r="G573" s="23"/>
      <c r="H573" s="4" t="s">
        <v>3205</v>
      </c>
      <c r="J573" s="4"/>
      <c r="O573" s="3">
        <f>1/O574</f>
        <v>1.0869565217391304E-3</v>
      </c>
      <c r="P573" s="3">
        <f>O573*20</f>
        <v>2.1739130434782608E-2</v>
      </c>
      <c r="Q573" s="3" t="s">
        <v>3200</v>
      </c>
      <c r="R573" s="3">
        <v>920</v>
      </c>
    </row>
    <row r="574" spans="1:18" x14ac:dyDescent="0.3">
      <c r="A574" s="11" t="s">
        <v>581</v>
      </c>
      <c r="B574" s="7">
        <v>10360</v>
      </c>
      <c r="C574" s="7">
        <v>43.610999999999997</v>
      </c>
      <c r="D574" s="2">
        <f>C574-C572</f>
        <v>-3.6000000000001364E-2</v>
      </c>
      <c r="E574" s="8">
        <f>E572-F574</f>
        <v>43.625261297340913</v>
      </c>
      <c r="F574" s="6">
        <f>P573</f>
        <v>2.1739130434782608E-2</v>
      </c>
      <c r="G574" s="12">
        <f>C574-E574</f>
        <v>-1.4261297340915746E-2</v>
      </c>
      <c r="H574" s="3">
        <f>B572</f>
        <v>10340</v>
      </c>
      <c r="I574" s="3">
        <f>B589</f>
        <v>10660</v>
      </c>
      <c r="J574" s="3">
        <f>I574-H574</f>
        <v>320</v>
      </c>
      <c r="K574" s="5">
        <f>E572</f>
        <v>43.647000427775694</v>
      </c>
      <c r="L574" s="3">
        <f>C589</f>
        <v>43.298999999999999</v>
      </c>
      <c r="M574" s="5">
        <f>L574-K574</f>
        <v>-0.34800042777569473</v>
      </c>
      <c r="N574" s="3">
        <f>J574/M574</f>
        <v>-919.53909955035306</v>
      </c>
      <c r="O574" s="3">
        <v>920</v>
      </c>
    </row>
    <row r="575" spans="1:18" x14ac:dyDescent="0.3">
      <c r="A575" s="11" t="s">
        <v>582</v>
      </c>
      <c r="B575" s="7">
        <v>10380</v>
      </c>
      <c r="C575" s="7">
        <v>43.497</v>
      </c>
      <c r="D575" s="2">
        <f t="shared" si="135"/>
        <v>-0.11399999999999721</v>
      </c>
      <c r="E575" s="8">
        <f>E574-F574</f>
        <v>43.603522166906131</v>
      </c>
      <c r="F575" s="6">
        <f t="shared" ref="F575" si="136">F574</f>
        <v>2.1739130434782608E-2</v>
      </c>
      <c r="G575" s="12">
        <f t="shared" ref="G575" si="137">C575-E575</f>
        <v>-0.10652216690613159</v>
      </c>
    </row>
    <row r="576" spans="1:18" x14ac:dyDescent="0.3">
      <c r="A576" s="11" t="s">
        <v>583</v>
      </c>
      <c r="B576" s="7">
        <v>10400</v>
      </c>
      <c r="C576" s="7">
        <v>43.47</v>
      </c>
      <c r="D576" s="2">
        <f t="shared" si="135"/>
        <v>-2.7000000000001023E-2</v>
      </c>
      <c r="E576" s="8">
        <f t="shared" ref="E576:E589" si="138">E575-F575</f>
        <v>43.58178303647135</v>
      </c>
      <c r="F576" s="6">
        <f t="shared" si="130"/>
        <v>2.1739130434782608E-2</v>
      </c>
      <c r="G576" s="12">
        <f t="shared" si="131"/>
        <v>-0.11178303647135124</v>
      </c>
    </row>
    <row r="577" spans="1:18" x14ac:dyDescent="0.3">
      <c r="A577" s="11" t="s">
        <v>584</v>
      </c>
      <c r="B577" s="7">
        <v>10420</v>
      </c>
      <c r="C577" s="7">
        <v>43.451999999999998</v>
      </c>
      <c r="D577" s="2">
        <f t="shared" si="135"/>
        <v>-1.8000000000000682E-2</v>
      </c>
      <c r="E577" s="8">
        <f t="shared" si="138"/>
        <v>43.560043906036569</v>
      </c>
      <c r="F577" s="6">
        <f t="shared" ref="F577:F586" si="139">F576</f>
        <v>2.1739130434782608E-2</v>
      </c>
      <c r="G577" s="12">
        <f t="shared" ref="G577:G586" si="140">C577-E577</f>
        <v>-0.10804390603657055</v>
      </c>
    </row>
    <row r="578" spans="1:18" x14ac:dyDescent="0.3">
      <c r="A578" s="11" t="s">
        <v>585</v>
      </c>
      <c r="B578" s="7">
        <v>10440</v>
      </c>
      <c r="C578" s="7">
        <v>43.427</v>
      </c>
      <c r="D578" s="2">
        <f t="shared" si="135"/>
        <v>-2.4999999999998579E-2</v>
      </c>
      <c r="E578" s="8">
        <f t="shared" si="138"/>
        <v>43.538304775601787</v>
      </c>
      <c r="F578" s="6">
        <f t="shared" si="139"/>
        <v>2.1739130434782608E-2</v>
      </c>
      <c r="G578" s="12">
        <f t="shared" si="140"/>
        <v>-0.11130477560178775</v>
      </c>
    </row>
    <row r="579" spans="1:18" x14ac:dyDescent="0.3">
      <c r="A579" s="11" t="s">
        <v>586</v>
      </c>
      <c r="B579" s="7">
        <v>10460</v>
      </c>
      <c r="C579" s="7">
        <v>43.412999999999997</v>
      </c>
      <c r="D579" s="2">
        <f t="shared" si="135"/>
        <v>-1.4000000000002899E-2</v>
      </c>
      <c r="E579" s="8">
        <f t="shared" si="138"/>
        <v>43.516565645167006</v>
      </c>
      <c r="F579" s="6">
        <f t="shared" si="139"/>
        <v>2.1739130434782608E-2</v>
      </c>
      <c r="G579" s="12">
        <f t="shared" si="140"/>
        <v>-0.10356564516700928</v>
      </c>
    </row>
    <row r="580" spans="1:18" x14ac:dyDescent="0.3">
      <c r="A580" s="11" t="s">
        <v>587</v>
      </c>
      <c r="B580" s="7">
        <v>10480</v>
      </c>
      <c r="C580" s="7">
        <v>43.408000000000001</v>
      </c>
      <c r="D580" s="2">
        <f t="shared" si="135"/>
        <v>-4.9999999999954525E-3</v>
      </c>
      <c r="E580" s="8">
        <f t="shared" si="138"/>
        <v>43.494826514732225</v>
      </c>
      <c r="F580" s="6">
        <f t="shared" si="139"/>
        <v>2.1739130434782608E-2</v>
      </c>
      <c r="G580" s="12">
        <f t="shared" si="140"/>
        <v>-8.6826514732223359E-2</v>
      </c>
    </row>
    <row r="581" spans="1:18" x14ac:dyDescent="0.3">
      <c r="A581" s="11" t="s">
        <v>588</v>
      </c>
      <c r="B581" s="7">
        <v>10500</v>
      </c>
      <c r="C581" s="7">
        <v>43.404000000000003</v>
      </c>
      <c r="D581" s="2">
        <f t="shared" si="135"/>
        <v>-3.9999999999977831E-3</v>
      </c>
      <c r="E581" s="8">
        <f t="shared" si="138"/>
        <v>43.473087384297443</v>
      </c>
      <c r="F581" s="6">
        <f t="shared" si="139"/>
        <v>2.1739130434782608E-2</v>
      </c>
      <c r="G581" s="12">
        <f t="shared" si="140"/>
        <v>-6.9087384297439769E-2</v>
      </c>
    </row>
    <row r="582" spans="1:18" x14ac:dyDescent="0.3">
      <c r="A582" s="11" t="s">
        <v>589</v>
      </c>
      <c r="B582" s="7">
        <v>10520</v>
      </c>
      <c r="C582" s="7">
        <v>43.383000000000003</v>
      </c>
      <c r="D582" s="2">
        <f t="shared" si="135"/>
        <v>-2.1000000000000796E-2</v>
      </c>
      <c r="E582" s="8">
        <f t="shared" si="138"/>
        <v>43.451348253862662</v>
      </c>
      <c r="F582" s="6">
        <f t="shared" si="139"/>
        <v>2.1739130434782608E-2</v>
      </c>
      <c r="G582" s="12">
        <f t="shared" si="140"/>
        <v>-6.8348253862659192E-2</v>
      </c>
    </row>
    <row r="583" spans="1:18" x14ac:dyDescent="0.3">
      <c r="A583" s="11" t="s">
        <v>590</v>
      </c>
      <c r="B583" s="7">
        <v>10540</v>
      </c>
      <c r="C583" s="7">
        <v>43.351999999999997</v>
      </c>
      <c r="D583" s="2">
        <f t="shared" si="135"/>
        <v>-3.1000000000005912E-2</v>
      </c>
      <c r="E583" s="8">
        <f t="shared" si="138"/>
        <v>43.42960912342788</v>
      </c>
      <c r="F583" s="6">
        <f t="shared" si="139"/>
        <v>2.1739130434782608E-2</v>
      </c>
      <c r="G583" s="12">
        <f t="shared" si="140"/>
        <v>-7.7609123427883731E-2</v>
      </c>
    </row>
    <row r="584" spans="1:18" x14ac:dyDescent="0.3">
      <c r="A584" s="11" t="s">
        <v>591</v>
      </c>
      <c r="B584" s="7">
        <v>10560</v>
      </c>
      <c r="C584" s="7">
        <v>43.329000000000001</v>
      </c>
      <c r="D584" s="2">
        <f t="shared" si="135"/>
        <v>-2.2999999999996135E-2</v>
      </c>
      <c r="E584" s="8">
        <f t="shared" si="138"/>
        <v>43.407869992993099</v>
      </c>
      <c r="F584" s="6">
        <f t="shared" si="139"/>
        <v>2.1739130434782608E-2</v>
      </c>
      <c r="G584" s="12">
        <f t="shared" si="140"/>
        <v>-7.8869992993098492E-2</v>
      </c>
    </row>
    <row r="585" spans="1:18" x14ac:dyDescent="0.3">
      <c r="A585" s="11" t="s">
        <v>592</v>
      </c>
      <c r="B585" s="7">
        <v>10580</v>
      </c>
      <c r="C585" s="7">
        <v>43.298999999999999</v>
      </c>
      <c r="D585" s="2">
        <f t="shared" si="135"/>
        <v>-3.0000000000001137E-2</v>
      </c>
      <c r="E585" s="8">
        <f t="shared" si="138"/>
        <v>43.386130862558318</v>
      </c>
      <c r="F585" s="6">
        <f t="shared" si="139"/>
        <v>2.1739130434782608E-2</v>
      </c>
      <c r="G585" s="12">
        <f t="shared" si="140"/>
        <v>-8.7130862558318256E-2</v>
      </c>
    </row>
    <row r="586" spans="1:18" x14ac:dyDescent="0.3">
      <c r="A586" s="11" t="s">
        <v>593</v>
      </c>
      <c r="B586" s="7">
        <v>10600</v>
      </c>
      <c r="C586" s="7">
        <v>43.271000000000001</v>
      </c>
      <c r="D586" s="2">
        <f t="shared" si="135"/>
        <v>-2.7999999999998693E-2</v>
      </c>
      <c r="E586" s="8">
        <f t="shared" si="138"/>
        <v>43.364391732123536</v>
      </c>
      <c r="F586" s="6">
        <f t="shared" si="139"/>
        <v>2.1739130434782608E-2</v>
      </c>
      <c r="G586" s="12">
        <f t="shared" si="140"/>
        <v>-9.3391732123535576E-2</v>
      </c>
    </row>
    <row r="587" spans="1:18" x14ac:dyDescent="0.3">
      <c r="A587" s="11" t="s">
        <v>594</v>
      </c>
      <c r="B587" s="7">
        <v>10620</v>
      </c>
      <c r="C587" s="7">
        <v>43.26</v>
      </c>
      <c r="D587" s="2">
        <f t="shared" si="135"/>
        <v>-1.1000000000002785E-2</v>
      </c>
      <c r="E587" s="8">
        <f t="shared" si="138"/>
        <v>43.342652601688755</v>
      </c>
      <c r="F587" s="6">
        <f t="shared" ref="F587:F608" si="141">F586</f>
        <v>2.1739130434782608E-2</v>
      </c>
      <c r="G587" s="12">
        <f t="shared" ref="G587:G608" si="142">C587-E587</f>
        <v>-8.2652601688756988E-2</v>
      </c>
    </row>
    <row r="588" spans="1:18" x14ac:dyDescent="0.3">
      <c r="A588" s="11" t="s">
        <v>595</v>
      </c>
      <c r="B588" s="7">
        <v>10640</v>
      </c>
      <c r="C588" s="7">
        <v>43.280999999999999</v>
      </c>
      <c r="D588" s="2">
        <f t="shared" si="135"/>
        <v>2.1000000000000796E-2</v>
      </c>
      <c r="E588" s="8">
        <f t="shared" si="138"/>
        <v>43.320913471253974</v>
      </c>
      <c r="F588" s="6">
        <f t="shared" si="141"/>
        <v>2.1739130434782608E-2</v>
      </c>
      <c r="G588" s="12">
        <f t="shared" si="142"/>
        <v>-3.9913471253974819E-2</v>
      </c>
    </row>
    <row r="589" spans="1:18" x14ac:dyDescent="0.3">
      <c r="A589" s="11" t="s">
        <v>596</v>
      </c>
      <c r="B589" s="7">
        <v>10660</v>
      </c>
      <c r="C589" s="7">
        <v>43.298999999999999</v>
      </c>
      <c r="D589" s="2">
        <f t="shared" si="135"/>
        <v>1.8000000000000682E-2</v>
      </c>
      <c r="E589" s="8">
        <f t="shared" si="138"/>
        <v>43.299174340819192</v>
      </c>
      <c r="F589" s="6">
        <f t="shared" si="141"/>
        <v>2.1739130434782608E-2</v>
      </c>
      <c r="G589" s="12">
        <f t="shared" si="142"/>
        <v>-1.7434081919276423E-4</v>
      </c>
    </row>
    <row r="590" spans="1:18" x14ac:dyDescent="0.3">
      <c r="A590" s="21"/>
      <c r="B590" s="22"/>
      <c r="C590" s="22"/>
      <c r="D590" s="22"/>
      <c r="E590" s="22"/>
      <c r="F590" s="22"/>
      <c r="G590" s="23"/>
      <c r="H590" s="4" t="s">
        <v>3302</v>
      </c>
      <c r="J590" s="4"/>
      <c r="O590" s="3">
        <f>1/O591</f>
        <v>3.5714285714285714E-4</v>
      </c>
      <c r="P590" s="3">
        <f>O590*20</f>
        <v>7.1428571428571426E-3</v>
      </c>
      <c r="Q590" s="3" t="s">
        <v>3202</v>
      </c>
      <c r="R590" s="3">
        <v>2800</v>
      </c>
    </row>
    <row r="591" spans="1:18" x14ac:dyDescent="0.3">
      <c r="A591" s="11" t="s">
        <v>597</v>
      </c>
      <c r="B591" s="7">
        <v>10680</v>
      </c>
      <c r="C591" s="7">
        <v>43.314999999999998</v>
      </c>
      <c r="D591" s="2">
        <f>C591-C589</f>
        <v>1.5999999999998238E-2</v>
      </c>
      <c r="E591" s="8">
        <f>E589+F591</f>
        <v>43.306317197962052</v>
      </c>
      <c r="F591" s="6">
        <f>P590</f>
        <v>7.1428571428571426E-3</v>
      </c>
      <c r="G591" s="12">
        <f>C591-E591</f>
        <v>8.6828020379456916E-3</v>
      </c>
      <c r="H591" s="3">
        <f>B589</f>
        <v>10660</v>
      </c>
      <c r="I591" s="3">
        <f>B618</f>
        <v>11200</v>
      </c>
      <c r="J591" s="3">
        <f>I591-H591</f>
        <v>540</v>
      </c>
      <c r="K591" s="5">
        <f>E589</f>
        <v>43.299174340819192</v>
      </c>
      <c r="L591" s="3">
        <f>C618</f>
        <v>43.491999999999997</v>
      </c>
      <c r="M591" s="5">
        <f>L591-K591</f>
        <v>0.19282565918080508</v>
      </c>
      <c r="N591" s="3">
        <f>J591/M591</f>
        <v>2800.4571709705042</v>
      </c>
      <c r="O591" s="3">
        <v>2800</v>
      </c>
    </row>
    <row r="592" spans="1:18" x14ac:dyDescent="0.3">
      <c r="A592" s="11" t="s">
        <v>598</v>
      </c>
      <c r="B592" s="7">
        <v>10700</v>
      </c>
      <c r="C592" s="7">
        <v>43.344000000000001</v>
      </c>
      <c r="D592" s="2">
        <f t="shared" si="135"/>
        <v>2.9000000000003467E-2</v>
      </c>
      <c r="E592" s="8">
        <f>E591+F591</f>
        <v>43.313460055104912</v>
      </c>
      <c r="F592" s="6">
        <f t="shared" ref="F592" si="143">F591</f>
        <v>7.1428571428571426E-3</v>
      </c>
      <c r="G592" s="12">
        <f t="shared" ref="G592" si="144">C592-E592</f>
        <v>3.0539944895089377E-2</v>
      </c>
    </row>
    <row r="593" spans="1:7" x14ac:dyDescent="0.3">
      <c r="A593" s="11" t="s">
        <v>599</v>
      </c>
      <c r="B593" s="7">
        <v>10720</v>
      </c>
      <c r="C593" s="7">
        <v>43.366999999999997</v>
      </c>
      <c r="D593" s="2">
        <f t="shared" si="135"/>
        <v>2.2999999999996135E-2</v>
      </c>
      <c r="E593" s="8">
        <f t="shared" ref="E593:E608" si="145">E592+F592</f>
        <v>43.320602912247772</v>
      </c>
      <c r="F593" s="6">
        <f t="shared" si="141"/>
        <v>7.1428571428571426E-3</v>
      </c>
      <c r="G593" s="12">
        <f t="shared" si="142"/>
        <v>4.639708775222573E-2</v>
      </c>
    </row>
    <row r="594" spans="1:7" x14ac:dyDescent="0.3">
      <c r="A594" s="11" t="s">
        <v>600</v>
      </c>
      <c r="B594" s="7">
        <v>10740</v>
      </c>
      <c r="C594" s="7">
        <v>43.386000000000003</v>
      </c>
      <c r="D594" s="2">
        <f t="shared" si="135"/>
        <v>1.9000000000005457E-2</v>
      </c>
      <c r="E594" s="8">
        <f t="shared" si="145"/>
        <v>43.327745769390631</v>
      </c>
      <c r="F594" s="6">
        <f t="shared" si="141"/>
        <v>7.1428571428571426E-3</v>
      </c>
      <c r="G594" s="12">
        <f t="shared" si="142"/>
        <v>5.8254230609371405E-2</v>
      </c>
    </row>
    <row r="595" spans="1:7" x14ac:dyDescent="0.3">
      <c r="A595" s="11" t="s">
        <v>601</v>
      </c>
      <c r="B595" s="7">
        <v>10760</v>
      </c>
      <c r="C595" s="7">
        <v>43.386000000000003</v>
      </c>
      <c r="D595" s="2">
        <f t="shared" si="135"/>
        <v>0</v>
      </c>
      <c r="E595" s="8">
        <f t="shared" si="145"/>
        <v>43.334888626533491</v>
      </c>
      <c r="F595" s="6">
        <f t="shared" si="141"/>
        <v>7.1428571428571426E-3</v>
      </c>
      <c r="G595" s="12">
        <f t="shared" si="142"/>
        <v>5.1111373466511623E-2</v>
      </c>
    </row>
    <row r="596" spans="1:7" x14ac:dyDescent="0.3">
      <c r="A596" s="11" t="s">
        <v>602</v>
      </c>
      <c r="B596" s="7">
        <v>10780</v>
      </c>
      <c r="C596" s="7">
        <v>43.381</v>
      </c>
      <c r="D596" s="2">
        <f t="shared" si="135"/>
        <v>-5.000000000002558E-3</v>
      </c>
      <c r="E596" s="8">
        <f t="shared" si="145"/>
        <v>43.342031483676351</v>
      </c>
      <c r="F596" s="6">
        <f t="shared" si="141"/>
        <v>7.1428571428571426E-3</v>
      </c>
      <c r="G596" s="12">
        <f t="shared" si="142"/>
        <v>3.8968516323649283E-2</v>
      </c>
    </row>
    <row r="597" spans="1:7" x14ac:dyDescent="0.3">
      <c r="A597" s="11" t="s">
        <v>603</v>
      </c>
      <c r="B597" s="7">
        <v>10800</v>
      </c>
      <c r="C597" s="7">
        <v>43.402000000000001</v>
      </c>
      <c r="D597" s="2">
        <f t="shared" si="135"/>
        <v>2.1000000000000796E-2</v>
      </c>
      <c r="E597" s="8">
        <f t="shared" si="145"/>
        <v>43.349174340819211</v>
      </c>
      <c r="F597" s="6">
        <f t="shared" si="141"/>
        <v>7.1428571428571426E-3</v>
      </c>
      <c r="G597" s="12">
        <f t="shared" si="142"/>
        <v>5.2825659180790296E-2</v>
      </c>
    </row>
    <row r="598" spans="1:7" x14ac:dyDescent="0.3">
      <c r="A598" s="11" t="s">
        <v>604</v>
      </c>
      <c r="B598" s="7">
        <v>10820</v>
      </c>
      <c r="C598" s="7">
        <v>43.417000000000002</v>
      </c>
      <c r="D598" s="2">
        <f t="shared" si="135"/>
        <v>1.5000000000000568E-2</v>
      </c>
      <c r="E598" s="8">
        <f t="shared" si="145"/>
        <v>43.356317197962071</v>
      </c>
      <c r="F598" s="6">
        <f t="shared" si="141"/>
        <v>7.1428571428571426E-3</v>
      </c>
      <c r="G598" s="12">
        <f t="shared" si="142"/>
        <v>6.0682802037931083E-2</v>
      </c>
    </row>
    <row r="599" spans="1:7" x14ac:dyDescent="0.3">
      <c r="A599" s="11" t="s">
        <v>605</v>
      </c>
      <c r="B599" s="7">
        <v>10840</v>
      </c>
      <c r="C599" s="7">
        <v>43.44</v>
      </c>
      <c r="D599" s="2">
        <f t="shared" si="135"/>
        <v>2.2999999999996135E-2</v>
      </c>
      <c r="E599" s="8">
        <f t="shared" si="145"/>
        <v>43.36346005510493</v>
      </c>
      <c r="F599" s="6">
        <f t="shared" si="141"/>
        <v>7.1428571428571426E-3</v>
      </c>
      <c r="G599" s="12">
        <f t="shared" si="142"/>
        <v>7.6539944895067435E-2</v>
      </c>
    </row>
    <row r="600" spans="1:7" x14ac:dyDescent="0.3">
      <c r="A600" s="11" t="s">
        <v>606</v>
      </c>
      <c r="B600" s="7">
        <v>10860</v>
      </c>
      <c r="C600" s="7">
        <v>43.462000000000003</v>
      </c>
      <c r="D600" s="2">
        <f t="shared" si="135"/>
        <v>2.2000000000005571E-2</v>
      </c>
      <c r="E600" s="8">
        <f t="shared" si="145"/>
        <v>43.37060291224779</v>
      </c>
      <c r="F600" s="6">
        <f t="shared" si="141"/>
        <v>7.1428571428571426E-3</v>
      </c>
      <c r="G600" s="12">
        <f t="shared" si="142"/>
        <v>9.1397087752213224E-2</v>
      </c>
    </row>
    <row r="601" spans="1:7" x14ac:dyDescent="0.3">
      <c r="A601" s="11" t="s">
        <v>607</v>
      </c>
      <c r="B601" s="7">
        <v>10880</v>
      </c>
      <c r="C601" s="7">
        <v>43.472000000000001</v>
      </c>
      <c r="D601" s="2">
        <f t="shared" si="135"/>
        <v>9.9999999999980105E-3</v>
      </c>
      <c r="E601" s="8">
        <f t="shared" si="145"/>
        <v>43.37774576939065</v>
      </c>
      <c r="F601" s="6">
        <f t="shared" si="141"/>
        <v>7.1428571428571426E-3</v>
      </c>
      <c r="G601" s="12">
        <f t="shared" si="142"/>
        <v>9.4254230609351453E-2</v>
      </c>
    </row>
    <row r="602" spans="1:7" x14ac:dyDescent="0.3">
      <c r="A602" s="11" t="s">
        <v>608</v>
      </c>
      <c r="B602" s="7">
        <v>10900</v>
      </c>
      <c r="C602" s="7">
        <v>43.478000000000002</v>
      </c>
      <c r="D602" s="2">
        <f t="shared" si="135"/>
        <v>6.0000000000002274E-3</v>
      </c>
      <c r="E602" s="8">
        <f t="shared" si="145"/>
        <v>43.38488862653351</v>
      </c>
      <c r="F602" s="6">
        <f t="shared" si="141"/>
        <v>7.1428571428571426E-3</v>
      </c>
      <c r="G602" s="12">
        <f t="shared" si="142"/>
        <v>9.3111373466491898E-2</v>
      </c>
    </row>
    <row r="603" spans="1:7" x14ac:dyDescent="0.3">
      <c r="A603" s="11" t="s">
        <v>609</v>
      </c>
      <c r="B603" s="7">
        <v>10920</v>
      </c>
      <c r="C603" s="7">
        <v>43.472000000000001</v>
      </c>
      <c r="D603" s="2">
        <f t="shared" si="135"/>
        <v>-6.0000000000002274E-3</v>
      </c>
      <c r="E603" s="8">
        <f t="shared" si="145"/>
        <v>43.392031483676369</v>
      </c>
      <c r="F603" s="6">
        <f t="shared" si="141"/>
        <v>7.1428571428571426E-3</v>
      </c>
      <c r="G603" s="12">
        <f t="shared" si="142"/>
        <v>7.9968516323631889E-2</v>
      </c>
    </row>
    <row r="604" spans="1:7" x14ac:dyDescent="0.3">
      <c r="A604" s="11" t="s">
        <v>610</v>
      </c>
      <c r="B604" s="7">
        <v>10940</v>
      </c>
      <c r="C604" s="7">
        <v>43.49</v>
      </c>
      <c r="D604" s="2">
        <f t="shared" si="135"/>
        <v>1.8000000000000682E-2</v>
      </c>
      <c r="E604" s="8">
        <f t="shared" si="145"/>
        <v>43.399174340819229</v>
      </c>
      <c r="F604" s="6">
        <f t="shared" si="141"/>
        <v>7.1428571428571426E-3</v>
      </c>
      <c r="G604" s="12">
        <f t="shared" si="142"/>
        <v>9.0825659180772789E-2</v>
      </c>
    </row>
    <row r="605" spans="1:7" x14ac:dyDescent="0.3">
      <c r="A605" s="11" t="s">
        <v>611</v>
      </c>
      <c r="B605" s="7">
        <v>10960</v>
      </c>
      <c r="C605" s="7">
        <v>43.497999999999998</v>
      </c>
      <c r="D605" s="2">
        <f t="shared" si="135"/>
        <v>7.9999999999955662E-3</v>
      </c>
      <c r="E605" s="8">
        <f t="shared" si="145"/>
        <v>43.406317197962089</v>
      </c>
      <c r="F605" s="6">
        <f t="shared" si="141"/>
        <v>7.1428571428571426E-3</v>
      </c>
      <c r="G605" s="12">
        <f t="shared" si="142"/>
        <v>9.1682802037908573E-2</v>
      </c>
    </row>
    <row r="606" spans="1:7" x14ac:dyDescent="0.3">
      <c r="A606" s="13" t="s">
        <v>612</v>
      </c>
      <c r="B606" s="24"/>
      <c r="C606" s="25"/>
      <c r="D606" s="25"/>
      <c r="E606" s="25"/>
      <c r="F606" s="25"/>
      <c r="G606" s="26"/>
    </row>
    <row r="607" spans="1:7" x14ac:dyDescent="0.3">
      <c r="A607" s="11" t="s">
        <v>613</v>
      </c>
      <c r="B607" s="7">
        <v>10980</v>
      </c>
      <c r="C607" s="7">
        <v>43.505000000000003</v>
      </c>
      <c r="D607" s="2">
        <f>C607-C605</f>
        <v>7.0000000000050022E-3</v>
      </c>
      <c r="E607" s="8">
        <f>E605+F605</f>
        <v>43.413460055104949</v>
      </c>
      <c r="F607" s="6">
        <f>F605</f>
        <v>7.1428571428571426E-3</v>
      </c>
      <c r="G607" s="12">
        <f t="shared" si="142"/>
        <v>9.1539944895053793E-2</v>
      </c>
    </row>
    <row r="608" spans="1:7" x14ac:dyDescent="0.3">
      <c r="A608" s="11" t="s">
        <v>614</v>
      </c>
      <c r="B608" s="7">
        <v>11000</v>
      </c>
      <c r="C608" s="7">
        <v>43.514000000000003</v>
      </c>
      <c r="D608" s="2">
        <f t="shared" si="135"/>
        <v>9.0000000000003411E-3</v>
      </c>
      <c r="E608" s="8">
        <f t="shared" si="145"/>
        <v>43.420602912247809</v>
      </c>
      <c r="F608" s="6">
        <f t="shared" si="141"/>
        <v>7.1428571428571426E-3</v>
      </c>
      <c r="G608" s="12">
        <f t="shared" si="142"/>
        <v>9.3397087752194352E-2</v>
      </c>
    </row>
    <row r="609" spans="1:18" x14ac:dyDescent="0.3">
      <c r="A609" s="11" t="s">
        <v>615</v>
      </c>
      <c r="B609" s="7">
        <v>11020</v>
      </c>
      <c r="C609" s="7">
        <v>43.503</v>
      </c>
      <c r="D609" s="2">
        <f t="shared" si="135"/>
        <v>-1.1000000000002785E-2</v>
      </c>
      <c r="E609" s="8">
        <f t="shared" ref="E609:E617" si="146">E608+F608</f>
        <v>43.427745769390668</v>
      </c>
      <c r="F609" s="6">
        <f t="shared" ref="F609:F624" si="147">F608</f>
        <v>7.1428571428571426E-3</v>
      </c>
      <c r="G609" s="12">
        <f t="shared" ref="G609:G624" si="148">C609-E609</f>
        <v>7.5254230609331785E-2</v>
      </c>
    </row>
    <row r="610" spans="1:18" x14ac:dyDescent="0.3">
      <c r="A610" s="11" t="s">
        <v>616</v>
      </c>
      <c r="B610" s="7">
        <v>11040</v>
      </c>
      <c r="C610" s="7">
        <v>43.521000000000001</v>
      </c>
      <c r="D610" s="2">
        <f t="shared" si="135"/>
        <v>1.8000000000000682E-2</v>
      </c>
      <c r="E610" s="8">
        <f t="shared" si="146"/>
        <v>43.434888626533528</v>
      </c>
      <c r="F610" s="6">
        <f t="shared" si="147"/>
        <v>7.1428571428571426E-3</v>
      </c>
      <c r="G610" s="12">
        <f t="shared" si="148"/>
        <v>8.6111373466472685E-2</v>
      </c>
    </row>
    <row r="611" spans="1:18" x14ac:dyDescent="0.3">
      <c r="A611" s="11" t="s">
        <v>617</v>
      </c>
      <c r="B611" s="7">
        <v>11060</v>
      </c>
      <c r="C611" s="7">
        <v>43.548000000000002</v>
      </c>
      <c r="D611" s="2">
        <f t="shared" si="135"/>
        <v>2.7000000000001023E-2</v>
      </c>
      <c r="E611" s="8">
        <f t="shared" si="146"/>
        <v>43.442031483676388</v>
      </c>
      <c r="F611" s="6">
        <f t="shared" si="147"/>
        <v>7.1428571428571426E-3</v>
      </c>
      <c r="G611" s="12">
        <f t="shared" si="148"/>
        <v>0.10596851632361393</v>
      </c>
    </row>
    <row r="612" spans="1:18" x14ac:dyDescent="0.3">
      <c r="A612" s="11" t="s">
        <v>618</v>
      </c>
      <c r="B612" s="7">
        <v>11080</v>
      </c>
      <c r="C612" s="7">
        <v>43.557000000000002</v>
      </c>
      <c r="D612" s="2">
        <f t="shared" si="135"/>
        <v>9.0000000000003411E-3</v>
      </c>
      <c r="E612" s="8">
        <f t="shared" si="146"/>
        <v>43.449174340819248</v>
      </c>
      <c r="F612" s="6">
        <f t="shared" si="147"/>
        <v>7.1428571428571426E-3</v>
      </c>
      <c r="G612" s="12">
        <f t="shared" si="148"/>
        <v>0.10782565918075449</v>
      </c>
    </row>
    <row r="613" spans="1:18" x14ac:dyDescent="0.3">
      <c r="A613" s="11" t="s">
        <v>619</v>
      </c>
      <c r="B613" s="7">
        <v>11100</v>
      </c>
      <c r="C613" s="7">
        <v>43.570999999999998</v>
      </c>
      <c r="D613" s="2">
        <f t="shared" si="135"/>
        <v>1.3999999999995794E-2</v>
      </c>
      <c r="E613" s="8">
        <f t="shared" si="146"/>
        <v>43.456317197962107</v>
      </c>
      <c r="F613" s="6">
        <f t="shared" si="147"/>
        <v>7.1428571428571426E-3</v>
      </c>
      <c r="G613" s="12">
        <f t="shared" si="148"/>
        <v>0.1146828020378905</v>
      </c>
    </row>
    <row r="614" spans="1:18" x14ac:dyDescent="0.3">
      <c r="A614" s="11" t="s">
        <v>620</v>
      </c>
      <c r="B614" s="7">
        <v>11120</v>
      </c>
      <c r="C614" s="7">
        <v>43.595999999999997</v>
      </c>
      <c r="D614" s="2">
        <f t="shared" si="135"/>
        <v>2.4999999999998579E-2</v>
      </c>
      <c r="E614" s="8">
        <f t="shared" si="146"/>
        <v>43.463460055104967</v>
      </c>
      <c r="F614" s="6">
        <f t="shared" si="147"/>
        <v>7.1428571428571426E-3</v>
      </c>
      <c r="G614" s="12">
        <f t="shared" si="148"/>
        <v>0.13253994489502929</v>
      </c>
    </row>
    <row r="615" spans="1:18" x14ac:dyDescent="0.3">
      <c r="A615" s="11" t="s">
        <v>621</v>
      </c>
      <c r="B615" s="7">
        <v>11140</v>
      </c>
      <c r="C615" s="7">
        <v>43.603999999999999</v>
      </c>
      <c r="D615" s="2">
        <f t="shared" si="135"/>
        <v>8.0000000000026716E-3</v>
      </c>
      <c r="E615" s="8">
        <f t="shared" si="146"/>
        <v>43.470602912247827</v>
      </c>
      <c r="F615" s="6">
        <f t="shared" si="147"/>
        <v>7.1428571428571426E-3</v>
      </c>
      <c r="G615" s="12">
        <f t="shared" si="148"/>
        <v>0.13339708775217218</v>
      </c>
    </row>
    <row r="616" spans="1:18" x14ac:dyDescent="0.3">
      <c r="A616" s="11" t="s">
        <v>622</v>
      </c>
      <c r="B616" s="7">
        <v>11160</v>
      </c>
      <c r="C616" s="7">
        <v>43.576000000000001</v>
      </c>
      <c r="D616" s="2">
        <f t="shared" si="135"/>
        <v>-2.7999999999998693E-2</v>
      </c>
      <c r="E616" s="8">
        <f t="shared" si="146"/>
        <v>43.477745769390687</v>
      </c>
      <c r="F616" s="6">
        <f t="shared" si="147"/>
        <v>7.1428571428571426E-3</v>
      </c>
      <c r="G616" s="12">
        <f t="shared" si="148"/>
        <v>9.8254230609313709E-2</v>
      </c>
    </row>
    <row r="617" spans="1:18" x14ac:dyDescent="0.3">
      <c r="A617" s="11" t="s">
        <v>623</v>
      </c>
      <c r="B617" s="7">
        <v>11180</v>
      </c>
      <c r="C617" s="7">
        <v>43.533999999999999</v>
      </c>
      <c r="D617" s="2">
        <f t="shared" si="135"/>
        <v>-4.2000000000001592E-2</v>
      </c>
      <c r="E617" s="8">
        <f t="shared" si="146"/>
        <v>43.484888626533547</v>
      </c>
      <c r="F617" s="6">
        <f t="shared" si="147"/>
        <v>7.1428571428571426E-3</v>
      </c>
      <c r="G617" s="12">
        <f t="shared" si="148"/>
        <v>4.9111373466452335E-2</v>
      </c>
    </row>
    <row r="618" spans="1:18" x14ac:dyDescent="0.3">
      <c r="A618" s="11" t="s">
        <v>624</v>
      </c>
      <c r="B618" s="7">
        <v>11200</v>
      </c>
      <c r="C618" s="7">
        <v>43.491999999999997</v>
      </c>
      <c r="D618" s="2">
        <f t="shared" si="135"/>
        <v>-4.2000000000001592E-2</v>
      </c>
      <c r="E618" s="8">
        <f>E617+F617</f>
        <v>43.492031483676406</v>
      </c>
      <c r="F618" s="6">
        <f t="shared" si="147"/>
        <v>7.1428571428571426E-3</v>
      </c>
      <c r="G618" s="12">
        <f t="shared" si="148"/>
        <v>-3.1483676409038708E-5</v>
      </c>
    </row>
    <row r="619" spans="1:18" x14ac:dyDescent="0.3">
      <c r="A619" s="21"/>
      <c r="B619" s="22"/>
      <c r="C619" s="22"/>
      <c r="D619" s="22"/>
      <c r="E619" s="22"/>
      <c r="F619" s="22"/>
      <c r="G619" s="23"/>
      <c r="H619" s="4" t="s">
        <v>12</v>
      </c>
      <c r="J619" s="4"/>
      <c r="O619" s="3">
        <f>1/O620</f>
        <v>1.6129032258064516E-3</v>
      </c>
      <c r="P619" s="3">
        <f>O619*20</f>
        <v>3.2258064516129031E-2</v>
      </c>
      <c r="Q619" s="3" t="s">
        <v>3200</v>
      </c>
      <c r="R619" s="3">
        <v>620</v>
      </c>
    </row>
    <row r="620" spans="1:18" x14ac:dyDescent="0.3">
      <c r="A620" s="11" t="s">
        <v>625</v>
      </c>
      <c r="B620" s="7">
        <v>11220</v>
      </c>
      <c r="C620" s="7">
        <v>43.463000000000001</v>
      </c>
      <c r="D620" s="2">
        <f>C620-C618</f>
        <v>-2.8999999999996362E-2</v>
      </c>
      <c r="E620" s="8">
        <f>E618-F620</f>
        <v>43.459773419160278</v>
      </c>
      <c r="F620" s="6">
        <f>P619</f>
        <v>3.2258064516129031E-2</v>
      </c>
      <c r="G620" s="12">
        <f>C620-E620</f>
        <v>3.2265808397227147E-3</v>
      </c>
      <c r="H620" s="3">
        <f>B618</f>
        <v>11200</v>
      </c>
      <c r="I620" s="3">
        <f>B627</f>
        <v>11360</v>
      </c>
      <c r="J620" s="3">
        <f>I620-H620</f>
        <v>160</v>
      </c>
      <c r="K620" s="5">
        <f>E618</f>
        <v>43.492031483676406</v>
      </c>
      <c r="L620" s="3">
        <f>C627</f>
        <v>43.234000000000002</v>
      </c>
      <c r="M620" s="5">
        <f>L620-K620</f>
        <v>-0.2580314836764046</v>
      </c>
      <c r="N620" s="3">
        <f>J620/M620</f>
        <v>-620.07937062693804</v>
      </c>
      <c r="O620" s="3">
        <v>620</v>
      </c>
    </row>
    <row r="621" spans="1:18" x14ac:dyDescent="0.3">
      <c r="A621" s="11" t="s">
        <v>626</v>
      </c>
      <c r="B621" s="7">
        <v>11240</v>
      </c>
      <c r="C621" s="7">
        <v>43.448999999999998</v>
      </c>
      <c r="D621" s="2">
        <f t="shared" si="135"/>
        <v>-1.4000000000002899E-2</v>
      </c>
      <c r="E621" s="8">
        <f>E620-F620</f>
        <v>43.42751535464415</v>
      </c>
      <c r="F621" s="6">
        <f t="shared" ref="F621" si="149">F620</f>
        <v>3.2258064516129031E-2</v>
      </c>
      <c r="G621" s="12">
        <f t="shared" ref="G621" si="150">C621-E621</f>
        <v>2.1484645355847931E-2</v>
      </c>
    </row>
    <row r="622" spans="1:18" x14ac:dyDescent="0.3">
      <c r="A622" s="11" t="s">
        <v>627</v>
      </c>
      <c r="B622" s="7">
        <v>11260</v>
      </c>
      <c r="C622" s="7">
        <v>43.445999999999998</v>
      </c>
      <c r="D622" s="2">
        <f t="shared" si="135"/>
        <v>-3.0000000000001137E-3</v>
      </c>
      <c r="E622" s="8">
        <f t="shared" ref="E622:E644" si="151">E621-F621</f>
        <v>43.395257290128022</v>
      </c>
      <c r="F622" s="6">
        <f t="shared" si="147"/>
        <v>3.2258064516129031E-2</v>
      </c>
      <c r="G622" s="12">
        <f t="shared" si="148"/>
        <v>5.0742709871975933E-2</v>
      </c>
    </row>
    <row r="623" spans="1:18" x14ac:dyDescent="0.3">
      <c r="A623" s="11" t="s">
        <v>628</v>
      </c>
      <c r="B623" s="7">
        <v>11280</v>
      </c>
      <c r="C623" s="7">
        <v>43.442999999999998</v>
      </c>
      <c r="D623" s="2">
        <f t="shared" si="135"/>
        <v>-3.0000000000001137E-3</v>
      </c>
      <c r="E623" s="8">
        <f t="shared" si="151"/>
        <v>43.362999225611894</v>
      </c>
      <c r="F623" s="6">
        <f t="shared" si="147"/>
        <v>3.2258064516129031E-2</v>
      </c>
      <c r="G623" s="12">
        <f t="shared" si="148"/>
        <v>8.0000774388103935E-2</v>
      </c>
    </row>
    <row r="624" spans="1:18" x14ac:dyDescent="0.3">
      <c r="A624" s="11" t="s">
        <v>629</v>
      </c>
      <c r="B624" s="7">
        <v>11300</v>
      </c>
      <c r="C624" s="7">
        <v>43.408999999999999</v>
      </c>
      <c r="D624" s="2">
        <f t="shared" si="135"/>
        <v>-3.399999999999892E-2</v>
      </c>
      <c r="E624" s="8">
        <f t="shared" si="151"/>
        <v>43.330741161095766</v>
      </c>
      <c r="F624" s="6">
        <f t="shared" si="147"/>
        <v>3.2258064516129031E-2</v>
      </c>
      <c r="G624" s="12">
        <f t="shared" si="148"/>
        <v>7.825883890423313E-2</v>
      </c>
    </row>
    <row r="625" spans="1:18" x14ac:dyDescent="0.3">
      <c r="A625" s="11" t="s">
        <v>630</v>
      </c>
      <c r="B625" s="7">
        <v>11320</v>
      </c>
      <c r="C625" s="7">
        <v>43.363</v>
      </c>
      <c r="D625" s="2">
        <f t="shared" si="135"/>
        <v>-4.5999999999999375E-2</v>
      </c>
      <c r="E625" s="8">
        <f t="shared" si="151"/>
        <v>43.298483096579638</v>
      </c>
      <c r="F625" s="6">
        <f t="shared" ref="F625:F644" si="152">F624</f>
        <v>3.2258064516129031E-2</v>
      </c>
      <c r="G625" s="12">
        <f t="shared" ref="G625:G644" si="153">C625-E625</f>
        <v>6.4516903420361871E-2</v>
      </c>
    </row>
    <row r="626" spans="1:18" x14ac:dyDescent="0.3">
      <c r="A626" s="11" t="s">
        <v>631</v>
      </c>
      <c r="B626" s="7">
        <v>11340</v>
      </c>
      <c r="C626" s="7">
        <v>43.302</v>
      </c>
      <c r="D626" s="2">
        <f t="shared" si="135"/>
        <v>-6.0999999999999943E-2</v>
      </c>
      <c r="E626" s="8">
        <f t="shared" si="151"/>
        <v>43.26622503206351</v>
      </c>
      <c r="F626" s="6">
        <f t="shared" si="152"/>
        <v>3.2258064516129031E-2</v>
      </c>
      <c r="G626" s="12">
        <f t="shared" si="153"/>
        <v>3.5774967936490043E-2</v>
      </c>
    </row>
    <row r="627" spans="1:18" x14ac:dyDescent="0.3">
      <c r="A627" s="11" t="s">
        <v>632</v>
      </c>
      <c r="B627" s="7">
        <v>11360</v>
      </c>
      <c r="C627" s="7">
        <v>43.234000000000002</v>
      </c>
      <c r="D627" s="2">
        <f t="shared" si="135"/>
        <v>-6.799999999999784E-2</v>
      </c>
      <c r="E627" s="8">
        <f t="shared" si="151"/>
        <v>43.233966967547381</v>
      </c>
      <c r="F627" s="6">
        <f t="shared" si="152"/>
        <v>3.2258064516129031E-2</v>
      </c>
      <c r="G627" s="12">
        <f t="shared" si="153"/>
        <v>3.3032452620318509E-5</v>
      </c>
    </row>
    <row r="628" spans="1:18" x14ac:dyDescent="0.3">
      <c r="A628" s="21"/>
      <c r="B628" s="22"/>
      <c r="C628" s="22"/>
      <c r="D628" s="22"/>
      <c r="E628" s="22"/>
      <c r="F628" s="22"/>
      <c r="G628" s="23"/>
      <c r="H628" s="4" t="s">
        <v>11</v>
      </c>
      <c r="J628" s="4"/>
      <c r="O628" s="3">
        <f>1/O629</f>
        <v>4.6296296296296294E-3</v>
      </c>
      <c r="P628" s="3">
        <f>O628*20</f>
        <v>9.2592592592592587E-2</v>
      </c>
      <c r="Q628" s="3" t="s">
        <v>3200</v>
      </c>
      <c r="R628" s="3">
        <v>216</v>
      </c>
    </row>
    <row r="629" spans="1:18" x14ac:dyDescent="0.3">
      <c r="A629" s="11" t="s">
        <v>633</v>
      </c>
      <c r="B629" s="7">
        <v>11380</v>
      </c>
      <c r="C629" s="7">
        <v>43.155999999999999</v>
      </c>
      <c r="D629" s="2">
        <f>C629-C627</f>
        <v>-7.8000000000002956E-2</v>
      </c>
      <c r="E629" s="8">
        <f>E627-F629</f>
        <v>43.141374374954786</v>
      </c>
      <c r="F629" s="6">
        <f>P628</f>
        <v>9.2592592592592587E-2</v>
      </c>
      <c r="G629" s="12">
        <f>C629-E629</f>
        <v>1.4625625045212587E-2</v>
      </c>
      <c r="H629" s="3">
        <f>B627</f>
        <v>11360</v>
      </c>
      <c r="I629" s="3">
        <f>B653</f>
        <v>11860</v>
      </c>
      <c r="J629" s="3">
        <f>I629-H629</f>
        <v>500</v>
      </c>
      <c r="K629" s="5">
        <f>E627</f>
        <v>43.233966967547381</v>
      </c>
      <c r="L629" s="3">
        <f>C653</f>
        <v>40.914999999999999</v>
      </c>
      <c r="M629" s="5">
        <f>L629-K629</f>
        <v>-2.3189669675473823</v>
      </c>
      <c r="N629" s="3">
        <f>J629/M629</f>
        <v>-215.61324805278139</v>
      </c>
      <c r="O629" s="3">
        <v>216</v>
      </c>
    </row>
    <row r="630" spans="1:18" x14ac:dyDescent="0.3">
      <c r="A630" s="11" t="s">
        <v>634</v>
      </c>
      <c r="B630" s="7">
        <v>11400</v>
      </c>
      <c r="C630" s="7">
        <v>43.067</v>
      </c>
      <c r="D630" s="2">
        <f t="shared" si="135"/>
        <v>-8.8999999999998636E-2</v>
      </c>
      <c r="E630" s="8">
        <f>E629-F629</f>
        <v>43.048781782362191</v>
      </c>
      <c r="F630" s="6">
        <f t="shared" ref="F630" si="154">F629</f>
        <v>9.2592592592592587E-2</v>
      </c>
      <c r="G630" s="12">
        <f t="shared" ref="G630" si="155">C630-E630</f>
        <v>1.8218217637809175E-2</v>
      </c>
    </row>
    <row r="631" spans="1:18" x14ac:dyDescent="0.3">
      <c r="A631" s="11" t="s">
        <v>635</v>
      </c>
      <c r="B631" s="7">
        <v>11420</v>
      </c>
      <c r="C631" s="7">
        <v>42.984000000000002</v>
      </c>
      <c r="D631" s="2">
        <f t="shared" si="135"/>
        <v>-8.2999999999998408E-2</v>
      </c>
      <c r="E631" s="8">
        <f t="shared" si="151"/>
        <v>42.956189189769596</v>
      </c>
      <c r="F631" s="6">
        <f t="shared" si="152"/>
        <v>9.2592592592592587E-2</v>
      </c>
      <c r="G631" s="12">
        <f t="shared" si="153"/>
        <v>2.7810810230405991E-2</v>
      </c>
    </row>
    <row r="632" spans="1:18" x14ac:dyDescent="0.3">
      <c r="A632" s="11" t="s">
        <v>636</v>
      </c>
      <c r="B632" s="7">
        <v>11440</v>
      </c>
      <c r="C632" s="7">
        <v>42.905999999999999</v>
      </c>
      <c r="D632" s="2">
        <f t="shared" si="135"/>
        <v>-7.8000000000002956E-2</v>
      </c>
      <c r="E632" s="8">
        <f t="shared" si="151"/>
        <v>42.863596597177001</v>
      </c>
      <c r="F632" s="6">
        <f t="shared" si="152"/>
        <v>9.2592592592592587E-2</v>
      </c>
      <c r="G632" s="12">
        <f t="shared" si="153"/>
        <v>4.240340282299826E-2</v>
      </c>
    </row>
    <row r="633" spans="1:18" x14ac:dyDescent="0.3">
      <c r="A633" s="11" t="s">
        <v>637</v>
      </c>
      <c r="B633" s="7">
        <v>11460</v>
      </c>
      <c r="C633" s="7">
        <v>42.832999999999998</v>
      </c>
      <c r="D633" s="2">
        <f t="shared" si="135"/>
        <v>-7.3000000000000398E-2</v>
      </c>
      <c r="E633" s="8">
        <f t="shared" si="151"/>
        <v>42.771004004584405</v>
      </c>
      <c r="F633" s="6">
        <f t="shared" si="152"/>
        <v>9.2592592592592587E-2</v>
      </c>
      <c r="G633" s="12">
        <f t="shared" si="153"/>
        <v>6.1995995415593086E-2</v>
      </c>
    </row>
    <row r="634" spans="1:18" x14ac:dyDescent="0.3">
      <c r="A634" s="11" t="s">
        <v>638</v>
      </c>
      <c r="B634" s="7">
        <v>11480</v>
      </c>
      <c r="C634" s="7">
        <v>42.764000000000003</v>
      </c>
      <c r="D634" s="2">
        <f t="shared" si="135"/>
        <v>-6.8999999999995509E-2</v>
      </c>
      <c r="E634" s="8">
        <f t="shared" si="151"/>
        <v>42.67841141199181</v>
      </c>
      <c r="F634" s="6">
        <f t="shared" si="152"/>
        <v>9.2592592592592587E-2</v>
      </c>
      <c r="G634" s="12">
        <f t="shared" si="153"/>
        <v>8.5588588008192801E-2</v>
      </c>
    </row>
    <row r="635" spans="1:18" x14ac:dyDescent="0.3">
      <c r="A635" s="11" t="s">
        <v>639</v>
      </c>
      <c r="B635" s="7">
        <v>11500</v>
      </c>
      <c r="C635" s="7">
        <v>42.679000000000002</v>
      </c>
      <c r="D635" s="2">
        <f t="shared" si="135"/>
        <v>-8.5000000000000853E-2</v>
      </c>
      <c r="E635" s="8">
        <f t="shared" si="151"/>
        <v>42.585818819399215</v>
      </c>
      <c r="F635" s="6">
        <f t="shared" si="152"/>
        <v>9.2592592592592587E-2</v>
      </c>
      <c r="G635" s="12">
        <f t="shared" si="153"/>
        <v>9.3181180600787172E-2</v>
      </c>
    </row>
    <row r="636" spans="1:18" x14ac:dyDescent="0.3">
      <c r="A636" s="11" t="s">
        <v>640</v>
      </c>
      <c r="B636" s="7">
        <v>11520</v>
      </c>
      <c r="C636" s="7">
        <v>42.573999999999998</v>
      </c>
      <c r="D636" s="2">
        <f t="shared" si="135"/>
        <v>-0.10500000000000398</v>
      </c>
      <c r="E636" s="8">
        <f t="shared" si="151"/>
        <v>42.49322622680662</v>
      </c>
      <c r="F636" s="6">
        <f t="shared" si="152"/>
        <v>9.2592592592592587E-2</v>
      </c>
      <c r="G636" s="12">
        <f t="shared" si="153"/>
        <v>8.0773773193378418E-2</v>
      </c>
    </row>
    <row r="637" spans="1:18" x14ac:dyDescent="0.3">
      <c r="A637" s="11" t="s">
        <v>641</v>
      </c>
      <c r="B637" s="7">
        <v>11540</v>
      </c>
      <c r="C637" s="7">
        <v>42.470999999999997</v>
      </c>
      <c r="D637" s="2">
        <f t="shared" si="135"/>
        <v>-0.10300000000000153</v>
      </c>
      <c r="E637" s="8">
        <f t="shared" si="151"/>
        <v>42.400633634214024</v>
      </c>
      <c r="F637" s="6">
        <f t="shared" si="152"/>
        <v>9.2592592592592587E-2</v>
      </c>
      <c r="G637" s="12">
        <f t="shared" si="153"/>
        <v>7.0366365785972107E-2</v>
      </c>
    </row>
    <row r="638" spans="1:18" x14ac:dyDescent="0.3">
      <c r="A638" s="11" t="s">
        <v>642</v>
      </c>
      <c r="B638" s="7">
        <v>11560</v>
      </c>
      <c r="C638" s="7">
        <v>42.369</v>
      </c>
      <c r="D638" s="2">
        <f t="shared" ref="D638:D706" si="156">C638-C637</f>
        <v>-0.10199999999999676</v>
      </c>
      <c r="E638" s="8">
        <f t="shared" si="151"/>
        <v>42.308041041621429</v>
      </c>
      <c r="F638" s="6">
        <f t="shared" si="152"/>
        <v>9.2592592592592587E-2</v>
      </c>
      <c r="G638" s="12">
        <f t="shared" si="153"/>
        <v>6.0958958378570571E-2</v>
      </c>
    </row>
    <row r="639" spans="1:18" x14ac:dyDescent="0.3">
      <c r="A639" s="11" t="s">
        <v>643</v>
      </c>
      <c r="B639" s="7">
        <v>11580</v>
      </c>
      <c r="C639" s="7">
        <v>42.265000000000001</v>
      </c>
      <c r="D639" s="2">
        <f t="shared" si="156"/>
        <v>-0.1039999999999992</v>
      </c>
      <c r="E639" s="8">
        <f t="shared" si="151"/>
        <v>42.215448449028834</v>
      </c>
      <c r="F639" s="6">
        <f t="shared" si="152"/>
        <v>9.2592592592592587E-2</v>
      </c>
      <c r="G639" s="12">
        <f t="shared" si="153"/>
        <v>4.9551550971166591E-2</v>
      </c>
    </row>
    <row r="640" spans="1:18" x14ac:dyDescent="0.3">
      <c r="A640" s="11" t="s">
        <v>644</v>
      </c>
      <c r="B640" s="7">
        <v>11600</v>
      </c>
      <c r="C640" s="7">
        <v>42.158999999999999</v>
      </c>
      <c r="D640" s="2">
        <f t="shared" si="156"/>
        <v>-0.10600000000000165</v>
      </c>
      <c r="E640" s="8">
        <f t="shared" si="151"/>
        <v>42.122855856436239</v>
      </c>
      <c r="F640" s="6">
        <f t="shared" si="152"/>
        <v>9.2592592592592587E-2</v>
      </c>
      <c r="G640" s="12">
        <f t="shared" si="153"/>
        <v>3.6144143563760167E-2</v>
      </c>
    </row>
    <row r="641" spans="1:18" x14ac:dyDescent="0.3">
      <c r="A641" s="11" t="s">
        <v>645</v>
      </c>
      <c r="B641" s="7">
        <v>11620</v>
      </c>
      <c r="C641" s="7">
        <v>42.057000000000002</v>
      </c>
      <c r="D641" s="2">
        <f t="shared" si="156"/>
        <v>-0.10199999999999676</v>
      </c>
      <c r="E641" s="8">
        <f t="shared" si="151"/>
        <v>42.030263263843644</v>
      </c>
      <c r="F641" s="6">
        <f t="shared" si="152"/>
        <v>9.2592592592592587E-2</v>
      </c>
      <c r="G641" s="12">
        <f t="shared" si="153"/>
        <v>2.6736736156358631E-2</v>
      </c>
    </row>
    <row r="642" spans="1:18" x14ac:dyDescent="0.3">
      <c r="A642" s="11" t="s">
        <v>646</v>
      </c>
      <c r="B642" s="7">
        <v>11640</v>
      </c>
      <c r="C642" s="7">
        <v>41.954999999999998</v>
      </c>
      <c r="D642" s="2">
        <f t="shared" si="156"/>
        <v>-0.10200000000000387</v>
      </c>
      <c r="E642" s="8">
        <f t="shared" si="151"/>
        <v>41.937670671251048</v>
      </c>
      <c r="F642" s="6">
        <f t="shared" si="152"/>
        <v>9.2592592592592587E-2</v>
      </c>
      <c r="G642" s="12">
        <f t="shared" si="153"/>
        <v>1.732932874894999E-2</v>
      </c>
    </row>
    <row r="643" spans="1:18" x14ac:dyDescent="0.3">
      <c r="A643" s="11" t="s">
        <v>647</v>
      </c>
      <c r="B643" s="7">
        <v>11660</v>
      </c>
      <c r="C643" s="7">
        <v>41.851999999999997</v>
      </c>
      <c r="D643" s="2">
        <f t="shared" si="156"/>
        <v>-0.10300000000000153</v>
      </c>
      <c r="E643" s="8">
        <f t="shared" si="151"/>
        <v>41.845078078658453</v>
      </c>
      <c r="F643" s="6">
        <f t="shared" si="152"/>
        <v>9.2592592592592587E-2</v>
      </c>
      <c r="G643" s="12">
        <f t="shared" si="153"/>
        <v>6.9219213415436798E-3</v>
      </c>
    </row>
    <row r="644" spans="1:18" x14ac:dyDescent="0.3">
      <c r="A644" s="11" t="s">
        <v>648</v>
      </c>
      <c r="B644" s="7">
        <v>11680</v>
      </c>
      <c r="C644" s="7">
        <v>41.75</v>
      </c>
      <c r="D644" s="2">
        <f t="shared" si="156"/>
        <v>-0.10199999999999676</v>
      </c>
      <c r="E644" s="8">
        <f t="shared" si="151"/>
        <v>41.752485486065858</v>
      </c>
      <c r="F644" s="6">
        <f t="shared" si="152"/>
        <v>9.2592592592592587E-2</v>
      </c>
      <c r="G644" s="12">
        <f t="shared" si="153"/>
        <v>-2.4854860658578559E-3</v>
      </c>
    </row>
    <row r="645" spans="1:18" x14ac:dyDescent="0.3">
      <c r="A645" s="11" t="s">
        <v>649</v>
      </c>
      <c r="B645" s="7">
        <v>11700</v>
      </c>
      <c r="C645" s="7">
        <v>41.661000000000001</v>
      </c>
      <c r="D645" s="2">
        <f t="shared" si="156"/>
        <v>-8.8999999999998636E-2</v>
      </c>
      <c r="E645" s="8">
        <f t="shared" ref="E645:E662" si="157">E644-F644</f>
        <v>41.659892893473263</v>
      </c>
      <c r="F645" s="6">
        <f t="shared" ref="F645:F662" si="158">F644</f>
        <v>9.2592592592592587E-2</v>
      </c>
      <c r="G645" s="12">
        <f t="shared" ref="G645:G662" si="159">C645-E645</f>
        <v>1.1071065267387326E-3</v>
      </c>
    </row>
    <row r="646" spans="1:18" x14ac:dyDescent="0.3">
      <c r="A646" s="11" t="s">
        <v>650</v>
      </c>
      <c r="B646" s="7">
        <v>11720</v>
      </c>
      <c r="C646" s="7">
        <v>41.569000000000003</v>
      </c>
      <c r="D646" s="2">
        <f t="shared" si="156"/>
        <v>-9.1999999999998749E-2</v>
      </c>
      <c r="E646" s="8">
        <f t="shared" si="157"/>
        <v>41.567300300880667</v>
      </c>
      <c r="F646" s="6">
        <f t="shared" si="158"/>
        <v>9.2592592592592587E-2</v>
      </c>
      <c r="G646" s="12">
        <f t="shared" si="159"/>
        <v>1.6996991193352073E-3</v>
      </c>
    </row>
    <row r="647" spans="1:18" x14ac:dyDescent="0.3">
      <c r="A647" s="11" t="s">
        <v>651</v>
      </c>
      <c r="B647" s="7">
        <v>11740</v>
      </c>
      <c r="C647" s="7">
        <v>41.472000000000001</v>
      </c>
      <c r="D647" s="2">
        <f t="shared" si="156"/>
        <v>-9.7000000000001307E-2</v>
      </c>
      <c r="E647" s="8">
        <f t="shared" si="157"/>
        <v>41.474707708288072</v>
      </c>
      <c r="F647" s="6">
        <f t="shared" si="158"/>
        <v>9.2592592592592587E-2</v>
      </c>
      <c r="G647" s="12">
        <f t="shared" si="159"/>
        <v>-2.7077082880708758E-3</v>
      </c>
    </row>
    <row r="648" spans="1:18" x14ac:dyDescent="0.3">
      <c r="A648" s="11" t="s">
        <v>652</v>
      </c>
      <c r="B648" s="7">
        <v>11760</v>
      </c>
      <c r="C648" s="7">
        <v>41.363999999999997</v>
      </c>
      <c r="D648" s="2">
        <f t="shared" si="156"/>
        <v>-0.10800000000000409</v>
      </c>
      <c r="E648" s="8">
        <f t="shared" si="157"/>
        <v>41.382115115695477</v>
      </c>
      <c r="F648" s="6">
        <f t="shared" si="158"/>
        <v>9.2592592592592587E-2</v>
      </c>
      <c r="G648" s="12">
        <f t="shared" si="159"/>
        <v>-1.8115115695479744E-2</v>
      </c>
    </row>
    <row r="649" spans="1:18" x14ac:dyDescent="0.3">
      <c r="A649" s="11" t="s">
        <v>653</v>
      </c>
      <c r="B649" s="7">
        <v>11780</v>
      </c>
      <c r="C649" s="7">
        <v>41.24</v>
      </c>
      <c r="D649" s="2">
        <f t="shared" si="156"/>
        <v>-0.12399999999999523</v>
      </c>
      <c r="E649" s="8">
        <f t="shared" si="157"/>
        <v>41.289522523102882</v>
      </c>
      <c r="F649" s="6">
        <f t="shared" si="158"/>
        <v>9.2592592592592587E-2</v>
      </c>
      <c r="G649" s="12">
        <f t="shared" si="159"/>
        <v>-4.9522523102879745E-2</v>
      </c>
    </row>
    <row r="650" spans="1:18" x14ac:dyDescent="0.3">
      <c r="A650" s="11" t="s">
        <v>654</v>
      </c>
      <c r="B650" s="7">
        <v>11800</v>
      </c>
      <c r="C650" s="7">
        <v>41.13</v>
      </c>
      <c r="D650" s="2">
        <f t="shared" si="156"/>
        <v>-0.10999999999999943</v>
      </c>
      <c r="E650" s="8">
        <f t="shared" si="157"/>
        <v>41.196929930510287</v>
      </c>
      <c r="F650" s="6">
        <f t="shared" si="158"/>
        <v>9.2592592592592587E-2</v>
      </c>
      <c r="G650" s="12">
        <f t="shared" si="159"/>
        <v>-6.6929930510283953E-2</v>
      </c>
    </row>
    <row r="651" spans="1:18" x14ac:dyDescent="0.3">
      <c r="A651" s="11" t="s">
        <v>655</v>
      </c>
      <c r="B651" s="7">
        <v>11820</v>
      </c>
      <c r="C651" s="7">
        <v>41.043999999999997</v>
      </c>
      <c r="D651" s="2">
        <f t="shared" si="156"/>
        <v>-8.6000000000005627E-2</v>
      </c>
      <c r="E651" s="8">
        <f t="shared" si="157"/>
        <v>41.104337337917691</v>
      </c>
      <c r="F651" s="6">
        <f t="shared" si="158"/>
        <v>9.2592592592592587E-2</v>
      </c>
      <c r="G651" s="12">
        <f t="shared" si="159"/>
        <v>-6.0337337917694356E-2</v>
      </c>
    </row>
    <row r="652" spans="1:18" x14ac:dyDescent="0.3">
      <c r="A652" s="11" t="s">
        <v>656</v>
      </c>
      <c r="B652" s="7">
        <v>11840</v>
      </c>
      <c r="C652" s="7">
        <v>40.973999999999997</v>
      </c>
      <c r="D652" s="2">
        <f t="shared" si="156"/>
        <v>-7.0000000000000284E-2</v>
      </c>
      <c r="E652" s="8">
        <f t="shared" si="157"/>
        <v>41.011744745325096</v>
      </c>
      <c r="F652" s="6">
        <f t="shared" si="158"/>
        <v>9.2592592592592587E-2</v>
      </c>
      <c r="G652" s="12">
        <f t="shared" si="159"/>
        <v>-3.7744745325099416E-2</v>
      </c>
    </row>
    <row r="653" spans="1:18" x14ac:dyDescent="0.3">
      <c r="A653" s="11" t="s">
        <v>657</v>
      </c>
      <c r="B653" s="7">
        <v>11860</v>
      </c>
      <c r="C653" s="7">
        <v>40.914999999999999</v>
      </c>
      <c r="D653" s="2">
        <f t="shared" si="156"/>
        <v>-5.8999999999997499E-2</v>
      </c>
      <c r="E653" s="8">
        <f t="shared" si="157"/>
        <v>40.919152152732501</v>
      </c>
      <c r="F653" s="6">
        <f t="shared" si="158"/>
        <v>9.2592592592592587E-2</v>
      </c>
      <c r="G653" s="12">
        <f t="shared" si="159"/>
        <v>-4.1521527325016905E-3</v>
      </c>
    </row>
    <row r="654" spans="1:18" x14ac:dyDescent="0.3">
      <c r="A654" s="21"/>
      <c r="B654" s="22"/>
      <c r="C654" s="22"/>
      <c r="D654" s="22"/>
      <c r="E654" s="22"/>
      <c r="F654" s="22"/>
      <c r="G654" s="23"/>
      <c r="H654" s="4" t="s">
        <v>3303</v>
      </c>
      <c r="J654" s="4"/>
      <c r="O654" s="3">
        <f>1/O655</f>
        <v>4.7984644913627637E-4</v>
      </c>
      <c r="P654" s="3">
        <f>O654*20</f>
        <v>9.5969289827255271E-3</v>
      </c>
      <c r="Q654" s="3" t="s">
        <v>3200</v>
      </c>
      <c r="R654" s="3">
        <v>2084</v>
      </c>
    </row>
    <row r="655" spans="1:18" x14ac:dyDescent="0.3">
      <c r="A655" s="11" t="s">
        <v>658</v>
      </c>
      <c r="B655" s="7">
        <v>11880</v>
      </c>
      <c r="C655" s="7">
        <v>40.866</v>
      </c>
      <c r="D655" s="2">
        <f>C655-C653</f>
        <v>-4.8999999999999488E-2</v>
      </c>
      <c r="E655" s="8">
        <f>E653-F655</f>
        <v>40.909555223749777</v>
      </c>
      <c r="F655" s="6">
        <f>P654</f>
        <v>9.5969289827255271E-3</v>
      </c>
      <c r="G655" s="12">
        <f>C655-E655</f>
        <v>-4.3555223749777383E-2</v>
      </c>
      <c r="H655" s="3">
        <f>B653</f>
        <v>11860</v>
      </c>
      <c r="I655" s="3">
        <f>B667</f>
        <v>12100</v>
      </c>
      <c r="J655" s="3">
        <f>I655-H655</f>
        <v>240</v>
      </c>
      <c r="K655" s="5">
        <f>E653</f>
        <v>40.919152152732501</v>
      </c>
      <c r="L655" s="3">
        <f>C667</f>
        <v>40.804000000000002</v>
      </c>
      <c r="M655" s="5">
        <f>L655-K655</f>
        <v>-0.11515215273249879</v>
      </c>
      <c r="N655" s="3">
        <f>J655/M655</f>
        <v>-2084.1989863404965</v>
      </c>
      <c r="O655" s="3">
        <v>2084</v>
      </c>
    </row>
    <row r="656" spans="1:18" x14ac:dyDescent="0.3">
      <c r="A656" s="11" t="s">
        <v>659</v>
      </c>
      <c r="B656" s="7">
        <v>11900</v>
      </c>
      <c r="C656" s="7">
        <v>40.837000000000003</v>
      </c>
      <c r="D656" s="2">
        <f t="shared" si="156"/>
        <v>-2.8999999999996362E-2</v>
      </c>
      <c r="E656" s="8">
        <f>E655-F655</f>
        <v>40.899958294767053</v>
      </c>
      <c r="F656" s="6">
        <f t="shared" ref="F656" si="160">F655</f>
        <v>9.5969289827255271E-3</v>
      </c>
      <c r="G656" s="12">
        <f t="shared" ref="G656" si="161">C656-E656</f>
        <v>-6.2958294767049949E-2</v>
      </c>
    </row>
    <row r="657" spans="1:18" x14ac:dyDescent="0.3">
      <c r="A657" s="11" t="s">
        <v>660</v>
      </c>
      <c r="B657" s="7">
        <v>11920</v>
      </c>
      <c r="C657" s="7">
        <v>40.805</v>
      </c>
      <c r="D657" s="2">
        <f t="shared" si="156"/>
        <v>-3.2000000000003581E-2</v>
      </c>
      <c r="E657" s="8">
        <f t="shared" si="157"/>
        <v>40.890361365784329</v>
      </c>
      <c r="F657" s="6">
        <f t="shared" si="158"/>
        <v>9.5969289827255271E-3</v>
      </c>
      <c r="G657" s="12">
        <f t="shared" si="159"/>
        <v>-8.5361365784329735E-2</v>
      </c>
    </row>
    <row r="658" spans="1:18" x14ac:dyDescent="0.3">
      <c r="A658" s="11" t="s">
        <v>661</v>
      </c>
      <c r="B658" s="7">
        <v>11940</v>
      </c>
      <c r="C658" s="7">
        <v>40.777999999999999</v>
      </c>
      <c r="D658" s="2">
        <f t="shared" si="156"/>
        <v>-2.7000000000001023E-2</v>
      </c>
      <c r="E658" s="8">
        <f t="shared" si="157"/>
        <v>40.880764436801606</v>
      </c>
      <c r="F658" s="6">
        <f t="shared" si="158"/>
        <v>9.5969289827255271E-3</v>
      </c>
      <c r="G658" s="12">
        <f t="shared" si="159"/>
        <v>-0.10276443680160696</v>
      </c>
    </row>
    <row r="659" spans="1:18" x14ac:dyDescent="0.3">
      <c r="A659" s="11" t="s">
        <v>662</v>
      </c>
      <c r="B659" s="7">
        <v>11960</v>
      </c>
      <c r="C659" s="7">
        <v>40.762</v>
      </c>
      <c r="D659" s="2">
        <f t="shared" si="156"/>
        <v>-1.5999999999998238E-2</v>
      </c>
      <c r="E659" s="8">
        <f t="shared" si="157"/>
        <v>40.871167507818882</v>
      </c>
      <c r="F659" s="6">
        <f t="shared" si="158"/>
        <v>9.5969289827255271E-3</v>
      </c>
      <c r="G659" s="12">
        <f t="shared" si="159"/>
        <v>-0.1091675078188814</v>
      </c>
    </row>
    <row r="660" spans="1:18" x14ac:dyDescent="0.3">
      <c r="A660" s="13" t="s">
        <v>663</v>
      </c>
      <c r="B660" s="24"/>
      <c r="C660" s="25"/>
      <c r="D660" s="25"/>
      <c r="E660" s="25"/>
      <c r="F660" s="25"/>
      <c r="G660" s="26"/>
    </row>
    <row r="661" spans="1:18" x14ac:dyDescent="0.3">
      <c r="A661" s="11" t="s">
        <v>664</v>
      </c>
      <c r="B661" s="7">
        <v>11980</v>
      </c>
      <c r="C661" s="7">
        <v>40.738</v>
      </c>
      <c r="D661" s="2">
        <f>C661-C659</f>
        <v>-2.4000000000000909E-2</v>
      </c>
      <c r="E661" s="8">
        <f>E659-F659</f>
        <v>40.861570578836158</v>
      </c>
      <c r="F661" s="6">
        <f>F659</f>
        <v>9.5969289827255271E-3</v>
      </c>
      <c r="G661" s="12">
        <f t="shared" si="159"/>
        <v>-0.12357057883615852</v>
      </c>
    </row>
    <row r="662" spans="1:18" x14ac:dyDescent="0.3">
      <c r="A662" s="11" t="s">
        <v>665</v>
      </c>
      <c r="B662" s="7">
        <v>12000</v>
      </c>
      <c r="C662" s="7">
        <v>40.738</v>
      </c>
      <c r="D662" s="2">
        <f t="shared" si="156"/>
        <v>0</v>
      </c>
      <c r="E662" s="8">
        <f t="shared" si="157"/>
        <v>40.851973649853434</v>
      </c>
      <c r="F662" s="6">
        <f t="shared" si="158"/>
        <v>9.5969289827255271E-3</v>
      </c>
      <c r="G662" s="12">
        <f t="shared" si="159"/>
        <v>-0.11397364985343472</v>
      </c>
    </row>
    <row r="663" spans="1:18" x14ac:dyDescent="0.3">
      <c r="A663" s="11" t="s">
        <v>666</v>
      </c>
      <c r="B663" s="7">
        <v>12020</v>
      </c>
      <c r="C663" s="7">
        <v>40.744999999999997</v>
      </c>
      <c r="D663" s="2">
        <f t="shared" si="156"/>
        <v>6.9999999999978968E-3</v>
      </c>
      <c r="E663" s="8">
        <f t="shared" ref="E663:E667" si="162">E662-F662</f>
        <v>40.84237672087071</v>
      </c>
      <c r="F663" s="6">
        <f t="shared" ref="F663:F677" si="163">F662</f>
        <v>9.5969289827255271E-3</v>
      </c>
      <c r="G663" s="12">
        <f t="shared" ref="G663:G677" si="164">C663-E663</f>
        <v>-9.7376720870713029E-2</v>
      </c>
    </row>
    <row r="664" spans="1:18" x14ac:dyDescent="0.3">
      <c r="A664" s="11" t="s">
        <v>667</v>
      </c>
      <c r="B664" s="7">
        <v>12040</v>
      </c>
      <c r="C664" s="7">
        <v>40.761000000000003</v>
      </c>
      <c r="D664" s="2">
        <f t="shared" si="156"/>
        <v>1.6000000000005343E-2</v>
      </c>
      <c r="E664" s="8">
        <f t="shared" si="162"/>
        <v>40.832779791887987</v>
      </c>
      <c r="F664" s="6">
        <f t="shared" si="163"/>
        <v>9.5969289827255271E-3</v>
      </c>
      <c r="G664" s="12">
        <f t="shared" si="164"/>
        <v>-7.177979188798389E-2</v>
      </c>
    </row>
    <row r="665" spans="1:18" x14ac:dyDescent="0.3">
      <c r="A665" s="11" t="s">
        <v>668</v>
      </c>
      <c r="B665" s="7">
        <v>12060</v>
      </c>
      <c r="C665" s="7">
        <v>40.783999999999999</v>
      </c>
      <c r="D665" s="2">
        <f t="shared" si="156"/>
        <v>2.2999999999996135E-2</v>
      </c>
      <c r="E665" s="8">
        <f t="shared" si="162"/>
        <v>40.823182862905263</v>
      </c>
      <c r="F665" s="6">
        <f t="shared" si="163"/>
        <v>9.5969289827255271E-3</v>
      </c>
      <c r="G665" s="12">
        <f t="shared" si="164"/>
        <v>-3.918286290526396E-2</v>
      </c>
    </row>
    <row r="666" spans="1:18" x14ac:dyDescent="0.3">
      <c r="A666" s="11" t="s">
        <v>669</v>
      </c>
      <c r="B666" s="7">
        <v>12080</v>
      </c>
      <c r="C666" s="7">
        <v>40.795000000000002</v>
      </c>
      <c r="D666" s="2">
        <f t="shared" si="156"/>
        <v>1.1000000000002785E-2</v>
      </c>
      <c r="E666" s="8">
        <f t="shared" si="162"/>
        <v>40.813585933922539</v>
      </c>
      <c r="F666" s="6">
        <f t="shared" si="163"/>
        <v>9.5969289827255271E-3</v>
      </c>
      <c r="G666" s="12">
        <f t="shared" si="164"/>
        <v>-1.8585933922537379E-2</v>
      </c>
    </row>
    <row r="667" spans="1:18" x14ac:dyDescent="0.3">
      <c r="A667" s="11" t="s">
        <v>670</v>
      </c>
      <c r="B667" s="7">
        <v>12100</v>
      </c>
      <c r="C667" s="7">
        <v>40.804000000000002</v>
      </c>
      <c r="D667" s="2">
        <f t="shared" si="156"/>
        <v>9.0000000000003411E-3</v>
      </c>
      <c r="E667" s="8">
        <f t="shared" si="162"/>
        <v>40.803989004939815</v>
      </c>
      <c r="F667" s="6">
        <f t="shared" si="163"/>
        <v>9.5969289827255271E-3</v>
      </c>
      <c r="G667" s="12">
        <f t="shared" si="164"/>
        <v>1.099506018675811E-5</v>
      </c>
    </row>
    <row r="668" spans="1:18" x14ac:dyDescent="0.3">
      <c r="A668" s="21"/>
      <c r="B668" s="22"/>
      <c r="C668" s="22"/>
      <c r="D668" s="22"/>
      <c r="E668" s="22"/>
      <c r="F668" s="22"/>
      <c r="G668" s="23"/>
      <c r="H668" s="4" t="s">
        <v>13</v>
      </c>
      <c r="J668" s="4"/>
      <c r="O668" s="3">
        <f>1/O669</f>
        <v>1.1198208286674132E-3</v>
      </c>
      <c r="P668" s="3">
        <f>O668*20</f>
        <v>2.2396416573348264E-2</v>
      </c>
      <c r="Q668" s="3" t="s">
        <v>3202</v>
      </c>
      <c r="R668" s="3">
        <v>893</v>
      </c>
    </row>
    <row r="669" spans="1:18" x14ac:dyDescent="0.3">
      <c r="A669" s="11" t="s">
        <v>671</v>
      </c>
      <c r="B669" s="7">
        <v>12120</v>
      </c>
      <c r="C669" s="7">
        <v>40.826000000000001</v>
      </c>
      <c r="D669" s="2">
        <f>C669-C667</f>
        <v>2.1999999999998465E-2</v>
      </c>
      <c r="E669" s="8">
        <f>E667+F669</f>
        <v>40.826385421513166</v>
      </c>
      <c r="F669" s="6">
        <f>P668</f>
        <v>2.2396416573348264E-2</v>
      </c>
      <c r="G669" s="12">
        <f>C669-E669</f>
        <v>-3.8542151316534046E-4</v>
      </c>
      <c r="H669" s="3">
        <f>B667</f>
        <v>12100</v>
      </c>
      <c r="I669" s="3">
        <f>B678</f>
        <v>12300</v>
      </c>
      <c r="J669" s="3">
        <f>I669-H669</f>
        <v>200</v>
      </c>
      <c r="K669" s="5">
        <f>E667</f>
        <v>40.803989004939815</v>
      </c>
      <c r="L669" s="3">
        <f>C678</f>
        <v>41.027999999999999</v>
      </c>
      <c r="M669" s="5">
        <f>L669-K669</f>
        <v>0.2240109950601834</v>
      </c>
      <c r="N669" s="3">
        <f>J669/M669</f>
        <v>892.81331903493151</v>
      </c>
      <c r="O669" s="3">
        <v>893</v>
      </c>
    </row>
    <row r="670" spans="1:18" x14ac:dyDescent="0.3">
      <c r="A670" s="11" t="s">
        <v>672</v>
      </c>
      <c r="B670" s="7">
        <v>12140</v>
      </c>
      <c r="C670" s="7">
        <v>40.859000000000002</v>
      </c>
      <c r="D670" s="2">
        <f t="shared" si="156"/>
        <v>3.3000000000001251E-2</v>
      </c>
      <c r="E670" s="8">
        <f>E669+F669</f>
        <v>40.848781838086516</v>
      </c>
      <c r="F670" s="6">
        <f t="shared" ref="F670" si="165">F669</f>
        <v>2.2396416573348264E-2</v>
      </c>
      <c r="G670" s="12">
        <f t="shared" ref="G670" si="166">C670-E670</f>
        <v>1.0218161913485346E-2</v>
      </c>
    </row>
    <row r="671" spans="1:18" x14ac:dyDescent="0.3">
      <c r="A671" s="11" t="s">
        <v>673</v>
      </c>
      <c r="B671" s="7">
        <v>12160</v>
      </c>
      <c r="C671" s="7">
        <v>40.893999999999998</v>
      </c>
      <c r="D671" s="2">
        <f t="shared" si="156"/>
        <v>3.4999999999996589E-2</v>
      </c>
      <c r="E671" s="8">
        <f t="shared" ref="E671:E678" si="167">E670+F670</f>
        <v>40.871178254659867</v>
      </c>
      <c r="F671" s="6">
        <f t="shared" si="163"/>
        <v>2.2396416573348264E-2</v>
      </c>
      <c r="G671" s="12">
        <f t="shared" si="164"/>
        <v>2.2821745340131372E-2</v>
      </c>
    </row>
    <row r="672" spans="1:18" x14ac:dyDescent="0.3">
      <c r="A672" s="11" t="s">
        <v>674</v>
      </c>
      <c r="B672" s="7">
        <v>12180</v>
      </c>
      <c r="C672" s="7">
        <v>40.926000000000002</v>
      </c>
      <c r="D672" s="2">
        <f t="shared" si="156"/>
        <v>3.2000000000003581E-2</v>
      </c>
      <c r="E672" s="8">
        <f t="shared" si="167"/>
        <v>40.893574671233218</v>
      </c>
      <c r="F672" s="6">
        <f t="shared" si="163"/>
        <v>2.2396416573348264E-2</v>
      </c>
      <c r="G672" s="12">
        <f t="shared" si="164"/>
        <v>3.2425328766784389E-2</v>
      </c>
    </row>
    <row r="673" spans="1:18" x14ac:dyDescent="0.3">
      <c r="A673" s="11" t="s">
        <v>675</v>
      </c>
      <c r="B673" s="7">
        <v>12200</v>
      </c>
      <c r="C673" s="7">
        <v>40.954999999999998</v>
      </c>
      <c r="D673" s="2">
        <f t="shared" si="156"/>
        <v>2.8999999999996362E-2</v>
      </c>
      <c r="E673" s="8">
        <f t="shared" si="167"/>
        <v>40.915971087806568</v>
      </c>
      <c r="F673" s="6">
        <f t="shared" si="163"/>
        <v>2.2396416573348264E-2</v>
      </c>
      <c r="G673" s="12">
        <f t="shared" si="164"/>
        <v>3.9028912193430187E-2</v>
      </c>
    </row>
    <row r="674" spans="1:18" x14ac:dyDescent="0.3">
      <c r="A674" s="11" t="s">
        <v>676</v>
      </c>
      <c r="B674" s="7">
        <v>12220</v>
      </c>
      <c r="C674" s="7">
        <v>40.975000000000001</v>
      </c>
      <c r="D674" s="2">
        <f t="shared" si="156"/>
        <v>2.0000000000003126E-2</v>
      </c>
      <c r="E674" s="8">
        <f t="shared" si="167"/>
        <v>40.938367504379919</v>
      </c>
      <c r="F674" s="6">
        <f t="shared" si="163"/>
        <v>2.2396416573348264E-2</v>
      </c>
      <c r="G674" s="12">
        <f t="shared" si="164"/>
        <v>3.663249562008275E-2</v>
      </c>
    </row>
    <row r="675" spans="1:18" x14ac:dyDescent="0.3">
      <c r="A675" s="11" t="s">
        <v>677</v>
      </c>
      <c r="B675" s="7">
        <v>12240</v>
      </c>
      <c r="C675" s="7">
        <v>41.145000000000003</v>
      </c>
      <c r="D675" s="2">
        <f t="shared" si="156"/>
        <v>0.17000000000000171</v>
      </c>
      <c r="E675" s="8">
        <f t="shared" si="167"/>
        <v>40.960763920953269</v>
      </c>
      <c r="F675" s="6">
        <f t="shared" si="163"/>
        <v>2.2396416573348264E-2</v>
      </c>
      <c r="G675" s="12">
        <f t="shared" si="164"/>
        <v>0.18423607904673389</v>
      </c>
    </row>
    <row r="676" spans="1:18" x14ac:dyDescent="0.3">
      <c r="A676" s="11" t="s">
        <v>678</v>
      </c>
      <c r="B676" s="7">
        <v>12260</v>
      </c>
      <c r="C676" s="7">
        <v>41.100999999999999</v>
      </c>
      <c r="D676" s="2">
        <f t="shared" si="156"/>
        <v>-4.4000000000004036E-2</v>
      </c>
      <c r="E676" s="8">
        <f t="shared" si="167"/>
        <v>40.98316033752662</v>
      </c>
      <c r="F676" s="6">
        <f t="shared" si="163"/>
        <v>2.2396416573348264E-2</v>
      </c>
      <c r="G676" s="12">
        <f t="shared" si="164"/>
        <v>0.11783966247337929</v>
      </c>
    </row>
    <row r="677" spans="1:18" x14ac:dyDescent="0.3">
      <c r="A677" s="11" t="s">
        <v>679</v>
      </c>
      <c r="B677" s="7">
        <v>12280</v>
      </c>
      <c r="C677" s="7">
        <v>41.02</v>
      </c>
      <c r="D677" s="2">
        <f t="shared" si="156"/>
        <v>-8.0999999999995964E-2</v>
      </c>
      <c r="E677" s="8">
        <f t="shared" si="167"/>
        <v>41.00555675409997</v>
      </c>
      <c r="F677" s="6">
        <f t="shared" si="163"/>
        <v>2.2396416573348264E-2</v>
      </c>
      <c r="G677" s="12">
        <f t="shared" si="164"/>
        <v>1.4443245900032764E-2</v>
      </c>
    </row>
    <row r="678" spans="1:18" x14ac:dyDescent="0.3">
      <c r="A678" s="11" t="s">
        <v>680</v>
      </c>
      <c r="B678" s="7">
        <v>12300</v>
      </c>
      <c r="C678" s="7">
        <v>41.027999999999999</v>
      </c>
      <c r="D678" s="2">
        <f t="shared" si="156"/>
        <v>7.9999999999955662E-3</v>
      </c>
      <c r="E678" s="8">
        <f t="shared" si="167"/>
        <v>41.027953170673321</v>
      </c>
      <c r="F678" s="6">
        <f t="shared" ref="F678:F688" si="168">F677</f>
        <v>2.2396416573348264E-2</v>
      </c>
      <c r="G678" s="12">
        <f t="shared" ref="G678:G688" si="169">C678-E678</f>
        <v>4.6829326677766403E-5</v>
      </c>
    </row>
    <row r="679" spans="1:18" x14ac:dyDescent="0.3">
      <c r="A679" s="21"/>
      <c r="B679" s="22"/>
      <c r="C679" s="22"/>
      <c r="D679" s="22"/>
      <c r="E679" s="22"/>
      <c r="F679" s="22"/>
      <c r="G679" s="23"/>
      <c r="H679" s="4" t="s">
        <v>48</v>
      </c>
      <c r="J679" s="4"/>
      <c r="O679" s="3">
        <f>1/O680</f>
        <v>1.1273957158962795E-3</v>
      </c>
      <c r="P679" s="3">
        <f>O679*20</f>
        <v>2.2547914317925591E-2</v>
      </c>
      <c r="Q679" s="3" t="s">
        <v>3200</v>
      </c>
      <c r="R679" s="3">
        <v>887</v>
      </c>
    </row>
    <row r="680" spans="1:18" x14ac:dyDescent="0.3">
      <c r="A680" s="11" t="s">
        <v>681</v>
      </c>
      <c r="B680" s="7">
        <v>12320</v>
      </c>
      <c r="C680" s="7">
        <v>41.023000000000003</v>
      </c>
      <c r="D680" s="2">
        <f>C680-C678</f>
        <v>-4.9999999999954525E-3</v>
      </c>
      <c r="E680" s="8">
        <f>E678-F680</f>
        <v>41.005405256355395</v>
      </c>
      <c r="F680" s="6">
        <f>P679</f>
        <v>2.2547914317925591E-2</v>
      </c>
      <c r="G680" s="12">
        <f>C680-E680</f>
        <v>1.7594743644608002E-2</v>
      </c>
      <c r="H680" s="3">
        <f>B678</f>
        <v>12300</v>
      </c>
      <c r="I680" s="3">
        <f>B688</f>
        <v>12480</v>
      </c>
      <c r="J680" s="3">
        <f>I680-H680</f>
        <v>180</v>
      </c>
      <c r="K680" s="5">
        <f>E678</f>
        <v>41.027953170673321</v>
      </c>
      <c r="L680" s="3">
        <f>C688</f>
        <v>40.825000000000003</v>
      </c>
      <c r="M680" s="5">
        <f>L680-K680</f>
        <v>-0.20295317067331808</v>
      </c>
      <c r="N680" s="3">
        <f>J680/M680</f>
        <v>-886.90410404937961</v>
      </c>
      <c r="O680" s="3">
        <v>887</v>
      </c>
    </row>
    <row r="681" spans="1:18" x14ac:dyDescent="0.3">
      <c r="A681" s="11" t="s">
        <v>682</v>
      </c>
      <c r="B681" s="7">
        <v>12340</v>
      </c>
      <c r="C681" s="7">
        <v>41.018999999999998</v>
      </c>
      <c r="D681" s="2">
        <f t="shared" si="156"/>
        <v>-4.0000000000048885E-3</v>
      </c>
      <c r="E681" s="8">
        <f>E680-F680</f>
        <v>40.98285734203747</v>
      </c>
      <c r="F681" s="6">
        <f t="shared" ref="F681" si="170">F680</f>
        <v>2.2547914317925591E-2</v>
      </c>
      <c r="G681" s="12">
        <f t="shared" ref="G681" si="171">C681-E681</f>
        <v>3.6142657962528801E-2</v>
      </c>
    </row>
    <row r="682" spans="1:18" x14ac:dyDescent="0.3">
      <c r="A682" s="11" t="s">
        <v>683</v>
      </c>
      <c r="B682" s="7">
        <v>12360</v>
      </c>
      <c r="C682" s="7">
        <v>41.011000000000003</v>
      </c>
      <c r="D682" s="2">
        <f t="shared" si="156"/>
        <v>-7.9999999999955662E-3</v>
      </c>
      <c r="E682" s="8">
        <f t="shared" ref="E682:E688" si="172">E681-F681</f>
        <v>40.960309427719544</v>
      </c>
      <c r="F682" s="6">
        <f t="shared" si="168"/>
        <v>2.2547914317925591E-2</v>
      </c>
      <c r="G682" s="12">
        <f t="shared" si="169"/>
        <v>5.0690572280458923E-2</v>
      </c>
    </row>
    <row r="683" spans="1:18" x14ac:dyDescent="0.3">
      <c r="A683" s="11" t="s">
        <v>684</v>
      </c>
      <c r="B683" s="7">
        <v>12380</v>
      </c>
      <c r="C683" s="7">
        <v>40.988999999999997</v>
      </c>
      <c r="D683" s="2">
        <f t="shared" si="156"/>
        <v>-2.2000000000005571E-2</v>
      </c>
      <c r="E683" s="8">
        <f t="shared" si="172"/>
        <v>40.937761513401618</v>
      </c>
      <c r="F683" s="6">
        <f t="shared" si="168"/>
        <v>2.2547914317925591E-2</v>
      </c>
      <c r="G683" s="12">
        <f t="shared" si="169"/>
        <v>5.1238486598379041E-2</v>
      </c>
    </row>
    <row r="684" spans="1:18" x14ac:dyDescent="0.3">
      <c r="A684" s="11" t="s">
        <v>685</v>
      </c>
      <c r="B684" s="7">
        <v>12400</v>
      </c>
      <c r="C684" s="7">
        <v>40.959000000000003</v>
      </c>
      <c r="D684" s="2">
        <f t="shared" si="156"/>
        <v>-2.9999999999994031E-2</v>
      </c>
      <c r="E684" s="8">
        <f t="shared" si="172"/>
        <v>40.915213599083692</v>
      </c>
      <c r="F684" s="6">
        <f t="shared" si="168"/>
        <v>2.2547914317925591E-2</v>
      </c>
      <c r="G684" s="12">
        <f t="shared" si="169"/>
        <v>4.3786400916310697E-2</v>
      </c>
    </row>
    <row r="685" spans="1:18" x14ac:dyDescent="0.3">
      <c r="A685" s="11" t="s">
        <v>686</v>
      </c>
      <c r="B685" s="7">
        <v>12420</v>
      </c>
      <c r="C685" s="7">
        <v>40.927</v>
      </c>
      <c r="D685" s="2">
        <f t="shared" si="156"/>
        <v>-3.2000000000003581E-2</v>
      </c>
      <c r="E685" s="8">
        <f t="shared" si="172"/>
        <v>40.892665684765767</v>
      </c>
      <c r="F685" s="6">
        <f t="shared" si="168"/>
        <v>2.2547914317925591E-2</v>
      </c>
      <c r="G685" s="12">
        <f t="shared" si="169"/>
        <v>3.4334315234232804E-2</v>
      </c>
    </row>
    <row r="686" spans="1:18" x14ac:dyDescent="0.3">
      <c r="A686" s="11" t="s">
        <v>687</v>
      </c>
      <c r="B686" s="7">
        <v>12440</v>
      </c>
      <c r="C686" s="7">
        <v>40.887999999999998</v>
      </c>
      <c r="D686" s="2">
        <f t="shared" si="156"/>
        <v>-3.9000000000001478E-2</v>
      </c>
      <c r="E686" s="8">
        <f t="shared" si="172"/>
        <v>40.870117770447841</v>
      </c>
      <c r="F686" s="6">
        <f t="shared" si="168"/>
        <v>2.2547914317925591E-2</v>
      </c>
      <c r="G686" s="12">
        <f t="shared" si="169"/>
        <v>1.7882229552157014E-2</v>
      </c>
    </row>
    <row r="687" spans="1:18" x14ac:dyDescent="0.3">
      <c r="A687" s="11" t="s">
        <v>688</v>
      </c>
      <c r="B687" s="7">
        <v>12460</v>
      </c>
      <c r="C687" s="7">
        <v>40.837000000000003</v>
      </c>
      <c r="D687" s="2">
        <f t="shared" si="156"/>
        <v>-5.0999999999994827E-2</v>
      </c>
      <c r="E687" s="8">
        <f t="shared" si="172"/>
        <v>40.847569856129915</v>
      </c>
      <c r="F687" s="6">
        <f t="shared" si="168"/>
        <v>2.2547914317925591E-2</v>
      </c>
      <c r="G687" s="12">
        <f t="shared" si="169"/>
        <v>-1.0569856129912125E-2</v>
      </c>
    </row>
    <row r="688" spans="1:18" x14ac:dyDescent="0.3">
      <c r="A688" s="11" t="s">
        <v>689</v>
      </c>
      <c r="B688" s="7">
        <v>12480</v>
      </c>
      <c r="C688" s="7">
        <v>40.825000000000003</v>
      </c>
      <c r="D688" s="2">
        <f t="shared" si="156"/>
        <v>-1.2000000000000455E-2</v>
      </c>
      <c r="E688" s="8">
        <f t="shared" si="172"/>
        <v>40.82502194181199</v>
      </c>
      <c r="F688" s="6">
        <f t="shared" si="168"/>
        <v>2.2547914317925591E-2</v>
      </c>
      <c r="G688" s="12">
        <f t="shared" si="169"/>
        <v>-2.1941811986891935E-5</v>
      </c>
    </row>
    <row r="689" spans="1:18" x14ac:dyDescent="0.3">
      <c r="A689" s="21"/>
      <c r="B689" s="22"/>
      <c r="C689" s="22"/>
      <c r="D689" s="22"/>
      <c r="E689" s="22"/>
      <c r="F689" s="22"/>
      <c r="G689" s="23"/>
      <c r="H689" s="4" t="s">
        <v>14</v>
      </c>
      <c r="J689" s="4"/>
      <c r="O689" s="3">
        <f>1/O690</f>
        <v>9.9009900990099011E-3</v>
      </c>
      <c r="P689" s="3">
        <f>O689*20</f>
        <v>0.19801980198019803</v>
      </c>
      <c r="Q689" s="3" t="s">
        <v>3200</v>
      </c>
      <c r="R689" s="3">
        <v>101</v>
      </c>
    </row>
    <row r="690" spans="1:18" x14ac:dyDescent="0.3">
      <c r="A690" s="11" t="s">
        <v>690</v>
      </c>
      <c r="B690" s="7">
        <v>12500</v>
      </c>
      <c r="C690" s="7">
        <v>40.695</v>
      </c>
      <c r="D690" s="2">
        <f>C690-C688</f>
        <v>-0.13000000000000256</v>
      </c>
      <c r="E690" s="8">
        <f>E688-F690</f>
        <v>40.627002139831795</v>
      </c>
      <c r="F690" s="6">
        <f>P689</f>
        <v>0.19801980198019803</v>
      </c>
      <c r="G690" s="12">
        <f>C690-E690</f>
        <v>6.7997860168205193E-2</v>
      </c>
      <c r="H690" s="3">
        <f>B688</f>
        <v>12480</v>
      </c>
      <c r="I690" s="3">
        <f>B711</f>
        <v>12920</v>
      </c>
      <c r="J690" s="3">
        <f>I690-H690</f>
        <v>440</v>
      </c>
      <c r="K690" s="5">
        <f>E688</f>
        <v>40.82502194181199</v>
      </c>
      <c r="L690" s="3">
        <f>C711</f>
        <v>36.462000000000003</v>
      </c>
      <c r="M690" s="5">
        <f>L690-K690</f>
        <v>-4.3630219418119864</v>
      </c>
      <c r="N690" s="3">
        <f>J690/M690</f>
        <v>-100.84753317038457</v>
      </c>
      <c r="O690" s="3">
        <v>101</v>
      </c>
    </row>
    <row r="691" spans="1:18" x14ac:dyDescent="0.3">
      <c r="A691" s="11" t="s">
        <v>691</v>
      </c>
      <c r="B691" s="7">
        <v>12520</v>
      </c>
      <c r="C691" s="7">
        <v>40.484000000000002</v>
      </c>
      <c r="D691" s="2">
        <f t="shared" si="156"/>
        <v>-0.21099999999999852</v>
      </c>
      <c r="E691" s="8">
        <f>E690-F690</f>
        <v>40.4289823378516</v>
      </c>
      <c r="F691" s="6">
        <f t="shared" ref="F691" si="173">F690</f>
        <v>0.19801980198019803</v>
      </c>
      <c r="G691" s="12">
        <f t="shared" ref="G691" si="174">C691-E691</f>
        <v>5.5017662148401314E-2</v>
      </c>
    </row>
    <row r="692" spans="1:18" x14ac:dyDescent="0.3">
      <c r="A692" s="11" t="s">
        <v>692</v>
      </c>
      <c r="B692" s="7">
        <v>12540</v>
      </c>
      <c r="C692" s="7">
        <v>40.277000000000001</v>
      </c>
      <c r="D692" s="2">
        <f t="shared" si="156"/>
        <v>-0.20700000000000074</v>
      </c>
      <c r="E692" s="8">
        <f t="shared" ref="E692:E710" si="175">E691-F691</f>
        <v>40.230962535871406</v>
      </c>
      <c r="F692" s="6">
        <f t="shared" ref="F692:F710" si="176">F691</f>
        <v>0.19801980198019803</v>
      </c>
      <c r="G692" s="12">
        <f t="shared" ref="G692:G710" si="177">C692-E692</f>
        <v>4.6037464128595218E-2</v>
      </c>
    </row>
    <row r="693" spans="1:18" x14ac:dyDescent="0.3">
      <c r="A693" s="11" t="s">
        <v>693</v>
      </c>
      <c r="B693" s="7">
        <v>12560</v>
      </c>
      <c r="C693" s="7">
        <v>40.06</v>
      </c>
      <c r="D693" s="2">
        <f t="shared" si="156"/>
        <v>-0.21699999999999875</v>
      </c>
      <c r="E693" s="8">
        <f t="shared" si="175"/>
        <v>40.032942733891211</v>
      </c>
      <c r="F693" s="6">
        <f t="shared" si="176"/>
        <v>0.19801980198019803</v>
      </c>
      <c r="G693" s="12">
        <f t="shared" si="177"/>
        <v>2.7057266108791111E-2</v>
      </c>
    </row>
    <row r="694" spans="1:18" x14ac:dyDescent="0.3">
      <c r="A694" s="11" t="s">
        <v>694</v>
      </c>
      <c r="B694" s="7">
        <v>12580</v>
      </c>
      <c r="C694" s="7">
        <v>39.841999999999999</v>
      </c>
      <c r="D694" s="2">
        <f t="shared" si="156"/>
        <v>-0.21800000000000352</v>
      </c>
      <c r="E694" s="8">
        <f t="shared" si="175"/>
        <v>39.834922931911017</v>
      </c>
      <c r="F694" s="6">
        <f t="shared" si="176"/>
        <v>0.19801980198019803</v>
      </c>
      <c r="G694" s="12">
        <f t="shared" si="177"/>
        <v>7.0770680889822302E-3</v>
      </c>
    </row>
    <row r="695" spans="1:18" x14ac:dyDescent="0.3">
      <c r="A695" s="11" t="s">
        <v>695</v>
      </c>
      <c r="B695" s="7">
        <v>12600</v>
      </c>
      <c r="C695" s="7">
        <v>39.628</v>
      </c>
      <c r="D695" s="2">
        <f t="shared" si="156"/>
        <v>-0.21399999999999864</v>
      </c>
      <c r="E695" s="8">
        <f t="shared" si="175"/>
        <v>39.636903129930822</v>
      </c>
      <c r="F695" s="6">
        <f t="shared" si="176"/>
        <v>0.19801980198019803</v>
      </c>
      <c r="G695" s="12">
        <f t="shared" si="177"/>
        <v>-8.9031299308217626E-3</v>
      </c>
    </row>
    <row r="696" spans="1:18" x14ac:dyDescent="0.3">
      <c r="A696" s="11" t="s">
        <v>696</v>
      </c>
      <c r="B696" s="7">
        <v>12620</v>
      </c>
      <c r="C696" s="7">
        <v>39.418999999999997</v>
      </c>
      <c r="D696" s="2">
        <f t="shared" si="156"/>
        <v>-0.20900000000000318</v>
      </c>
      <c r="E696" s="8">
        <f t="shared" si="175"/>
        <v>39.438883327950627</v>
      </c>
      <c r="F696" s="6">
        <f t="shared" si="176"/>
        <v>0.19801980198019803</v>
      </c>
      <c r="G696" s="12">
        <f t="shared" si="177"/>
        <v>-1.9883327950630303E-2</v>
      </c>
    </row>
    <row r="697" spans="1:18" x14ac:dyDescent="0.3">
      <c r="A697" s="11" t="s">
        <v>697</v>
      </c>
      <c r="B697" s="7">
        <v>12640</v>
      </c>
      <c r="C697" s="7">
        <v>39.213000000000001</v>
      </c>
      <c r="D697" s="2">
        <f t="shared" si="156"/>
        <v>-0.20599999999999596</v>
      </c>
      <c r="E697" s="8">
        <f t="shared" si="175"/>
        <v>39.240863525970433</v>
      </c>
      <c r="F697" s="6">
        <f t="shared" si="176"/>
        <v>0.19801980198019803</v>
      </c>
      <c r="G697" s="12">
        <f t="shared" si="177"/>
        <v>-2.7863525970431624E-2</v>
      </c>
    </row>
    <row r="698" spans="1:18" x14ac:dyDescent="0.3">
      <c r="A698" s="11" t="s">
        <v>698</v>
      </c>
      <c r="B698" s="7">
        <v>12660</v>
      </c>
      <c r="C698" s="7">
        <v>39.002000000000002</v>
      </c>
      <c r="D698" s="2">
        <f t="shared" si="156"/>
        <v>-0.21099999999999852</v>
      </c>
      <c r="E698" s="8">
        <f t="shared" si="175"/>
        <v>39.042843723990238</v>
      </c>
      <c r="F698" s="6">
        <f t="shared" si="176"/>
        <v>0.19801980198019803</v>
      </c>
      <c r="G698" s="12">
        <f t="shared" si="177"/>
        <v>-4.0843723990235503E-2</v>
      </c>
    </row>
    <row r="699" spans="1:18" x14ac:dyDescent="0.3">
      <c r="A699" s="11" t="s">
        <v>699</v>
      </c>
      <c r="B699" s="7">
        <v>12680</v>
      </c>
      <c r="C699" s="7">
        <v>38.793999999999997</v>
      </c>
      <c r="D699" s="2">
        <f t="shared" si="156"/>
        <v>-0.20800000000000551</v>
      </c>
      <c r="E699" s="8">
        <f t="shared" si="175"/>
        <v>38.844823922010043</v>
      </c>
      <c r="F699" s="6">
        <f t="shared" si="176"/>
        <v>0.19801980198019803</v>
      </c>
      <c r="G699" s="12">
        <f t="shared" si="177"/>
        <v>-5.0823922010046374E-2</v>
      </c>
    </row>
    <row r="700" spans="1:18" x14ac:dyDescent="0.3">
      <c r="A700" s="11" t="s">
        <v>700</v>
      </c>
      <c r="B700" s="7">
        <v>12700</v>
      </c>
      <c r="C700" s="7">
        <v>38.588999999999999</v>
      </c>
      <c r="D700" s="2">
        <f t="shared" si="156"/>
        <v>-0.20499999999999829</v>
      </c>
      <c r="E700" s="8">
        <f t="shared" si="175"/>
        <v>38.646804120029849</v>
      </c>
      <c r="F700" s="6">
        <f t="shared" si="176"/>
        <v>0.19801980198019803</v>
      </c>
      <c r="G700" s="12">
        <f t="shared" si="177"/>
        <v>-5.7804120029850026E-2</v>
      </c>
    </row>
    <row r="701" spans="1:18" x14ac:dyDescent="0.3">
      <c r="A701" s="11" t="s">
        <v>701</v>
      </c>
      <c r="B701" s="7">
        <v>12720</v>
      </c>
      <c r="C701" s="7">
        <v>38.371000000000002</v>
      </c>
      <c r="D701" s="2">
        <f t="shared" si="156"/>
        <v>-0.21799999999999642</v>
      </c>
      <c r="E701" s="8">
        <f t="shared" si="175"/>
        <v>38.448784318049654</v>
      </c>
      <c r="F701" s="6">
        <f t="shared" si="176"/>
        <v>0.19801980198019803</v>
      </c>
      <c r="G701" s="12">
        <f t="shared" si="177"/>
        <v>-7.7784318049651802E-2</v>
      </c>
    </row>
    <row r="702" spans="1:18" x14ac:dyDescent="0.3">
      <c r="A702" s="11" t="s">
        <v>702</v>
      </c>
      <c r="B702" s="7">
        <v>12740</v>
      </c>
      <c r="C702" s="7">
        <v>38.155000000000001</v>
      </c>
      <c r="D702" s="2">
        <f t="shared" si="156"/>
        <v>-0.21600000000000108</v>
      </c>
      <c r="E702" s="8">
        <f t="shared" si="175"/>
        <v>38.250764516069459</v>
      </c>
      <c r="F702" s="6">
        <f t="shared" si="176"/>
        <v>0.19801980198019803</v>
      </c>
      <c r="G702" s="12">
        <f t="shared" si="177"/>
        <v>-9.5764516069458239E-2</v>
      </c>
    </row>
    <row r="703" spans="1:18" x14ac:dyDescent="0.3">
      <c r="A703" s="11" t="s">
        <v>703</v>
      </c>
      <c r="B703" s="7">
        <v>12760</v>
      </c>
      <c r="C703" s="7">
        <v>37.948999999999998</v>
      </c>
      <c r="D703" s="2">
        <f t="shared" si="156"/>
        <v>-0.20600000000000307</v>
      </c>
      <c r="E703" s="8">
        <f t="shared" si="175"/>
        <v>38.052744714089265</v>
      </c>
      <c r="F703" s="6">
        <f t="shared" si="176"/>
        <v>0.19801980198019803</v>
      </c>
      <c r="G703" s="12">
        <f t="shared" si="177"/>
        <v>-0.10374471408926667</v>
      </c>
    </row>
    <row r="704" spans="1:18" x14ac:dyDescent="0.3">
      <c r="A704" s="11" t="s">
        <v>704</v>
      </c>
      <c r="B704" s="7">
        <v>12780</v>
      </c>
      <c r="C704" s="7">
        <v>37.743000000000002</v>
      </c>
      <c r="D704" s="2">
        <f t="shared" si="156"/>
        <v>-0.20599999999999596</v>
      </c>
      <c r="E704" s="8">
        <f t="shared" si="175"/>
        <v>37.85472491210907</v>
      </c>
      <c r="F704" s="6">
        <f t="shared" si="176"/>
        <v>0.19801980198019803</v>
      </c>
      <c r="G704" s="12">
        <f t="shared" si="177"/>
        <v>-0.11172491210906799</v>
      </c>
    </row>
    <row r="705" spans="1:18" x14ac:dyDescent="0.3">
      <c r="A705" s="11" t="s">
        <v>705</v>
      </c>
      <c r="B705" s="7">
        <v>12800</v>
      </c>
      <c r="C705" s="7">
        <v>37.548999999999999</v>
      </c>
      <c r="D705" s="2">
        <f t="shared" si="156"/>
        <v>-0.19400000000000261</v>
      </c>
      <c r="E705" s="8">
        <f t="shared" si="175"/>
        <v>37.656705110128875</v>
      </c>
      <c r="F705" s="6">
        <f t="shared" si="176"/>
        <v>0.19801980198019803</v>
      </c>
      <c r="G705" s="12">
        <f t="shared" si="177"/>
        <v>-0.10770511012887596</v>
      </c>
    </row>
    <row r="706" spans="1:18" x14ac:dyDescent="0.3">
      <c r="A706" s="11" t="s">
        <v>706</v>
      </c>
      <c r="B706" s="7">
        <v>12820</v>
      </c>
      <c r="C706" s="7">
        <v>37.354999999999997</v>
      </c>
      <c r="D706" s="2">
        <f t="shared" si="156"/>
        <v>-0.19400000000000261</v>
      </c>
      <c r="E706" s="8">
        <f t="shared" si="175"/>
        <v>37.458685308148681</v>
      </c>
      <c r="F706" s="6">
        <f t="shared" si="176"/>
        <v>0.19801980198019803</v>
      </c>
      <c r="G706" s="12">
        <f t="shared" si="177"/>
        <v>-0.10368530814868393</v>
      </c>
    </row>
    <row r="707" spans="1:18" x14ac:dyDescent="0.3">
      <c r="A707" s="11" t="s">
        <v>707</v>
      </c>
      <c r="B707" s="7">
        <v>12840</v>
      </c>
      <c r="C707" s="7">
        <v>37.146999999999998</v>
      </c>
      <c r="D707" s="2">
        <f t="shared" ref="D707:D775" si="178">C707-C706</f>
        <v>-0.20799999999999841</v>
      </c>
      <c r="E707" s="8">
        <f t="shared" si="175"/>
        <v>37.260665506168486</v>
      </c>
      <c r="F707" s="6">
        <f t="shared" si="176"/>
        <v>0.19801980198019803</v>
      </c>
      <c r="G707" s="12">
        <f t="shared" si="177"/>
        <v>-0.1136655061684877</v>
      </c>
    </row>
    <row r="708" spans="1:18" x14ac:dyDescent="0.3">
      <c r="A708" s="11" t="s">
        <v>708</v>
      </c>
      <c r="B708" s="7">
        <v>12860</v>
      </c>
      <c r="C708" s="7">
        <v>36.957000000000001</v>
      </c>
      <c r="D708" s="2">
        <f t="shared" si="178"/>
        <v>-0.18999999999999773</v>
      </c>
      <c r="E708" s="8">
        <f t="shared" si="175"/>
        <v>37.062645704188292</v>
      </c>
      <c r="F708" s="6">
        <f t="shared" si="176"/>
        <v>0.19801980198019803</v>
      </c>
      <c r="G708" s="12">
        <f t="shared" si="177"/>
        <v>-0.10564570418829078</v>
      </c>
    </row>
    <row r="709" spans="1:18" x14ac:dyDescent="0.3">
      <c r="A709" s="11" t="s">
        <v>709</v>
      </c>
      <c r="B709" s="7">
        <v>12880</v>
      </c>
      <c r="C709" s="7">
        <v>36.790999999999997</v>
      </c>
      <c r="D709" s="2">
        <f t="shared" si="178"/>
        <v>-0.16600000000000392</v>
      </c>
      <c r="E709" s="8">
        <f t="shared" si="175"/>
        <v>36.864625902208097</v>
      </c>
      <c r="F709" s="6">
        <f t="shared" si="176"/>
        <v>0.19801980198019803</v>
      </c>
      <c r="G709" s="12">
        <f t="shared" si="177"/>
        <v>-7.3625902208100058E-2</v>
      </c>
    </row>
    <row r="710" spans="1:18" x14ac:dyDescent="0.3">
      <c r="A710" s="11" t="s">
        <v>710</v>
      </c>
      <c r="B710" s="7">
        <v>12900</v>
      </c>
      <c r="C710" s="7">
        <v>36.627000000000002</v>
      </c>
      <c r="D710" s="2">
        <f t="shared" si="178"/>
        <v>-0.16399999999999437</v>
      </c>
      <c r="E710" s="8">
        <f t="shared" si="175"/>
        <v>36.666606100227902</v>
      </c>
      <c r="F710" s="6">
        <f t="shared" si="176"/>
        <v>0.19801980198019803</v>
      </c>
      <c r="G710" s="12">
        <f t="shared" si="177"/>
        <v>-3.9606100227899788E-2</v>
      </c>
    </row>
    <row r="711" spans="1:18" x14ac:dyDescent="0.3">
      <c r="A711" s="11" t="s">
        <v>711</v>
      </c>
      <c r="B711" s="7">
        <v>12920</v>
      </c>
      <c r="C711" s="7">
        <v>36.462000000000003</v>
      </c>
      <c r="D711" s="2">
        <f t="shared" si="178"/>
        <v>-0.16499999999999915</v>
      </c>
      <c r="E711" s="8">
        <f t="shared" ref="E711:E717" si="179">E710-F710</f>
        <v>36.468586298247708</v>
      </c>
      <c r="F711" s="6">
        <f t="shared" ref="F711:F717" si="180">F710</f>
        <v>0.19801980198019803</v>
      </c>
      <c r="G711" s="12">
        <f t="shared" ref="G711:G717" si="181">C711-E711</f>
        <v>-6.586298247704292E-3</v>
      </c>
    </row>
    <row r="712" spans="1:18" x14ac:dyDescent="0.3">
      <c r="A712" s="21"/>
      <c r="B712" s="22"/>
      <c r="C712" s="22"/>
      <c r="D712" s="22"/>
      <c r="E712" s="22"/>
      <c r="F712" s="22"/>
      <c r="G712" s="23"/>
      <c r="H712" s="4" t="s">
        <v>15</v>
      </c>
      <c r="J712" s="4"/>
      <c r="O712" s="3">
        <f>1/O713</f>
        <v>4.4843049327354259E-3</v>
      </c>
      <c r="P712" s="3">
        <f>O712*20</f>
        <v>8.9686098654708515E-2</v>
      </c>
      <c r="Q712" s="3" t="s">
        <v>3200</v>
      </c>
      <c r="R712" s="3">
        <v>223</v>
      </c>
    </row>
    <row r="713" spans="1:18" x14ac:dyDescent="0.3">
      <c r="A713" s="11" t="s">
        <v>712</v>
      </c>
      <c r="B713" s="7">
        <v>12940</v>
      </c>
      <c r="C713" s="7">
        <v>36.311999999999998</v>
      </c>
      <c r="D713" s="2">
        <f>C713-C711</f>
        <v>-0.15000000000000568</v>
      </c>
      <c r="E713" s="8">
        <f>E711-F713</f>
        <v>36.378900199592998</v>
      </c>
      <c r="F713" s="6">
        <f>P712</f>
        <v>8.9686098654708515E-2</v>
      </c>
      <c r="G713" s="12">
        <f>C713-E713</f>
        <v>-6.6900199593000309E-2</v>
      </c>
      <c r="H713" s="3">
        <f>B711</f>
        <v>12920</v>
      </c>
      <c r="I713" s="3">
        <f>B720</f>
        <v>13060</v>
      </c>
      <c r="J713" s="3">
        <f>I713-H713</f>
        <v>140</v>
      </c>
      <c r="K713" s="5">
        <f>E711</f>
        <v>36.468586298247708</v>
      </c>
      <c r="L713" s="3">
        <f>C720</f>
        <v>35.840000000000003</v>
      </c>
      <c r="M713" s="5">
        <f>L713-K713</f>
        <v>-0.62858629824770418</v>
      </c>
      <c r="N713" s="3">
        <f>J713/M713</f>
        <v>-222.72200394802564</v>
      </c>
      <c r="O713" s="3">
        <v>223</v>
      </c>
    </row>
    <row r="714" spans="1:18" x14ac:dyDescent="0.3">
      <c r="A714" s="11" t="s">
        <v>713</v>
      </c>
      <c r="B714" s="7">
        <v>12960</v>
      </c>
      <c r="C714" s="7">
        <v>36.171999999999997</v>
      </c>
      <c r="D714" s="2">
        <f t="shared" si="178"/>
        <v>-0.14000000000000057</v>
      </c>
      <c r="E714" s="8">
        <f>E713-F713</f>
        <v>36.289214100938288</v>
      </c>
      <c r="F714" s="6">
        <f t="shared" ref="F714" si="182">F713</f>
        <v>8.9686098654708515E-2</v>
      </c>
      <c r="G714" s="12">
        <f t="shared" ref="G714" si="183">C714-E714</f>
        <v>-0.11721410093829121</v>
      </c>
    </row>
    <row r="715" spans="1:18" x14ac:dyDescent="0.3">
      <c r="A715" s="13" t="s">
        <v>714</v>
      </c>
      <c r="B715" s="24"/>
      <c r="C715" s="25"/>
      <c r="D715" s="25"/>
      <c r="E715" s="25"/>
      <c r="F715" s="25"/>
      <c r="G715" s="26"/>
    </row>
    <row r="716" spans="1:18" x14ac:dyDescent="0.3">
      <c r="A716" s="11" t="s">
        <v>715</v>
      </c>
      <c r="B716" s="7">
        <v>12980</v>
      </c>
      <c r="C716" s="7">
        <v>36.061999999999998</v>
      </c>
      <c r="D716" s="2">
        <f>C716-C714</f>
        <v>-0.10999999999999943</v>
      </c>
      <c r="E716" s="8">
        <f>E714-F714</f>
        <v>36.199528002283579</v>
      </c>
      <c r="F716" s="6">
        <f>F714</f>
        <v>8.9686098654708515E-2</v>
      </c>
      <c r="G716" s="12">
        <f t="shared" si="181"/>
        <v>-0.13752800228358097</v>
      </c>
    </row>
    <row r="717" spans="1:18" x14ac:dyDescent="0.3">
      <c r="A717" s="11" t="s">
        <v>716</v>
      </c>
      <c r="B717" s="7">
        <v>13000</v>
      </c>
      <c r="C717" s="7">
        <v>35.978000000000002</v>
      </c>
      <c r="D717" s="2">
        <f t="shared" si="178"/>
        <v>-8.3999999999996078E-2</v>
      </c>
      <c r="E717" s="8">
        <f t="shared" si="179"/>
        <v>36.109841903628869</v>
      </c>
      <c r="F717" s="6">
        <f t="shared" si="180"/>
        <v>8.9686098654708515E-2</v>
      </c>
      <c r="G717" s="12">
        <f t="shared" si="181"/>
        <v>-0.13184190362886739</v>
      </c>
    </row>
    <row r="718" spans="1:18" x14ac:dyDescent="0.3">
      <c r="A718" s="11" t="s">
        <v>717</v>
      </c>
      <c r="B718" s="7">
        <v>13020</v>
      </c>
      <c r="C718" s="7">
        <v>35.93</v>
      </c>
      <c r="D718" s="2">
        <f t="shared" si="178"/>
        <v>-4.8000000000001819E-2</v>
      </c>
      <c r="E718" s="8">
        <f t="shared" ref="E718:E733" si="184">E717-F717</f>
        <v>36.020155804974159</v>
      </c>
      <c r="F718" s="6">
        <f t="shared" ref="F718:F733" si="185">F717</f>
        <v>8.9686098654708515E-2</v>
      </c>
      <c r="G718" s="12">
        <f t="shared" ref="G718:G733" si="186">C718-E718</f>
        <v>-9.0155804974159537E-2</v>
      </c>
    </row>
    <row r="719" spans="1:18" x14ac:dyDescent="0.3">
      <c r="A719" s="11" t="s">
        <v>718</v>
      </c>
      <c r="B719" s="7">
        <v>13040</v>
      </c>
      <c r="C719" s="7">
        <v>35.886000000000003</v>
      </c>
      <c r="D719" s="2">
        <f t="shared" si="178"/>
        <v>-4.399999999999693E-2</v>
      </c>
      <c r="E719" s="8">
        <f t="shared" si="184"/>
        <v>35.93046970631945</v>
      </c>
      <c r="F719" s="6">
        <f t="shared" si="185"/>
        <v>8.9686098654708515E-2</v>
      </c>
      <c r="G719" s="12">
        <f t="shared" si="186"/>
        <v>-4.44697063194468E-2</v>
      </c>
    </row>
    <row r="720" spans="1:18" x14ac:dyDescent="0.3">
      <c r="A720" s="11" t="s">
        <v>719</v>
      </c>
      <c r="B720" s="7">
        <v>13060</v>
      </c>
      <c r="C720" s="7">
        <v>35.840000000000003</v>
      </c>
      <c r="D720" s="2">
        <f t="shared" si="178"/>
        <v>-4.5999999999999375E-2</v>
      </c>
      <c r="E720" s="8">
        <f t="shared" si="184"/>
        <v>35.84078360766474</v>
      </c>
      <c r="F720" s="6">
        <f t="shared" si="185"/>
        <v>8.9686098654708515E-2</v>
      </c>
      <c r="G720" s="12">
        <f t="shared" si="186"/>
        <v>-7.8360766473650756E-4</v>
      </c>
    </row>
    <row r="721" spans="1:18" x14ac:dyDescent="0.3">
      <c r="A721" s="21"/>
      <c r="B721" s="22"/>
      <c r="C721" s="22"/>
      <c r="D721" s="22"/>
      <c r="E721" s="22"/>
      <c r="F721" s="22"/>
      <c r="G721" s="23"/>
      <c r="H721" s="4" t="s">
        <v>3201</v>
      </c>
      <c r="J721" s="4"/>
      <c r="O721" s="3">
        <f>1/O722</f>
        <v>3.2414910858995135E-4</v>
      </c>
      <c r="P721" s="3">
        <f>O721*20</f>
        <v>6.4829821717990272E-3</v>
      </c>
      <c r="Q721" s="3" t="s">
        <v>3200</v>
      </c>
      <c r="R721" s="3">
        <v>3085</v>
      </c>
    </row>
    <row r="722" spans="1:18" x14ac:dyDescent="0.3">
      <c r="A722" s="11" t="s">
        <v>720</v>
      </c>
      <c r="B722" s="7">
        <v>13080</v>
      </c>
      <c r="C722" s="7">
        <v>35.819000000000003</v>
      </c>
      <c r="D722" s="2">
        <f>C722-C720</f>
        <v>-2.1000000000000796E-2</v>
      </c>
      <c r="E722" s="8">
        <f>E720-F722</f>
        <v>35.834300625492943</v>
      </c>
      <c r="F722" s="6">
        <f>P721</f>
        <v>6.4829821717990272E-3</v>
      </c>
      <c r="G722" s="12">
        <f>C722-E722</f>
        <v>-1.5300625492940867E-2</v>
      </c>
      <c r="H722" s="3">
        <f>B720</f>
        <v>13060</v>
      </c>
      <c r="I722" s="3">
        <f>B762</f>
        <v>13880</v>
      </c>
      <c r="J722" s="3">
        <f>I722-H722</f>
        <v>820</v>
      </c>
      <c r="K722" s="5">
        <f>E720</f>
        <v>35.84078360766474</v>
      </c>
      <c r="L722" s="3">
        <f>C762</f>
        <v>35.575000000000003</v>
      </c>
      <c r="M722" s="5">
        <f>L722-K722</f>
        <v>-0.26578360766473708</v>
      </c>
      <c r="N722" s="3">
        <f>J722/M722</f>
        <v>-3085.2166061134917</v>
      </c>
      <c r="O722" s="3">
        <v>3085</v>
      </c>
    </row>
    <row r="723" spans="1:18" x14ac:dyDescent="0.3">
      <c r="A723" s="11" t="s">
        <v>721</v>
      </c>
      <c r="B723" s="7">
        <v>13100</v>
      </c>
      <c r="C723" s="7">
        <v>35.768000000000001</v>
      </c>
      <c r="D723" s="2">
        <f t="shared" si="178"/>
        <v>-5.1000000000001933E-2</v>
      </c>
      <c r="E723" s="8">
        <f>E722-F722</f>
        <v>35.827817643321147</v>
      </c>
      <c r="F723" s="6">
        <f t="shared" ref="F723" si="187">F722</f>
        <v>6.4829821717990272E-3</v>
      </c>
      <c r="G723" s="12">
        <f t="shared" ref="G723" si="188">C723-E723</f>
        <v>-5.9817643321146363E-2</v>
      </c>
    </row>
    <row r="724" spans="1:18" x14ac:dyDescent="0.3">
      <c r="A724" s="11" t="s">
        <v>722</v>
      </c>
      <c r="B724" s="7">
        <v>13120</v>
      </c>
      <c r="C724" s="7">
        <v>35.761000000000003</v>
      </c>
      <c r="D724" s="2">
        <f t="shared" si="178"/>
        <v>-6.9999999999978968E-3</v>
      </c>
      <c r="E724" s="8">
        <f t="shared" si="184"/>
        <v>35.821334661149351</v>
      </c>
      <c r="F724" s="6">
        <f t="shared" si="185"/>
        <v>6.4829821717990272E-3</v>
      </c>
      <c r="G724" s="12">
        <f t="shared" si="186"/>
        <v>-6.0334661149347824E-2</v>
      </c>
    </row>
    <row r="725" spans="1:18" x14ac:dyDescent="0.3">
      <c r="A725" s="11" t="s">
        <v>723</v>
      </c>
      <c r="B725" s="7">
        <v>13140</v>
      </c>
      <c r="C725" s="7">
        <v>35.770000000000003</v>
      </c>
      <c r="D725" s="2">
        <f t="shared" si="178"/>
        <v>9.0000000000003411E-3</v>
      </c>
      <c r="E725" s="8">
        <f t="shared" si="184"/>
        <v>35.814851678977554</v>
      </c>
      <c r="F725" s="6">
        <f t="shared" si="185"/>
        <v>6.4829821717990272E-3</v>
      </c>
      <c r="G725" s="12">
        <f t="shared" si="186"/>
        <v>-4.4851678977551046E-2</v>
      </c>
    </row>
    <row r="726" spans="1:18" x14ac:dyDescent="0.3">
      <c r="A726" s="11" t="s">
        <v>724</v>
      </c>
      <c r="B726" s="7">
        <v>13160</v>
      </c>
      <c r="C726" s="7">
        <v>35.781999999999996</v>
      </c>
      <c r="D726" s="2">
        <f t="shared" si="178"/>
        <v>1.1999999999993349E-2</v>
      </c>
      <c r="E726" s="8">
        <f t="shared" si="184"/>
        <v>35.808368696805758</v>
      </c>
      <c r="F726" s="6">
        <f t="shared" si="185"/>
        <v>6.4829821717990272E-3</v>
      </c>
      <c r="G726" s="12">
        <f t="shared" si="186"/>
        <v>-2.636869680576126E-2</v>
      </c>
    </row>
    <row r="727" spans="1:18" x14ac:dyDescent="0.3">
      <c r="A727" s="11" t="s">
        <v>725</v>
      </c>
      <c r="B727" s="7">
        <v>13180</v>
      </c>
      <c r="C727" s="7">
        <v>35.790999999999997</v>
      </c>
      <c r="D727" s="2">
        <f t="shared" si="178"/>
        <v>9.0000000000003411E-3</v>
      </c>
      <c r="E727" s="8">
        <f t="shared" si="184"/>
        <v>35.801885714633961</v>
      </c>
      <c r="F727" s="6">
        <f t="shared" si="185"/>
        <v>6.4829821717990272E-3</v>
      </c>
      <c r="G727" s="12">
        <f t="shared" si="186"/>
        <v>-1.0885714633964483E-2</v>
      </c>
    </row>
    <row r="728" spans="1:18" x14ac:dyDescent="0.3">
      <c r="A728" s="11" t="s">
        <v>726</v>
      </c>
      <c r="B728" s="7">
        <v>13200</v>
      </c>
      <c r="C728" s="7">
        <v>35.798000000000002</v>
      </c>
      <c r="D728" s="2">
        <f t="shared" si="178"/>
        <v>7.0000000000050022E-3</v>
      </c>
      <c r="E728" s="8">
        <f t="shared" si="184"/>
        <v>35.795402732462165</v>
      </c>
      <c r="F728" s="6">
        <f t="shared" si="185"/>
        <v>6.4829821717990272E-3</v>
      </c>
      <c r="G728" s="12">
        <f t="shared" si="186"/>
        <v>2.5972675378369559E-3</v>
      </c>
    </row>
    <row r="729" spans="1:18" x14ac:dyDescent="0.3">
      <c r="A729" s="11" t="s">
        <v>727</v>
      </c>
      <c r="B729" s="7">
        <v>13220</v>
      </c>
      <c r="C729" s="7">
        <v>35.807000000000002</v>
      </c>
      <c r="D729" s="2">
        <f t="shared" si="178"/>
        <v>9.0000000000003411E-3</v>
      </c>
      <c r="E729" s="8">
        <f t="shared" si="184"/>
        <v>35.788919750290368</v>
      </c>
      <c r="F729" s="6">
        <f t="shared" si="185"/>
        <v>6.4829821717990272E-3</v>
      </c>
      <c r="G729" s="12">
        <f t="shared" si="186"/>
        <v>1.8080249709633733E-2</v>
      </c>
    </row>
    <row r="730" spans="1:18" x14ac:dyDescent="0.3">
      <c r="A730" s="11" t="s">
        <v>728</v>
      </c>
      <c r="B730" s="7">
        <v>13240</v>
      </c>
      <c r="C730" s="7">
        <v>35.813000000000002</v>
      </c>
      <c r="D730" s="2">
        <f t="shared" si="178"/>
        <v>6.0000000000002274E-3</v>
      </c>
      <c r="E730" s="8">
        <f t="shared" si="184"/>
        <v>35.782436768118572</v>
      </c>
      <c r="F730" s="6">
        <f t="shared" si="185"/>
        <v>6.4829821717990272E-3</v>
      </c>
      <c r="G730" s="12">
        <f t="shared" si="186"/>
        <v>3.0563231881430397E-2</v>
      </c>
    </row>
    <row r="731" spans="1:18" x14ac:dyDescent="0.3">
      <c r="A731" s="11" t="s">
        <v>729</v>
      </c>
      <c r="B731" s="7">
        <v>13260</v>
      </c>
      <c r="C731" s="7">
        <v>35.825000000000003</v>
      </c>
      <c r="D731" s="2">
        <f t="shared" si="178"/>
        <v>1.2000000000000455E-2</v>
      </c>
      <c r="E731" s="8">
        <f t="shared" si="184"/>
        <v>35.775953785946776</v>
      </c>
      <c r="F731" s="6">
        <f t="shared" si="185"/>
        <v>6.4829821717990272E-3</v>
      </c>
      <c r="G731" s="12">
        <f t="shared" si="186"/>
        <v>4.9046214053227288E-2</v>
      </c>
    </row>
    <row r="732" spans="1:18" x14ac:dyDescent="0.3">
      <c r="A732" s="11" t="s">
        <v>730</v>
      </c>
      <c r="B732" s="7">
        <v>13280</v>
      </c>
      <c r="C732" s="7">
        <v>35.823999999999998</v>
      </c>
      <c r="D732" s="2">
        <f t="shared" si="178"/>
        <v>-1.0000000000047748E-3</v>
      </c>
      <c r="E732" s="8">
        <f t="shared" si="184"/>
        <v>35.769470803774979</v>
      </c>
      <c r="F732" s="6">
        <f t="shared" si="185"/>
        <v>6.4829821717990272E-3</v>
      </c>
      <c r="G732" s="12">
        <f t="shared" si="186"/>
        <v>5.452919622501895E-2</v>
      </c>
    </row>
    <row r="733" spans="1:18" x14ac:dyDescent="0.3">
      <c r="A733" s="11" t="s">
        <v>731</v>
      </c>
      <c r="B733" s="7">
        <v>13300</v>
      </c>
      <c r="C733" s="7">
        <v>35.807000000000002</v>
      </c>
      <c r="D733" s="2">
        <f t="shared" si="178"/>
        <v>-1.6999999999995907E-2</v>
      </c>
      <c r="E733" s="8">
        <f t="shared" si="184"/>
        <v>35.762987821603183</v>
      </c>
      <c r="F733" s="6">
        <f t="shared" si="185"/>
        <v>6.4829821717990272E-3</v>
      </c>
      <c r="G733" s="12">
        <f t="shared" si="186"/>
        <v>4.4012178396819479E-2</v>
      </c>
    </row>
    <row r="734" spans="1:18" x14ac:dyDescent="0.3">
      <c r="A734" s="11" t="s">
        <v>732</v>
      </c>
      <c r="B734" s="7">
        <v>13320</v>
      </c>
      <c r="C734" s="7">
        <v>35.795000000000002</v>
      </c>
      <c r="D734" s="2">
        <f t="shared" si="178"/>
        <v>-1.2000000000000455E-2</v>
      </c>
      <c r="E734" s="8">
        <f t="shared" ref="E734:E743" si="189">E733-F733</f>
        <v>35.756504839431386</v>
      </c>
      <c r="F734" s="6">
        <f t="shared" ref="F734:F743" si="190">F733</f>
        <v>6.4829821717990272E-3</v>
      </c>
      <c r="G734" s="12">
        <f t="shared" ref="G734:G743" si="191">C734-E734</f>
        <v>3.8495160568615461E-2</v>
      </c>
    </row>
    <row r="735" spans="1:18" x14ac:dyDescent="0.3">
      <c r="A735" s="11" t="s">
        <v>733</v>
      </c>
      <c r="B735" s="7">
        <v>13340</v>
      </c>
      <c r="C735" s="7">
        <v>35.783999999999999</v>
      </c>
      <c r="D735" s="2">
        <f t="shared" si="178"/>
        <v>-1.1000000000002785E-2</v>
      </c>
      <c r="E735" s="8">
        <f t="shared" si="189"/>
        <v>35.75002185725959</v>
      </c>
      <c r="F735" s="6">
        <f t="shared" si="190"/>
        <v>6.4829821717990272E-3</v>
      </c>
      <c r="G735" s="12">
        <f t="shared" si="191"/>
        <v>3.3978142740409112E-2</v>
      </c>
    </row>
    <row r="736" spans="1:18" x14ac:dyDescent="0.3">
      <c r="A736" s="11" t="s">
        <v>734</v>
      </c>
      <c r="B736" s="7">
        <v>13360</v>
      </c>
      <c r="C736" s="7">
        <v>35.78</v>
      </c>
      <c r="D736" s="2">
        <f t="shared" si="178"/>
        <v>-3.9999999999977831E-3</v>
      </c>
      <c r="E736" s="8">
        <f t="shared" si="189"/>
        <v>35.743538875087793</v>
      </c>
      <c r="F736" s="6">
        <f t="shared" si="190"/>
        <v>6.4829821717990272E-3</v>
      </c>
      <c r="G736" s="12">
        <f t="shared" si="191"/>
        <v>3.6461124912207765E-2</v>
      </c>
    </row>
    <row r="737" spans="1:7" x14ac:dyDescent="0.3">
      <c r="A737" s="11" t="s">
        <v>735</v>
      </c>
      <c r="B737" s="7">
        <v>13380</v>
      </c>
      <c r="C737" s="7">
        <v>35.774999999999999</v>
      </c>
      <c r="D737" s="2">
        <f t="shared" si="178"/>
        <v>-5.000000000002558E-3</v>
      </c>
      <c r="E737" s="8">
        <f t="shared" si="189"/>
        <v>35.737055892915997</v>
      </c>
      <c r="F737" s="6">
        <f t="shared" si="190"/>
        <v>6.4829821717990272E-3</v>
      </c>
      <c r="G737" s="12">
        <f t="shared" si="191"/>
        <v>3.7944107084001644E-2</v>
      </c>
    </row>
    <row r="738" spans="1:7" x14ac:dyDescent="0.3">
      <c r="A738" s="11" t="s">
        <v>736</v>
      </c>
      <c r="B738" s="7">
        <v>13400</v>
      </c>
      <c r="C738" s="7">
        <v>35.776000000000003</v>
      </c>
      <c r="D738" s="2">
        <f t="shared" si="178"/>
        <v>1.0000000000047748E-3</v>
      </c>
      <c r="E738" s="8">
        <f t="shared" si="189"/>
        <v>35.7305729107442</v>
      </c>
      <c r="F738" s="6">
        <f t="shared" si="190"/>
        <v>6.4829821717990272E-3</v>
      </c>
      <c r="G738" s="12">
        <f t="shared" si="191"/>
        <v>4.5427089255802855E-2</v>
      </c>
    </row>
    <row r="739" spans="1:7" x14ac:dyDescent="0.3">
      <c r="A739" s="11" t="s">
        <v>737</v>
      </c>
      <c r="B739" s="7">
        <v>13420</v>
      </c>
      <c r="C739" s="7">
        <v>35.773000000000003</v>
      </c>
      <c r="D739" s="2">
        <f t="shared" si="178"/>
        <v>-3.0000000000001137E-3</v>
      </c>
      <c r="E739" s="8">
        <f t="shared" si="189"/>
        <v>35.724089928572404</v>
      </c>
      <c r="F739" s="6">
        <f t="shared" si="190"/>
        <v>6.4829821717990272E-3</v>
      </c>
      <c r="G739" s="12">
        <f t="shared" si="191"/>
        <v>4.8910071427599178E-2</v>
      </c>
    </row>
    <row r="740" spans="1:7" x14ac:dyDescent="0.3">
      <c r="A740" s="11" t="s">
        <v>738</v>
      </c>
      <c r="B740" s="7">
        <v>13440</v>
      </c>
      <c r="C740" s="7">
        <v>35.795000000000002</v>
      </c>
      <c r="D740" s="2">
        <f t="shared" si="178"/>
        <v>2.1999999999998465E-2</v>
      </c>
      <c r="E740" s="8">
        <f t="shared" si="189"/>
        <v>35.717606946400608</v>
      </c>
      <c r="F740" s="6">
        <f t="shared" si="190"/>
        <v>6.4829821717990272E-3</v>
      </c>
      <c r="G740" s="12">
        <f t="shared" si="191"/>
        <v>7.7393053599394079E-2</v>
      </c>
    </row>
    <row r="741" spans="1:7" x14ac:dyDescent="0.3">
      <c r="A741" s="11" t="s">
        <v>739</v>
      </c>
      <c r="B741" s="7">
        <v>13460</v>
      </c>
      <c r="C741" s="7">
        <v>35.838000000000001</v>
      </c>
      <c r="D741" s="2">
        <f t="shared" si="178"/>
        <v>4.2999999999999261E-2</v>
      </c>
      <c r="E741" s="8">
        <f t="shared" si="189"/>
        <v>35.711123964228811</v>
      </c>
      <c r="F741" s="6">
        <f t="shared" si="190"/>
        <v>6.4829821717990272E-3</v>
      </c>
      <c r="G741" s="12">
        <f t="shared" si="191"/>
        <v>0.12687603577118978</v>
      </c>
    </row>
    <row r="742" spans="1:7" x14ac:dyDescent="0.3">
      <c r="A742" s="11" t="s">
        <v>740</v>
      </c>
      <c r="B742" s="7">
        <v>13480</v>
      </c>
      <c r="C742" s="7">
        <v>35.865000000000002</v>
      </c>
      <c r="D742" s="2">
        <f t="shared" si="178"/>
        <v>2.7000000000001023E-2</v>
      </c>
      <c r="E742" s="8">
        <f t="shared" si="189"/>
        <v>35.704640982057015</v>
      </c>
      <c r="F742" s="6">
        <f t="shared" si="190"/>
        <v>6.4829821717990272E-3</v>
      </c>
      <c r="G742" s="12">
        <f t="shared" si="191"/>
        <v>0.16035901794298724</v>
      </c>
    </row>
    <row r="743" spans="1:7" x14ac:dyDescent="0.3">
      <c r="A743" s="11" t="s">
        <v>741</v>
      </c>
      <c r="B743" s="7">
        <v>13500</v>
      </c>
      <c r="C743" s="7">
        <v>35.878</v>
      </c>
      <c r="D743" s="2">
        <f t="shared" si="178"/>
        <v>1.2999999999998124E-2</v>
      </c>
      <c r="E743" s="8">
        <f t="shared" si="189"/>
        <v>35.698157999885218</v>
      </c>
      <c r="F743" s="6">
        <f t="shared" si="190"/>
        <v>6.4829821717990272E-3</v>
      </c>
      <c r="G743" s="12">
        <f t="shared" si="191"/>
        <v>0.1798420001147818</v>
      </c>
    </row>
    <row r="744" spans="1:7" x14ac:dyDescent="0.3">
      <c r="A744" s="11" t="s">
        <v>742</v>
      </c>
      <c r="B744" s="7">
        <v>13520</v>
      </c>
      <c r="C744" s="7">
        <v>35.865000000000002</v>
      </c>
      <c r="D744" s="2">
        <f t="shared" si="178"/>
        <v>-1.2999999999998124E-2</v>
      </c>
      <c r="E744" s="8">
        <f t="shared" ref="E744:E750" si="192">E743-F743</f>
        <v>35.691675017713422</v>
      </c>
      <c r="F744" s="6">
        <f t="shared" ref="F744:F750" si="193">F743</f>
        <v>6.4829821717990272E-3</v>
      </c>
      <c r="G744" s="12">
        <f t="shared" ref="G744:G750" si="194">C744-E744</f>
        <v>0.17332498228658011</v>
      </c>
    </row>
    <row r="745" spans="1:7" x14ac:dyDescent="0.3">
      <c r="A745" s="11" t="s">
        <v>743</v>
      </c>
      <c r="B745" s="7">
        <v>13540</v>
      </c>
      <c r="C745" s="7">
        <v>35.847999999999999</v>
      </c>
      <c r="D745" s="2">
        <f t="shared" si="178"/>
        <v>-1.7000000000003013E-2</v>
      </c>
      <c r="E745" s="8">
        <f t="shared" si="192"/>
        <v>35.685192035541625</v>
      </c>
      <c r="F745" s="6">
        <f t="shared" si="193"/>
        <v>6.4829821717990272E-3</v>
      </c>
      <c r="G745" s="12">
        <f t="shared" si="194"/>
        <v>0.16280796445837353</v>
      </c>
    </row>
    <row r="746" spans="1:7" x14ac:dyDescent="0.3">
      <c r="A746" s="11" t="s">
        <v>744</v>
      </c>
      <c r="B746" s="7">
        <v>13560</v>
      </c>
      <c r="C746" s="7">
        <v>35.831000000000003</v>
      </c>
      <c r="D746" s="2">
        <f t="shared" si="178"/>
        <v>-1.6999999999995907E-2</v>
      </c>
      <c r="E746" s="8">
        <f t="shared" si="192"/>
        <v>35.678709053369829</v>
      </c>
      <c r="F746" s="6">
        <f t="shared" si="193"/>
        <v>6.4829821717990272E-3</v>
      </c>
      <c r="G746" s="12">
        <f t="shared" si="194"/>
        <v>0.15229094663017406</v>
      </c>
    </row>
    <row r="747" spans="1:7" x14ac:dyDescent="0.3">
      <c r="A747" s="11" t="s">
        <v>745</v>
      </c>
      <c r="B747" s="7">
        <v>13580</v>
      </c>
      <c r="C747" s="7">
        <v>35.825000000000003</v>
      </c>
      <c r="D747" s="2">
        <f t="shared" si="178"/>
        <v>-6.0000000000002274E-3</v>
      </c>
      <c r="E747" s="8">
        <f t="shared" si="192"/>
        <v>35.672226071198033</v>
      </c>
      <c r="F747" s="6">
        <f t="shared" si="193"/>
        <v>6.4829821717990272E-3</v>
      </c>
      <c r="G747" s="12">
        <f t="shared" si="194"/>
        <v>0.15277392880197027</v>
      </c>
    </row>
    <row r="748" spans="1:7" x14ac:dyDescent="0.3">
      <c r="A748" s="11" t="s">
        <v>746</v>
      </c>
      <c r="B748" s="7">
        <v>13600</v>
      </c>
      <c r="C748" s="7">
        <v>35.825000000000003</v>
      </c>
      <c r="D748" s="2">
        <f t="shared" si="178"/>
        <v>0</v>
      </c>
      <c r="E748" s="8">
        <f t="shared" si="192"/>
        <v>35.665743089026236</v>
      </c>
      <c r="F748" s="6">
        <f t="shared" si="193"/>
        <v>6.4829821717990272E-3</v>
      </c>
      <c r="G748" s="12">
        <f t="shared" si="194"/>
        <v>0.15925691097376671</v>
      </c>
    </row>
    <row r="749" spans="1:7" x14ac:dyDescent="0.3">
      <c r="A749" s="11" t="s">
        <v>747</v>
      </c>
      <c r="B749" s="7">
        <v>13620</v>
      </c>
      <c r="C749" s="7">
        <v>35.832999999999998</v>
      </c>
      <c r="D749" s="2">
        <f t="shared" si="178"/>
        <v>7.9999999999955662E-3</v>
      </c>
      <c r="E749" s="8">
        <f t="shared" si="192"/>
        <v>35.65926010685444</v>
      </c>
      <c r="F749" s="6">
        <f t="shared" si="193"/>
        <v>6.4829821717990272E-3</v>
      </c>
      <c r="G749" s="12">
        <f t="shared" si="194"/>
        <v>0.17373989314555871</v>
      </c>
    </row>
    <row r="750" spans="1:7" x14ac:dyDescent="0.3">
      <c r="A750" s="11" t="s">
        <v>748</v>
      </c>
      <c r="B750" s="7">
        <v>13640</v>
      </c>
      <c r="C750" s="7">
        <v>35.857999999999997</v>
      </c>
      <c r="D750" s="2">
        <f t="shared" si="178"/>
        <v>2.4999999999998579E-2</v>
      </c>
      <c r="E750" s="8">
        <f t="shared" si="192"/>
        <v>35.652777124682643</v>
      </c>
      <c r="F750" s="6">
        <f t="shared" si="193"/>
        <v>6.4829821717990272E-3</v>
      </c>
      <c r="G750" s="12">
        <f t="shared" si="194"/>
        <v>0.20522287531735373</v>
      </c>
    </row>
    <row r="751" spans="1:7" x14ac:dyDescent="0.3">
      <c r="A751" s="11" t="s">
        <v>749</v>
      </c>
      <c r="B751" s="7">
        <v>13660</v>
      </c>
      <c r="C751" s="7">
        <v>35.860999999999997</v>
      </c>
      <c r="D751" s="2">
        <f t="shared" si="178"/>
        <v>3.0000000000001137E-3</v>
      </c>
      <c r="E751" s="8">
        <f t="shared" ref="E751:E762" si="195">E750-F750</f>
        <v>35.646294142510847</v>
      </c>
      <c r="F751" s="6">
        <f t="shared" ref="F751:F762" si="196">F750</f>
        <v>6.4829821717990272E-3</v>
      </c>
      <c r="G751" s="12">
        <f t="shared" ref="G751:G764" si="197">C751-E751</f>
        <v>0.21470585748915028</v>
      </c>
    </row>
    <row r="752" spans="1:7" x14ac:dyDescent="0.3">
      <c r="A752" s="11" t="s">
        <v>750</v>
      </c>
      <c r="B752" s="7">
        <v>13680</v>
      </c>
      <c r="C752" s="7">
        <v>35.863999999999997</v>
      </c>
      <c r="D752" s="2">
        <f t="shared" si="178"/>
        <v>3.0000000000001137E-3</v>
      </c>
      <c r="E752" s="8">
        <f t="shared" si="195"/>
        <v>35.63981116033905</v>
      </c>
      <c r="F752" s="6">
        <f t="shared" si="196"/>
        <v>6.4829821717990272E-3</v>
      </c>
      <c r="G752" s="12">
        <f t="shared" si="197"/>
        <v>0.22418883966094683</v>
      </c>
    </row>
    <row r="753" spans="1:18" x14ac:dyDescent="0.3">
      <c r="A753" s="11" t="s">
        <v>751</v>
      </c>
      <c r="B753" s="7">
        <v>13700</v>
      </c>
      <c r="C753" s="7">
        <v>35.86</v>
      </c>
      <c r="D753" s="2">
        <f t="shared" si="178"/>
        <v>-3.9999999999977831E-3</v>
      </c>
      <c r="E753" s="8">
        <f t="shared" si="195"/>
        <v>35.633328178167254</v>
      </c>
      <c r="F753" s="6">
        <f t="shared" si="196"/>
        <v>6.4829821717990272E-3</v>
      </c>
      <c r="G753" s="12">
        <f t="shared" si="197"/>
        <v>0.22667182183274548</v>
      </c>
    </row>
    <row r="754" spans="1:18" x14ac:dyDescent="0.3">
      <c r="A754" s="11" t="s">
        <v>752</v>
      </c>
      <c r="B754" s="7">
        <v>13720</v>
      </c>
      <c r="C754" s="7">
        <v>35.838000000000001</v>
      </c>
      <c r="D754" s="2">
        <f t="shared" si="178"/>
        <v>-2.1999999999998465E-2</v>
      </c>
      <c r="E754" s="8">
        <f t="shared" si="195"/>
        <v>35.626845195995458</v>
      </c>
      <c r="F754" s="6">
        <f t="shared" si="196"/>
        <v>6.4829821717990272E-3</v>
      </c>
      <c r="G754" s="12">
        <f t="shared" si="197"/>
        <v>0.21115480400454345</v>
      </c>
    </row>
    <row r="755" spans="1:18" x14ac:dyDescent="0.3">
      <c r="A755" s="11" t="s">
        <v>753</v>
      </c>
      <c r="B755" s="7">
        <v>13740</v>
      </c>
      <c r="C755" s="7">
        <v>35.831000000000003</v>
      </c>
      <c r="D755" s="2">
        <f t="shared" si="178"/>
        <v>-6.9999999999978968E-3</v>
      </c>
      <c r="E755" s="8">
        <f t="shared" si="195"/>
        <v>35.620362213823661</v>
      </c>
      <c r="F755" s="6">
        <f t="shared" si="196"/>
        <v>6.4829821717990272E-3</v>
      </c>
      <c r="G755" s="12">
        <f t="shared" si="197"/>
        <v>0.21063778617634199</v>
      </c>
    </row>
    <row r="756" spans="1:18" x14ac:dyDescent="0.3">
      <c r="A756" s="11" t="s">
        <v>754</v>
      </c>
      <c r="B756" s="7">
        <v>13760</v>
      </c>
      <c r="C756" s="7">
        <v>35.829000000000001</v>
      </c>
      <c r="D756" s="2">
        <f t="shared" si="178"/>
        <v>-2.0000000000024443E-3</v>
      </c>
      <c r="E756" s="8">
        <f t="shared" si="195"/>
        <v>35.613879231651865</v>
      </c>
      <c r="F756" s="6">
        <f t="shared" si="196"/>
        <v>6.4829821717990272E-3</v>
      </c>
      <c r="G756" s="12">
        <f t="shared" si="197"/>
        <v>0.21512076834813598</v>
      </c>
    </row>
    <row r="757" spans="1:18" x14ac:dyDescent="0.3">
      <c r="A757" s="11" t="s">
        <v>755</v>
      </c>
      <c r="B757" s="7">
        <v>13780</v>
      </c>
      <c r="C757" s="7">
        <v>35.822000000000003</v>
      </c>
      <c r="D757" s="2">
        <f t="shared" si="178"/>
        <v>-6.9999999999978968E-3</v>
      </c>
      <c r="E757" s="8">
        <f t="shared" si="195"/>
        <v>35.607396249480068</v>
      </c>
      <c r="F757" s="6">
        <f t="shared" si="196"/>
        <v>6.4829821717990272E-3</v>
      </c>
      <c r="G757" s="12">
        <f t="shared" si="197"/>
        <v>0.21460375051993452</v>
      </c>
    </row>
    <row r="758" spans="1:18" x14ac:dyDescent="0.3">
      <c r="A758" s="11" t="s">
        <v>756</v>
      </c>
      <c r="B758" s="7">
        <v>13800</v>
      </c>
      <c r="C758" s="7">
        <v>35.807000000000002</v>
      </c>
      <c r="D758" s="2">
        <f t="shared" si="178"/>
        <v>-1.5000000000000568E-2</v>
      </c>
      <c r="E758" s="8">
        <f t="shared" si="195"/>
        <v>35.600913267308272</v>
      </c>
      <c r="F758" s="6">
        <f t="shared" si="196"/>
        <v>6.4829821717990272E-3</v>
      </c>
      <c r="G758" s="12">
        <f t="shared" si="197"/>
        <v>0.20608673269173039</v>
      </c>
    </row>
    <row r="759" spans="1:18" x14ac:dyDescent="0.3">
      <c r="A759" s="11" t="s">
        <v>757</v>
      </c>
      <c r="B759" s="7">
        <v>13820</v>
      </c>
      <c r="C759" s="7">
        <v>35.780999999999999</v>
      </c>
      <c r="D759" s="2">
        <f t="shared" si="178"/>
        <v>-2.6000000000003354E-2</v>
      </c>
      <c r="E759" s="8">
        <f t="shared" si="195"/>
        <v>35.594430285136475</v>
      </c>
      <c r="F759" s="6">
        <f t="shared" si="196"/>
        <v>6.4829821717990272E-3</v>
      </c>
      <c r="G759" s="12">
        <f t="shared" si="197"/>
        <v>0.18656971486352347</v>
      </c>
    </row>
    <row r="760" spans="1:18" x14ac:dyDescent="0.3">
      <c r="A760" s="11" t="s">
        <v>758</v>
      </c>
      <c r="B760" s="7">
        <v>13840</v>
      </c>
      <c r="C760" s="7">
        <v>35.737000000000002</v>
      </c>
      <c r="D760" s="2">
        <f t="shared" si="178"/>
        <v>-4.399999999999693E-2</v>
      </c>
      <c r="E760" s="8">
        <f t="shared" si="195"/>
        <v>35.587947302964679</v>
      </c>
      <c r="F760" s="6">
        <f t="shared" si="196"/>
        <v>6.4829821717990272E-3</v>
      </c>
      <c r="G760" s="12">
        <f t="shared" si="197"/>
        <v>0.14905269703532298</v>
      </c>
    </row>
    <row r="761" spans="1:18" x14ac:dyDescent="0.3">
      <c r="A761" s="11" t="s">
        <v>759</v>
      </c>
      <c r="B761" s="7">
        <v>13860</v>
      </c>
      <c r="C761" s="7">
        <v>35.664000000000001</v>
      </c>
      <c r="D761" s="2">
        <f>C761-C760</f>
        <v>-7.3000000000000398E-2</v>
      </c>
      <c r="E761" s="8">
        <f t="shared" si="195"/>
        <v>35.581464320792882</v>
      </c>
      <c r="F761" s="6">
        <f t="shared" si="196"/>
        <v>6.4829821717990272E-3</v>
      </c>
      <c r="G761" s="12">
        <f>C761-E761</f>
        <v>8.2535679207119017E-2</v>
      </c>
    </row>
    <row r="762" spans="1:18" x14ac:dyDescent="0.3">
      <c r="A762" s="11" t="s">
        <v>760</v>
      </c>
      <c r="B762" s="7">
        <v>13880</v>
      </c>
      <c r="C762" s="7">
        <v>35.575000000000003</v>
      </c>
      <c r="D762" s="2">
        <f t="shared" si="178"/>
        <v>-8.8999999999998636E-2</v>
      </c>
      <c r="E762" s="8">
        <f t="shared" si="195"/>
        <v>35.574981338621086</v>
      </c>
      <c r="F762" s="6">
        <f t="shared" si="196"/>
        <v>6.4829821717990272E-3</v>
      </c>
      <c r="G762" s="12">
        <f t="shared" ref="G762" si="198">C762-E762</f>
        <v>1.8661378916817739E-5</v>
      </c>
    </row>
    <row r="763" spans="1:18" x14ac:dyDescent="0.3">
      <c r="A763" s="11"/>
      <c r="B763" s="7"/>
      <c r="C763" s="7"/>
      <c r="D763" s="2"/>
      <c r="E763" s="8"/>
      <c r="F763" s="6"/>
      <c r="G763" s="12"/>
      <c r="H763" s="4" t="s">
        <v>3206</v>
      </c>
      <c r="J763" s="4"/>
      <c r="O763" s="3">
        <f>1/O764</f>
        <v>9.1743119266055051E-3</v>
      </c>
      <c r="P763" s="3">
        <f>O763*20</f>
        <v>0.1834862385321101</v>
      </c>
      <c r="Q763" s="3" t="s">
        <v>3200</v>
      </c>
      <c r="R763" s="3">
        <v>109</v>
      </c>
    </row>
    <row r="764" spans="1:18" x14ac:dyDescent="0.3">
      <c r="A764" s="11" t="s">
        <v>761</v>
      </c>
      <c r="B764" s="7">
        <v>13900</v>
      </c>
      <c r="C764" s="7">
        <v>35.472000000000001</v>
      </c>
      <c r="D764" s="2">
        <f>C764-C762</f>
        <v>-0.10300000000000153</v>
      </c>
      <c r="E764" s="8">
        <f>E762-F764</f>
        <v>35.391495100088974</v>
      </c>
      <c r="F764" s="6">
        <f>P763</f>
        <v>0.1834862385321101</v>
      </c>
      <c r="G764" s="12">
        <f t="shared" si="197"/>
        <v>8.0504899911026939E-2</v>
      </c>
      <c r="H764" s="3">
        <f>B762</f>
        <v>13880</v>
      </c>
      <c r="I764" s="3">
        <f>B795</f>
        <v>14500</v>
      </c>
      <c r="J764" s="3">
        <f>I764-H764</f>
        <v>620</v>
      </c>
      <c r="K764" s="5">
        <f>E762</f>
        <v>35.574981338621086</v>
      </c>
      <c r="L764" s="3">
        <f>C795</f>
        <v>29.890999999999998</v>
      </c>
      <c r="M764" s="5">
        <f>L764-K764</f>
        <v>-5.6839813386210878</v>
      </c>
      <c r="N764" s="3">
        <f>J764/M764</f>
        <v>-109.07847212433137</v>
      </c>
      <c r="O764" s="3">
        <v>109</v>
      </c>
    </row>
    <row r="765" spans="1:18" x14ac:dyDescent="0.3">
      <c r="A765" s="11" t="s">
        <v>762</v>
      </c>
      <c r="B765" s="7">
        <v>13920</v>
      </c>
      <c r="C765" s="7">
        <v>35.347999999999999</v>
      </c>
      <c r="D765" s="2">
        <f t="shared" si="178"/>
        <v>-0.12400000000000233</v>
      </c>
      <c r="E765" s="8">
        <f t="shared" ref="E765:E767" si="199">E764-F764</f>
        <v>35.208008861556863</v>
      </c>
      <c r="F765" s="6">
        <f t="shared" ref="F765:F794" si="200">F764</f>
        <v>0.1834862385321101</v>
      </c>
      <c r="G765" s="12">
        <f t="shared" ref="G765:G794" si="201">C765-E765</f>
        <v>0.13999113844313626</v>
      </c>
    </row>
    <row r="766" spans="1:18" x14ac:dyDescent="0.3">
      <c r="A766" s="11" t="s">
        <v>763</v>
      </c>
      <c r="B766" s="7">
        <v>13940</v>
      </c>
      <c r="C766" s="7">
        <v>35.183999999999997</v>
      </c>
      <c r="D766" s="2">
        <f t="shared" si="178"/>
        <v>-0.16400000000000148</v>
      </c>
      <c r="E766" s="8">
        <f t="shared" si="199"/>
        <v>35.024522623024751</v>
      </c>
      <c r="F766" s="6">
        <f t="shared" si="200"/>
        <v>0.1834862385321101</v>
      </c>
      <c r="G766" s="12">
        <f t="shared" si="201"/>
        <v>0.15947737697524644</v>
      </c>
    </row>
    <row r="767" spans="1:18" x14ac:dyDescent="0.3">
      <c r="A767" s="11" t="s">
        <v>764</v>
      </c>
      <c r="B767" s="7">
        <v>13960</v>
      </c>
      <c r="C767" s="7">
        <v>35</v>
      </c>
      <c r="D767" s="2">
        <f t="shared" si="178"/>
        <v>-0.1839999999999975</v>
      </c>
      <c r="E767" s="8">
        <f t="shared" si="199"/>
        <v>34.841036384492639</v>
      </c>
      <c r="F767" s="6">
        <f t="shared" si="200"/>
        <v>0.1834862385321101</v>
      </c>
      <c r="G767" s="12">
        <f t="shared" si="201"/>
        <v>0.1589636155073606</v>
      </c>
    </row>
    <row r="768" spans="1:18" x14ac:dyDescent="0.3">
      <c r="A768" s="13" t="s">
        <v>765</v>
      </c>
      <c r="B768" s="24"/>
      <c r="C768" s="25"/>
      <c r="D768" s="25"/>
      <c r="E768" s="25"/>
      <c r="F768" s="25"/>
      <c r="G768" s="26"/>
    </row>
    <row r="769" spans="1:13" x14ac:dyDescent="0.3">
      <c r="A769" s="11" t="s">
        <v>766</v>
      </c>
      <c r="B769" s="7">
        <v>13980</v>
      </c>
      <c r="C769" s="7">
        <v>34.804000000000002</v>
      </c>
      <c r="D769" s="2">
        <f>C769-C767</f>
        <v>-0.19599999999999795</v>
      </c>
      <c r="E769" s="8">
        <f>E767-F767</f>
        <v>34.657550145960528</v>
      </c>
      <c r="F769" s="6">
        <f>F767</f>
        <v>0.1834862385321101</v>
      </c>
      <c r="G769" s="12">
        <f t="shared" si="201"/>
        <v>0.1464498540394743</v>
      </c>
    </row>
    <row r="770" spans="1:13" x14ac:dyDescent="0.3">
      <c r="A770" s="11" t="s">
        <v>767</v>
      </c>
      <c r="B770" s="7">
        <v>14000</v>
      </c>
      <c r="C770" s="7">
        <v>34.601999999999997</v>
      </c>
      <c r="D770" s="2">
        <f>C770-C769</f>
        <v>-0.20200000000000529</v>
      </c>
      <c r="E770" s="8">
        <f>E769-F770</f>
        <v>34.474063907428416</v>
      </c>
      <c r="F770" s="6">
        <f>F769</f>
        <v>0.1834862385321101</v>
      </c>
      <c r="G770" s="12">
        <f>C770-E770</f>
        <v>0.12793609257158067</v>
      </c>
      <c r="K770" s="5"/>
      <c r="M770" s="5"/>
    </row>
    <row r="771" spans="1:13" x14ac:dyDescent="0.3">
      <c r="A771" s="11" t="s">
        <v>768</v>
      </c>
      <c r="B771" s="7">
        <v>14020</v>
      </c>
      <c r="C771" s="7">
        <v>34.411999999999999</v>
      </c>
      <c r="D771" s="2">
        <f t="shared" si="178"/>
        <v>-0.18999999999999773</v>
      </c>
      <c r="E771" s="8">
        <f>E770-F770</f>
        <v>34.290577668896304</v>
      </c>
      <c r="F771" s="6">
        <f t="shared" ref="F771" si="202">F770</f>
        <v>0.1834862385321101</v>
      </c>
      <c r="G771" s="12">
        <f t="shared" ref="G771" si="203">C771-E771</f>
        <v>0.1214223311036946</v>
      </c>
    </row>
    <row r="772" spans="1:13" x14ac:dyDescent="0.3">
      <c r="A772" s="11" t="s">
        <v>769</v>
      </c>
      <c r="B772" s="7">
        <v>14040</v>
      </c>
      <c r="C772" s="7">
        <v>34.226999999999997</v>
      </c>
      <c r="D772" s="2">
        <f t="shared" si="178"/>
        <v>-0.18500000000000227</v>
      </c>
      <c r="E772" s="8">
        <f t="shared" ref="E772:E795" si="204">E771-F771</f>
        <v>34.107091430364193</v>
      </c>
      <c r="F772" s="6">
        <f t="shared" si="200"/>
        <v>0.1834862385321101</v>
      </c>
      <c r="G772" s="12">
        <f t="shared" si="201"/>
        <v>0.11990856963580399</v>
      </c>
    </row>
    <row r="773" spans="1:13" x14ac:dyDescent="0.3">
      <c r="A773" s="11" t="s">
        <v>770</v>
      </c>
      <c r="B773" s="7">
        <v>14060</v>
      </c>
      <c r="C773" s="7">
        <v>34.020000000000003</v>
      </c>
      <c r="D773" s="2">
        <f t="shared" si="178"/>
        <v>-0.20699999999999363</v>
      </c>
      <c r="E773" s="8">
        <f t="shared" si="204"/>
        <v>33.923605191832081</v>
      </c>
      <c r="F773" s="6">
        <f t="shared" si="200"/>
        <v>0.1834862385321101</v>
      </c>
      <c r="G773" s="12">
        <f t="shared" si="201"/>
        <v>9.6394808167922008E-2</v>
      </c>
    </row>
    <row r="774" spans="1:13" x14ac:dyDescent="0.3">
      <c r="A774" s="11" t="s">
        <v>771</v>
      </c>
      <c r="B774" s="7">
        <v>14080</v>
      </c>
      <c r="C774" s="7">
        <v>33.832000000000001</v>
      </c>
      <c r="D774" s="2">
        <f t="shared" si="178"/>
        <v>-0.18800000000000239</v>
      </c>
      <c r="E774" s="8">
        <f t="shared" si="204"/>
        <v>33.740118953299969</v>
      </c>
      <c r="F774" s="6">
        <f t="shared" si="200"/>
        <v>0.1834862385321101</v>
      </c>
      <c r="G774" s="12">
        <f t="shared" si="201"/>
        <v>9.1881046700031277E-2</v>
      </c>
    </row>
    <row r="775" spans="1:13" x14ac:dyDescent="0.3">
      <c r="A775" s="11" t="s">
        <v>772</v>
      </c>
      <c r="B775" s="7">
        <v>14100</v>
      </c>
      <c r="C775" s="7">
        <v>33.618000000000002</v>
      </c>
      <c r="D775" s="2">
        <f t="shared" si="178"/>
        <v>-0.21399999999999864</v>
      </c>
      <c r="E775" s="8">
        <f t="shared" si="204"/>
        <v>33.556632714767858</v>
      </c>
      <c r="F775" s="6">
        <f t="shared" si="200"/>
        <v>0.1834862385321101</v>
      </c>
      <c r="G775" s="12">
        <f t="shared" si="201"/>
        <v>6.1367285232144297E-2</v>
      </c>
    </row>
    <row r="776" spans="1:13" x14ac:dyDescent="0.3">
      <c r="A776" s="11" t="s">
        <v>773</v>
      </c>
      <c r="B776" s="7">
        <v>14120</v>
      </c>
      <c r="C776" s="7">
        <v>33.414999999999999</v>
      </c>
      <c r="D776" s="2">
        <f t="shared" ref="D776:D842" si="205">C776-C775</f>
        <v>-0.20300000000000296</v>
      </c>
      <c r="E776" s="8">
        <f t="shared" si="204"/>
        <v>33.373146476235746</v>
      </c>
      <c r="F776" s="6">
        <f t="shared" si="200"/>
        <v>0.1834862385321101</v>
      </c>
      <c r="G776" s="12">
        <f t="shared" si="201"/>
        <v>4.1853523764252998E-2</v>
      </c>
    </row>
    <row r="777" spans="1:13" x14ac:dyDescent="0.3">
      <c r="A777" s="11" t="s">
        <v>774</v>
      </c>
      <c r="B777" s="7">
        <v>14140</v>
      </c>
      <c r="C777" s="7">
        <v>33.225999999999999</v>
      </c>
      <c r="D777" s="2">
        <f t="shared" si="205"/>
        <v>-0.18900000000000006</v>
      </c>
      <c r="E777" s="8">
        <f t="shared" si="204"/>
        <v>33.189660237703634</v>
      </c>
      <c r="F777" s="6">
        <f t="shared" si="200"/>
        <v>0.1834862385321101</v>
      </c>
      <c r="G777" s="12">
        <f t="shared" si="201"/>
        <v>3.6339762296364597E-2</v>
      </c>
    </row>
    <row r="778" spans="1:13" x14ac:dyDescent="0.3">
      <c r="A778" s="11" t="s">
        <v>775</v>
      </c>
      <c r="B778" s="7">
        <v>14160</v>
      </c>
      <c r="C778" s="7">
        <v>33.027000000000001</v>
      </c>
      <c r="D778" s="2">
        <f t="shared" si="205"/>
        <v>-0.19899999999999807</v>
      </c>
      <c r="E778" s="8">
        <f t="shared" si="204"/>
        <v>33.006173999171523</v>
      </c>
      <c r="F778" s="6">
        <f t="shared" si="200"/>
        <v>0.1834862385321101</v>
      </c>
      <c r="G778" s="12">
        <f t="shared" si="201"/>
        <v>2.0826000828478186E-2</v>
      </c>
    </row>
    <row r="779" spans="1:13" x14ac:dyDescent="0.3">
      <c r="A779" s="11" t="s">
        <v>776</v>
      </c>
      <c r="B779" s="7">
        <v>14180</v>
      </c>
      <c r="C779" s="7">
        <v>32.795999999999999</v>
      </c>
      <c r="D779" s="2">
        <f t="shared" si="205"/>
        <v>-0.23100000000000165</v>
      </c>
      <c r="E779" s="8">
        <f t="shared" si="204"/>
        <v>32.822687760639411</v>
      </c>
      <c r="F779" s="6">
        <f t="shared" si="200"/>
        <v>0.1834862385321101</v>
      </c>
      <c r="G779" s="12">
        <f t="shared" si="201"/>
        <v>-2.6687760639411806E-2</v>
      </c>
    </row>
    <row r="780" spans="1:13" x14ac:dyDescent="0.3">
      <c r="A780" s="11" t="s">
        <v>777</v>
      </c>
      <c r="B780" s="7">
        <v>14200</v>
      </c>
      <c r="C780" s="7">
        <v>32.563000000000002</v>
      </c>
      <c r="D780" s="2">
        <f t="shared" si="205"/>
        <v>-0.23299999999999699</v>
      </c>
      <c r="E780" s="8">
        <f t="shared" si="204"/>
        <v>32.6392015221073</v>
      </c>
      <c r="F780" s="6">
        <f t="shared" si="200"/>
        <v>0.1834862385321101</v>
      </c>
      <c r="G780" s="12">
        <f t="shared" si="201"/>
        <v>-7.6201522107297137E-2</v>
      </c>
    </row>
    <row r="781" spans="1:13" x14ac:dyDescent="0.3">
      <c r="A781" s="11" t="s">
        <v>778</v>
      </c>
      <c r="B781" s="7">
        <v>14220</v>
      </c>
      <c r="C781" s="7">
        <v>32.359000000000002</v>
      </c>
      <c r="D781" s="2">
        <f t="shared" si="205"/>
        <v>-0.20400000000000063</v>
      </c>
      <c r="E781" s="8">
        <f t="shared" si="204"/>
        <v>32.455715283575188</v>
      </c>
      <c r="F781" s="6">
        <f t="shared" si="200"/>
        <v>0.1834862385321101</v>
      </c>
      <c r="G781" s="12">
        <f t="shared" si="201"/>
        <v>-9.6715283575186106E-2</v>
      </c>
    </row>
    <row r="782" spans="1:13" x14ac:dyDescent="0.3">
      <c r="A782" s="11" t="s">
        <v>779</v>
      </c>
      <c r="B782" s="7">
        <v>14240</v>
      </c>
      <c r="C782" s="7">
        <v>32.152000000000001</v>
      </c>
      <c r="D782" s="2">
        <f t="shared" si="205"/>
        <v>-0.20700000000000074</v>
      </c>
      <c r="E782" s="8">
        <f t="shared" si="204"/>
        <v>32.272229045043076</v>
      </c>
      <c r="F782" s="6">
        <f t="shared" si="200"/>
        <v>0.1834862385321101</v>
      </c>
      <c r="G782" s="12">
        <f t="shared" si="201"/>
        <v>-0.12022904504307519</v>
      </c>
    </row>
    <row r="783" spans="1:13" x14ac:dyDescent="0.3">
      <c r="A783" s="11" t="s">
        <v>780</v>
      </c>
      <c r="B783" s="7">
        <v>14260</v>
      </c>
      <c r="C783" s="7">
        <v>31.946999999999999</v>
      </c>
      <c r="D783" s="2">
        <f t="shared" si="205"/>
        <v>-0.20500000000000185</v>
      </c>
      <c r="E783" s="8">
        <f t="shared" si="204"/>
        <v>32.088742806510965</v>
      </c>
      <c r="F783" s="6">
        <f t="shared" si="200"/>
        <v>0.1834862385321101</v>
      </c>
      <c r="G783" s="12">
        <f t="shared" si="201"/>
        <v>-0.14174280651096538</v>
      </c>
    </row>
    <row r="784" spans="1:13" x14ac:dyDescent="0.3">
      <c r="A784" s="11" t="s">
        <v>781</v>
      </c>
      <c r="B784" s="7">
        <v>14280</v>
      </c>
      <c r="C784" s="7">
        <v>31.744</v>
      </c>
      <c r="D784" s="2">
        <f t="shared" si="205"/>
        <v>-0.2029999999999994</v>
      </c>
      <c r="E784" s="8">
        <f t="shared" si="204"/>
        <v>31.905256567978853</v>
      </c>
      <c r="F784" s="6">
        <f t="shared" si="200"/>
        <v>0.1834862385321101</v>
      </c>
      <c r="G784" s="12">
        <f t="shared" si="201"/>
        <v>-0.16125656797885313</v>
      </c>
    </row>
    <row r="785" spans="1:18" x14ac:dyDescent="0.3">
      <c r="A785" s="11" t="s">
        <v>782</v>
      </c>
      <c r="B785" s="7">
        <v>14300</v>
      </c>
      <c r="C785" s="7">
        <v>31.541</v>
      </c>
      <c r="D785" s="2">
        <f t="shared" si="205"/>
        <v>-0.2029999999999994</v>
      </c>
      <c r="E785" s="8">
        <f t="shared" si="204"/>
        <v>31.721770329446741</v>
      </c>
      <c r="F785" s="6">
        <f t="shared" si="200"/>
        <v>0.1834862385321101</v>
      </c>
      <c r="G785" s="12">
        <f t="shared" si="201"/>
        <v>-0.18077032944674087</v>
      </c>
    </row>
    <row r="786" spans="1:18" x14ac:dyDescent="0.3">
      <c r="A786" s="11" t="s">
        <v>783</v>
      </c>
      <c r="B786" s="7">
        <v>14320</v>
      </c>
      <c r="C786" s="7">
        <v>31.321999999999999</v>
      </c>
      <c r="D786" s="2">
        <f t="shared" si="205"/>
        <v>-0.21900000000000119</v>
      </c>
      <c r="E786" s="8">
        <f t="shared" si="204"/>
        <v>31.53828409091463</v>
      </c>
      <c r="F786" s="6">
        <f t="shared" si="200"/>
        <v>0.1834862385321101</v>
      </c>
      <c r="G786" s="12">
        <f t="shared" si="201"/>
        <v>-0.21628409091463041</v>
      </c>
    </row>
    <row r="787" spans="1:18" x14ac:dyDescent="0.3">
      <c r="A787" s="11" t="s">
        <v>784</v>
      </c>
      <c r="B787" s="7">
        <v>14340</v>
      </c>
      <c r="C787" s="7">
        <v>31.117000000000001</v>
      </c>
      <c r="D787" s="2">
        <f t="shared" si="205"/>
        <v>-0.20499999999999829</v>
      </c>
      <c r="E787" s="8">
        <f t="shared" si="204"/>
        <v>31.354797852382518</v>
      </c>
      <c r="F787" s="6">
        <f t="shared" si="200"/>
        <v>0.1834862385321101</v>
      </c>
      <c r="G787" s="12">
        <f t="shared" si="201"/>
        <v>-0.23779785238251705</v>
      </c>
    </row>
    <row r="788" spans="1:18" x14ac:dyDescent="0.3">
      <c r="A788" s="11" t="s">
        <v>785</v>
      </c>
      <c r="B788" s="7">
        <v>14360</v>
      </c>
      <c r="C788" s="7">
        <v>30.905999999999999</v>
      </c>
      <c r="D788" s="2">
        <f t="shared" si="205"/>
        <v>-0.21100000000000207</v>
      </c>
      <c r="E788" s="8">
        <f t="shared" si="204"/>
        <v>31.171311613850406</v>
      </c>
      <c r="F788" s="6">
        <f t="shared" si="200"/>
        <v>0.1834862385321101</v>
      </c>
      <c r="G788" s="12">
        <f t="shared" si="201"/>
        <v>-0.26531161385040747</v>
      </c>
    </row>
    <row r="789" spans="1:18" x14ac:dyDescent="0.3">
      <c r="A789" s="11" t="s">
        <v>786</v>
      </c>
      <c r="B789" s="7">
        <v>14380</v>
      </c>
      <c r="C789" s="7">
        <v>30.707000000000001</v>
      </c>
      <c r="D789" s="2">
        <f t="shared" si="205"/>
        <v>-0.19899999999999807</v>
      </c>
      <c r="E789" s="8">
        <f t="shared" si="204"/>
        <v>30.987825375318295</v>
      </c>
      <c r="F789" s="6">
        <f t="shared" si="200"/>
        <v>0.1834862385321101</v>
      </c>
      <c r="G789" s="12">
        <f t="shared" si="201"/>
        <v>-0.28082537531829388</v>
      </c>
    </row>
    <row r="790" spans="1:18" x14ac:dyDescent="0.3">
      <c r="A790" s="11" t="s">
        <v>787</v>
      </c>
      <c r="B790" s="7">
        <v>14400</v>
      </c>
      <c r="C790" s="7">
        <v>30.526</v>
      </c>
      <c r="D790" s="2">
        <f t="shared" si="205"/>
        <v>-0.18100000000000094</v>
      </c>
      <c r="E790" s="8">
        <f t="shared" si="204"/>
        <v>30.804339136786183</v>
      </c>
      <c r="F790" s="6">
        <f t="shared" si="200"/>
        <v>0.1834862385321101</v>
      </c>
      <c r="G790" s="12">
        <f t="shared" si="201"/>
        <v>-0.27833913678618316</v>
      </c>
    </row>
    <row r="791" spans="1:18" x14ac:dyDescent="0.3">
      <c r="A791" s="11" t="s">
        <v>788</v>
      </c>
      <c r="B791" s="7">
        <v>14420</v>
      </c>
      <c r="C791" s="7">
        <v>30.353000000000002</v>
      </c>
      <c r="D791" s="2">
        <f>C791-C790</f>
        <v>-0.17299999999999827</v>
      </c>
      <c r="E791" s="8">
        <f t="shared" si="204"/>
        <v>30.620852898254071</v>
      </c>
      <c r="F791" s="6">
        <f>F790</f>
        <v>0.1834862385321101</v>
      </c>
      <c r="G791" s="12">
        <f>C791-E791</f>
        <v>-0.26785289825406977</v>
      </c>
    </row>
    <row r="792" spans="1:18" x14ac:dyDescent="0.3">
      <c r="A792" s="11" t="s">
        <v>789</v>
      </c>
      <c r="B792" s="7">
        <v>14440</v>
      </c>
      <c r="C792" s="7">
        <v>30.210999999999999</v>
      </c>
      <c r="D792" s="2">
        <f t="shared" si="205"/>
        <v>-0.14200000000000301</v>
      </c>
      <c r="E792" s="8">
        <f t="shared" si="204"/>
        <v>30.43736665972196</v>
      </c>
      <c r="F792" s="6">
        <f t="shared" ref="F792" si="206">F791</f>
        <v>0.1834862385321101</v>
      </c>
      <c r="G792" s="12">
        <f t="shared" ref="G792" si="207">C792-E792</f>
        <v>-0.22636665972196113</v>
      </c>
    </row>
    <row r="793" spans="1:18" x14ac:dyDescent="0.3">
      <c r="A793" s="11" t="s">
        <v>790</v>
      </c>
      <c r="B793" s="7">
        <v>14460</v>
      </c>
      <c r="C793" s="7">
        <v>30.091999999999999</v>
      </c>
      <c r="D793" s="2">
        <f>C793-C792</f>
        <v>-0.11899999999999977</v>
      </c>
      <c r="E793" s="8">
        <f t="shared" si="204"/>
        <v>30.253880421189848</v>
      </c>
      <c r="F793" s="6">
        <f>F792</f>
        <v>0.1834862385321101</v>
      </c>
      <c r="G793" s="12">
        <f t="shared" si="201"/>
        <v>-0.16188042118984924</v>
      </c>
    </row>
    <row r="794" spans="1:18" x14ac:dyDescent="0.3">
      <c r="A794" s="11" t="s">
        <v>791</v>
      </c>
      <c r="B794" s="7">
        <v>14480</v>
      </c>
      <c r="C794" s="7">
        <v>29.986000000000001</v>
      </c>
      <c r="D794" s="2">
        <f t="shared" si="205"/>
        <v>-0.1059999999999981</v>
      </c>
      <c r="E794" s="8">
        <f t="shared" si="204"/>
        <v>30.070394182657736</v>
      </c>
      <c r="F794" s="6">
        <f t="shared" si="200"/>
        <v>0.1834862385321101</v>
      </c>
      <c r="G794" s="12">
        <f t="shared" si="201"/>
        <v>-8.4394182657735684E-2</v>
      </c>
    </row>
    <row r="795" spans="1:18" x14ac:dyDescent="0.3">
      <c r="A795" s="11" t="s">
        <v>792</v>
      </c>
      <c r="B795" s="7">
        <v>14500</v>
      </c>
      <c r="C795" s="7">
        <v>29.890999999999998</v>
      </c>
      <c r="D795" s="2">
        <f>C795-C794</f>
        <v>-9.5000000000002416E-2</v>
      </c>
      <c r="E795" s="8">
        <f t="shared" si="204"/>
        <v>29.886907944125625</v>
      </c>
      <c r="F795" s="6">
        <f>F794</f>
        <v>0.1834862385321101</v>
      </c>
      <c r="G795" s="12">
        <f t="shared" ref="G795:G811" si="208">C795-E795</f>
        <v>4.0920558743735569E-3</v>
      </c>
    </row>
    <row r="796" spans="1:18" x14ac:dyDescent="0.3">
      <c r="A796" s="11"/>
      <c r="B796" s="7"/>
      <c r="C796" s="7"/>
      <c r="D796" s="2"/>
      <c r="E796" s="8"/>
      <c r="F796" s="6"/>
      <c r="G796" s="12"/>
      <c r="H796" s="4" t="s">
        <v>3207</v>
      </c>
      <c r="J796" s="4"/>
      <c r="O796" s="3">
        <f>1/O797</f>
        <v>2.1186440677966102E-3</v>
      </c>
      <c r="P796" s="3">
        <f>O796*20</f>
        <v>4.2372881355932202E-2</v>
      </c>
      <c r="Q796" s="3" t="s">
        <v>3200</v>
      </c>
      <c r="R796" s="3">
        <v>472</v>
      </c>
    </row>
    <row r="797" spans="1:18" x14ac:dyDescent="0.3">
      <c r="A797" s="11" t="s">
        <v>793</v>
      </c>
      <c r="B797" s="7">
        <v>14520</v>
      </c>
      <c r="C797" s="7">
        <v>29.81</v>
      </c>
      <c r="D797" s="2">
        <f>C797-C795</f>
        <v>-8.0999999999999517E-2</v>
      </c>
      <c r="E797" s="8">
        <f>E795-F797</f>
        <v>29.844535062769694</v>
      </c>
      <c r="F797" s="6">
        <f>P796</f>
        <v>4.2372881355932202E-2</v>
      </c>
      <c r="G797" s="12">
        <f t="shared" si="208"/>
        <v>-3.4535062769695202E-2</v>
      </c>
      <c r="H797" s="3">
        <f>B795</f>
        <v>14500</v>
      </c>
      <c r="I797" s="3">
        <f>B836</f>
        <v>15280</v>
      </c>
      <c r="J797" s="3">
        <f>I797-H797</f>
        <v>780</v>
      </c>
      <c r="K797" s="5">
        <f>E795</f>
        <v>29.886907944125625</v>
      </c>
      <c r="L797" s="3">
        <f>C836</f>
        <v>28.234999999999999</v>
      </c>
      <c r="M797" s="5">
        <f>L797-K797</f>
        <v>-1.6519079441256252</v>
      </c>
      <c r="N797" s="3">
        <f>J797/M797</f>
        <v>-472.18127546015489</v>
      </c>
      <c r="O797" s="3">
        <v>472</v>
      </c>
    </row>
    <row r="798" spans="1:18" x14ac:dyDescent="0.3">
      <c r="A798" s="11" t="s">
        <v>794</v>
      </c>
      <c r="B798" s="7">
        <v>14540</v>
      </c>
      <c r="C798" s="7">
        <v>29.736999999999998</v>
      </c>
      <c r="D798" s="2">
        <f t="shared" si="205"/>
        <v>-7.3000000000000398E-2</v>
      </c>
      <c r="E798" s="8">
        <f t="shared" ref="E798:E819" si="209">E797-F797</f>
        <v>29.802162181413763</v>
      </c>
      <c r="F798" s="6">
        <f t="shared" ref="F798:F819" si="210">F797</f>
        <v>4.2372881355932202E-2</v>
      </c>
      <c r="G798" s="12">
        <f t="shared" si="208"/>
        <v>-6.5162181413764841E-2</v>
      </c>
    </row>
    <row r="799" spans="1:18" x14ac:dyDescent="0.3">
      <c r="A799" s="11" t="s">
        <v>795</v>
      </c>
      <c r="B799" s="7">
        <v>14560</v>
      </c>
      <c r="C799" s="7">
        <v>29.678999999999998</v>
      </c>
      <c r="D799" s="2">
        <f>C799-C798</f>
        <v>-5.7999999999999829E-2</v>
      </c>
      <c r="E799" s="8">
        <f t="shared" si="209"/>
        <v>29.759789300057832</v>
      </c>
      <c r="F799" s="6">
        <f t="shared" si="210"/>
        <v>4.2372881355932202E-2</v>
      </c>
      <c r="G799" s="12">
        <f>C799-E799</f>
        <v>-8.0789300057833913E-2</v>
      </c>
    </row>
    <row r="800" spans="1:18" x14ac:dyDescent="0.3">
      <c r="A800" s="11" t="s">
        <v>796</v>
      </c>
      <c r="B800" s="7">
        <v>14580</v>
      </c>
      <c r="C800" s="7">
        <v>29.648</v>
      </c>
      <c r="D800" s="2">
        <f t="shared" si="205"/>
        <v>-3.0999999999998806E-2</v>
      </c>
      <c r="E800" s="8">
        <f t="shared" si="209"/>
        <v>29.717416418701902</v>
      </c>
      <c r="F800" s="6">
        <f t="shared" si="210"/>
        <v>4.2372881355932202E-2</v>
      </c>
      <c r="G800" s="12">
        <f t="shared" ref="G800" si="211">C800-E800</f>
        <v>-6.9416418701901961E-2</v>
      </c>
    </row>
    <row r="801" spans="1:7" x14ac:dyDescent="0.3">
      <c r="A801" s="11" t="s">
        <v>797</v>
      </c>
      <c r="B801" s="7">
        <v>14600</v>
      </c>
      <c r="C801" s="7">
        <v>29.606000000000002</v>
      </c>
      <c r="D801" s="2">
        <f t="shared" si="205"/>
        <v>-4.1999999999998039E-2</v>
      </c>
      <c r="E801" s="8">
        <f t="shared" si="209"/>
        <v>29.675043537345971</v>
      </c>
      <c r="F801" s="6">
        <f t="shared" si="210"/>
        <v>4.2372881355932202E-2</v>
      </c>
      <c r="G801" s="12">
        <f t="shared" si="208"/>
        <v>-6.9043537345969241E-2</v>
      </c>
    </row>
    <row r="802" spans="1:7" x14ac:dyDescent="0.3">
      <c r="A802" s="11" t="s">
        <v>798</v>
      </c>
      <c r="B802" s="7">
        <v>14620</v>
      </c>
      <c r="C802" s="7">
        <v>29.547999999999998</v>
      </c>
      <c r="D802" s="2">
        <f t="shared" si="205"/>
        <v>-5.8000000000003382E-2</v>
      </c>
      <c r="E802" s="8">
        <f t="shared" si="209"/>
        <v>29.63267065599004</v>
      </c>
      <c r="F802" s="6">
        <f t="shared" si="210"/>
        <v>4.2372881355932202E-2</v>
      </c>
      <c r="G802" s="12">
        <f t="shared" si="208"/>
        <v>-8.4670655990041865E-2</v>
      </c>
    </row>
    <row r="803" spans="1:7" x14ac:dyDescent="0.3">
      <c r="A803" s="11" t="s">
        <v>799</v>
      </c>
      <c r="B803" s="7">
        <v>14640</v>
      </c>
      <c r="C803" s="7">
        <v>29.501000000000001</v>
      </c>
      <c r="D803" s="2">
        <f t="shared" si="205"/>
        <v>-4.6999999999997044E-2</v>
      </c>
      <c r="E803" s="8">
        <f t="shared" si="209"/>
        <v>29.590297774634109</v>
      </c>
      <c r="F803" s="6">
        <f t="shared" si="210"/>
        <v>4.2372881355932202E-2</v>
      </c>
      <c r="G803" s="12">
        <f t="shared" si="208"/>
        <v>-8.9297774634108151E-2</v>
      </c>
    </row>
    <row r="804" spans="1:7" x14ac:dyDescent="0.3">
      <c r="A804" s="11" t="s">
        <v>800</v>
      </c>
      <c r="B804" s="7">
        <v>14660</v>
      </c>
      <c r="C804" s="7">
        <v>29.452999999999999</v>
      </c>
      <c r="D804" s="2">
        <f t="shared" si="205"/>
        <v>-4.8000000000001819E-2</v>
      </c>
      <c r="E804" s="8">
        <f t="shared" si="209"/>
        <v>29.547924893278179</v>
      </c>
      <c r="F804" s="6">
        <f t="shared" si="210"/>
        <v>4.2372881355932202E-2</v>
      </c>
      <c r="G804" s="12">
        <f t="shared" si="208"/>
        <v>-9.4924893278179212E-2</v>
      </c>
    </row>
    <row r="805" spans="1:7" x14ac:dyDescent="0.3">
      <c r="A805" s="11" t="s">
        <v>801</v>
      </c>
      <c r="B805" s="7">
        <v>14680</v>
      </c>
      <c r="C805" s="7">
        <v>29.423999999999999</v>
      </c>
      <c r="D805" s="2">
        <f t="shared" si="205"/>
        <v>-2.8999999999999915E-2</v>
      </c>
      <c r="E805" s="8">
        <f t="shared" si="209"/>
        <v>29.505552011922248</v>
      </c>
      <c r="F805" s="6">
        <f t="shared" si="210"/>
        <v>4.2372881355932202E-2</v>
      </c>
      <c r="G805" s="12">
        <f t="shared" si="208"/>
        <v>-8.1552011922248369E-2</v>
      </c>
    </row>
    <row r="806" spans="1:7" x14ac:dyDescent="0.3">
      <c r="A806" s="11" t="s">
        <v>802</v>
      </c>
      <c r="B806" s="7">
        <v>14700</v>
      </c>
      <c r="C806" s="7">
        <v>29.390999999999998</v>
      </c>
      <c r="D806" s="2">
        <f t="shared" si="205"/>
        <v>-3.3000000000001251E-2</v>
      </c>
      <c r="E806" s="8">
        <f t="shared" si="209"/>
        <v>29.463179130566317</v>
      </c>
      <c r="F806" s="6">
        <f t="shared" si="210"/>
        <v>4.2372881355932202E-2</v>
      </c>
      <c r="G806" s="12">
        <f t="shared" si="208"/>
        <v>-7.2179130566318861E-2</v>
      </c>
    </row>
    <row r="807" spans="1:7" x14ac:dyDescent="0.3">
      <c r="A807" s="11" t="s">
        <v>803</v>
      </c>
      <c r="B807" s="7">
        <v>14720</v>
      </c>
      <c r="C807" s="7">
        <v>29.344000000000001</v>
      </c>
      <c r="D807" s="2">
        <f t="shared" si="205"/>
        <v>-4.6999999999997044E-2</v>
      </c>
      <c r="E807" s="8">
        <f t="shared" si="209"/>
        <v>29.420806249210386</v>
      </c>
      <c r="F807" s="6">
        <f t="shared" si="210"/>
        <v>4.2372881355932202E-2</v>
      </c>
      <c r="G807" s="12">
        <f t="shared" si="208"/>
        <v>-7.6806249210385147E-2</v>
      </c>
    </row>
    <row r="808" spans="1:7" x14ac:dyDescent="0.3">
      <c r="A808" s="11" t="s">
        <v>804</v>
      </c>
      <c r="B808" s="7">
        <v>14740</v>
      </c>
      <c r="C808" s="7">
        <v>29.318000000000001</v>
      </c>
      <c r="D808" s="2">
        <f t="shared" si="205"/>
        <v>-2.5999999999999801E-2</v>
      </c>
      <c r="E808" s="8">
        <f t="shared" si="209"/>
        <v>29.378433367854456</v>
      </c>
      <c r="F808" s="6">
        <f t="shared" si="210"/>
        <v>4.2372881355932202E-2</v>
      </c>
      <c r="G808" s="12">
        <f t="shared" si="208"/>
        <v>-6.043336785445419E-2</v>
      </c>
    </row>
    <row r="809" spans="1:7" x14ac:dyDescent="0.3">
      <c r="A809" s="11" t="s">
        <v>805</v>
      </c>
      <c r="B809" s="7">
        <v>14760</v>
      </c>
      <c r="C809" s="7">
        <v>29.289000000000001</v>
      </c>
      <c r="D809" s="2">
        <f t="shared" si="205"/>
        <v>-2.8999999999999915E-2</v>
      </c>
      <c r="E809" s="8">
        <f t="shared" si="209"/>
        <v>29.336060486498525</v>
      </c>
      <c r="F809" s="6">
        <f t="shared" si="210"/>
        <v>4.2372881355932202E-2</v>
      </c>
      <c r="G809" s="12">
        <f t="shared" si="208"/>
        <v>-4.7060486498523346E-2</v>
      </c>
    </row>
    <row r="810" spans="1:7" x14ac:dyDescent="0.3">
      <c r="A810" s="11" t="s">
        <v>806</v>
      </c>
      <c r="B810" s="7">
        <v>14780</v>
      </c>
      <c r="C810" s="7">
        <v>29.251000000000001</v>
      </c>
      <c r="D810" s="2">
        <f t="shared" si="205"/>
        <v>-3.8000000000000256E-2</v>
      </c>
      <c r="E810" s="8">
        <f t="shared" si="209"/>
        <v>29.293687605142594</v>
      </c>
      <c r="F810" s="6">
        <f t="shared" si="210"/>
        <v>4.2372881355932202E-2</v>
      </c>
      <c r="G810" s="12">
        <f t="shared" si="208"/>
        <v>-4.2687605142592844E-2</v>
      </c>
    </row>
    <row r="811" spans="1:7" x14ac:dyDescent="0.3">
      <c r="A811" s="11" t="s">
        <v>807</v>
      </c>
      <c r="B811" s="7">
        <v>14800</v>
      </c>
      <c r="C811" s="7">
        <v>29.210999999999999</v>
      </c>
      <c r="D811" s="2">
        <f t="shared" si="205"/>
        <v>-4.00000000000027E-2</v>
      </c>
      <c r="E811" s="8">
        <f t="shared" si="209"/>
        <v>29.251314723786663</v>
      </c>
      <c r="F811" s="6">
        <f t="shared" si="210"/>
        <v>4.2372881355932202E-2</v>
      </c>
      <c r="G811" s="12">
        <f t="shared" si="208"/>
        <v>-4.0314723786664786E-2</v>
      </c>
    </row>
    <row r="812" spans="1:7" x14ac:dyDescent="0.3">
      <c r="A812" s="11" t="s">
        <v>808</v>
      </c>
      <c r="B812" s="7">
        <v>14820</v>
      </c>
      <c r="C812" s="7">
        <v>29.167999999999999</v>
      </c>
      <c r="D812" s="2">
        <f t="shared" si="205"/>
        <v>-4.2999999999999261E-2</v>
      </c>
      <c r="E812" s="8">
        <f t="shared" si="209"/>
        <v>29.208941842430733</v>
      </c>
      <c r="F812" s="6">
        <f t="shared" si="210"/>
        <v>4.2372881355932202E-2</v>
      </c>
      <c r="G812" s="12">
        <f t="shared" ref="G812:G822" si="212">C812-E812</f>
        <v>-4.0941842430733288E-2</v>
      </c>
    </row>
    <row r="813" spans="1:7" x14ac:dyDescent="0.3">
      <c r="A813" s="11" t="s">
        <v>809</v>
      </c>
      <c r="B813" s="7">
        <v>14840</v>
      </c>
      <c r="C813" s="7">
        <v>29.117000000000001</v>
      </c>
      <c r="D813" s="2">
        <f t="shared" si="205"/>
        <v>-5.099999999999838E-2</v>
      </c>
      <c r="E813" s="8">
        <f t="shared" si="209"/>
        <v>29.166568961074802</v>
      </c>
      <c r="F813" s="6">
        <f t="shared" si="210"/>
        <v>4.2372881355932202E-2</v>
      </c>
      <c r="G813" s="12">
        <f t="shared" si="212"/>
        <v>-4.956896107480091E-2</v>
      </c>
    </row>
    <row r="814" spans="1:7" x14ac:dyDescent="0.3">
      <c r="A814" s="11" t="s">
        <v>810</v>
      </c>
      <c r="B814" s="7">
        <v>14860</v>
      </c>
      <c r="C814" s="7">
        <v>29.07</v>
      </c>
      <c r="D814" s="2">
        <f t="shared" si="205"/>
        <v>-4.7000000000000597E-2</v>
      </c>
      <c r="E814" s="8">
        <f t="shared" si="209"/>
        <v>29.124196079718871</v>
      </c>
      <c r="F814" s="6">
        <f t="shared" si="210"/>
        <v>4.2372881355932202E-2</v>
      </c>
      <c r="G814" s="12">
        <f t="shared" si="212"/>
        <v>-5.4196079718870749E-2</v>
      </c>
    </row>
    <row r="815" spans="1:7" x14ac:dyDescent="0.3">
      <c r="A815" s="11" t="s">
        <v>811</v>
      </c>
      <c r="B815" s="7">
        <v>14880</v>
      </c>
      <c r="C815" s="7">
        <v>29.03</v>
      </c>
      <c r="D815" s="2">
        <f t="shared" si="205"/>
        <v>-3.9999999999999147E-2</v>
      </c>
      <c r="E815" s="8">
        <f t="shared" si="209"/>
        <v>29.08182319836294</v>
      </c>
      <c r="F815" s="6">
        <f t="shared" si="210"/>
        <v>4.2372881355932202E-2</v>
      </c>
      <c r="G815" s="12">
        <f t="shared" si="212"/>
        <v>-5.1823198362939138E-2</v>
      </c>
    </row>
    <row r="816" spans="1:7" x14ac:dyDescent="0.3">
      <c r="A816" s="11" t="s">
        <v>812</v>
      </c>
      <c r="B816" s="7">
        <v>14900</v>
      </c>
      <c r="C816" s="7">
        <v>28.963000000000001</v>
      </c>
      <c r="D816" s="2">
        <f t="shared" si="205"/>
        <v>-6.7000000000000171E-2</v>
      </c>
      <c r="E816" s="8">
        <f t="shared" si="209"/>
        <v>29.03945031700701</v>
      </c>
      <c r="F816" s="6">
        <f t="shared" si="210"/>
        <v>4.2372881355932202E-2</v>
      </c>
      <c r="G816" s="12">
        <f t="shared" si="212"/>
        <v>-7.645031700700855E-2</v>
      </c>
    </row>
    <row r="817" spans="1:7" x14ac:dyDescent="0.3">
      <c r="A817" s="11" t="s">
        <v>813</v>
      </c>
      <c r="B817" s="7">
        <v>14920</v>
      </c>
      <c r="C817" s="7">
        <v>28.907</v>
      </c>
      <c r="D817" s="2">
        <f t="shared" si="205"/>
        <v>-5.6000000000000938E-2</v>
      </c>
      <c r="E817" s="8">
        <f t="shared" si="209"/>
        <v>28.997077435651079</v>
      </c>
      <c r="F817" s="6">
        <f t="shared" si="210"/>
        <v>4.2372881355932202E-2</v>
      </c>
      <c r="G817" s="12">
        <f t="shared" si="212"/>
        <v>-9.007743565107873E-2</v>
      </c>
    </row>
    <row r="818" spans="1:7" x14ac:dyDescent="0.3">
      <c r="A818" s="11" t="s">
        <v>814</v>
      </c>
      <c r="B818" s="7">
        <v>14940</v>
      </c>
      <c r="C818" s="7">
        <v>28.872</v>
      </c>
      <c r="D818" s="2">
        <f t="shared" si="205"/>
        <v>-3.5000000000000142E-2</v>
      </c>
      <c r="E818" s="8">
        <f t="shared" si="209"/>
        <v>28.954704554295148</v>
      </c>
      <c r="F818" s="6">
        <f t="shared" si="210"/>
        <v>4.2372881355932202E-2</v>
      </c>
      <c r="G818" s="12">
        <f t="shared" si="212"/>
        <v>-8.2704554295148114E-2</v>
      </c>
    </row>
    <row r="819" spans="1:7" x14ac:dyDescent="0.3">
      <c r="A819" s="11" t="s">
        <v>815</v>
      </c>
      <c r="B819" s="7">
        <v>14960</v>
      </c>
      <c r="C819" s="7">
        <v>28.849</v>
      </c>
      <c r="D819" s="2">
        <f t="shared" si="205"/>
        <v>-2.2999999999999687E-2</v>
      </c>
      <c r="E819" s="8">
        <f t="shared" si="209"/>
        <v>28.912331672939217</v>
      </c>
      <c r="F819" s="6">
        <f t="shared" si="210"/>
        <v>4.2372881355932202E-2</v>
      </c>
      <c r="G819" s="12">
        <f t="shared" si="212"/>
        <v>-6.3331672939217043E-2</v>
      </c>
    </row>
    <row r="820" spans="1:7" x14ac:dyDescent="0.3">
      <c r="A820" s="13" t="s">
        <v>816</v>
      </c>
      <c r="B820" s="24"/>
      <c r="C820" s="25"/>
      <c r="D820" s="25"/>
      <c r="E820" s="25"/>
      <c r="F820" s="25"/>
      <c r="G820" s="26"/>
    </row>
    <row r="821" spans="1:7" x14ac:dyDescent="0.3">
      <c r="A821" s="11" t="s">
        <v>817</v>
      </c>
      <c r="B821" s="7">
        <v>14980</v>
      </c>
      <c r="C821" s="7">
        <v>28.817</v>
      </c>
      <c r="D821" s="2">
        <f>C821-C819</f>
        <v>-3.2000000000000028E-2</v>
      </c>
      <c r="E821" s="8">
        <f>E819-F819</f>
        <v>28.869958791583286</v>
      </c>
      <c r="F821" s="6">
        <f>F819</f>
        <v>4.2372881355932202E-2</v>
      </c>
      <c r="G821" s="12">
        <f t="shared" si="212"/>
        <v>-5.2958791583286313E-2</v>
      </c>
    </row>
    <row r="822" spans="1:7" x14ac:dyDescent="0.3">
      <c r="A822" s="11" t="s">
        <v>818</v>
      </c>
      <c r="B822" s="7">
        <v>15000</v>
      </c>
      <c r="C822" s="7">
        <v>28.776</v>
      </c>
      <c r="D822" s="2">
        <f t="shared" si="205"/>
        <v>-4.1000000000000369E-2</v>
      </c>
      <c r="E822" s="8">
        <f t="shared" ref="E822" si="213">E821-F821</f>
        <v>28.827585910227356</v>
      </c>
      <c r="F822" s="6">
        <f t="shared" ref="F822" si="214">F821</f>
        <v>4.2372881355932202E-2</v>
      </c>
      <c r="G822" s="12">
        <f t="shared" si="212"/>
        <v>-5.1585910227355924E-2</v>
      </c>
    </row>
    <row r="823" spans="1:7" x14ac:dyDescent="0.3">
      <c r="A823" s="11" t="s">
        <v>819</v>
      </c>
      <c r="B823" s="7">
        <v>15020</v>
      </c>
      <c r="C823" s="7">
        <v>28.734999999999999</v>
      </c>
      <c r="D823" s="2">
        <f t="shared" si="205"/>
        <v>-4.1000000000000369E-2</v>
      </c>
      <c r="E823" s="8">
        <f t="shared" ref="E823:E836" si="215">E822-F822</f>
        <v>28.785213028871425</v>
      </c>
      <c r="F823" s="6">
        <f t="shared" ref="F823:F836" si="216">F822</f>
        <v>4.2372881355932202E-2</v>
      </c>
      <c r="G823" s="12">
        <f t="shared" ref="G823:G836" si="217">C823-E823</f>
        <v>-5.0213028871425536E-2</v>
      </c>
    </row>
    <row r="824" spans="1:7" x14ac:dyDescent="0.3">
      <c r="A824" s="11" t="s">
        <v>820</v>
      </c>
      <c r="B824" s="7">
        <v>15040</v>
      </c>
      <c r="C824" s="7">
        <v>28.675999999999998</v>
      </c>
      <c r="D824" s="2">
        <f t="shared" si="205"/>
        <v>-5.9000000000001052E-2</v>
      </c>
      <c r="E824" s="8">
        <f t="shared" si="215"/>
        <v>28.742840147515494</v>
      </c>
      <c r="F824" s="6">
        <f t="shared" si="216"/>
        <v>4.2372881355932202E-2</v>
      </c>
      <c r="G824" s="12">
        <f t="shared" si="217"/>
        <v>-6.6840147515495829E-2</v>
      </c>
    </row>
    <row r="825" spans="1:7" x14ac:dyDescent="0.3">
      <c r="A825" s="11" t="s">
        <v>821</v>
      </c>
      <c r="B825" s="7">
        <v>15060</v>
      </c>
      <c r="C825" s="7">
        <v>28.638000000000002</v>
      </c>
      <c r="D825" s="2">
        <f t="shared" si="205"/>
        <v>-3.7999999999996703E-2</v>
      </c>
      <c r="E825" s="8">
        <f t="shared" si="215"/>
        <v>28.700467266159563</v>
      </c>
      <c r="F825" s="6">
        <f t="shared" si="216"/>
        <v>4.2372881355932202E-2</v>
      </c>
      <c r="G825" s="12">
        <f t="shared" si="217"/>
        <v>-6.2467266159561774E-2</v>
      </c>
    </row>
    <row r="826" spans="1:7" x14ac:dyDescent="0.3">
      <c r="A826" s="11" t="s">
        <v>822</v>
      </c>
      <c r="B826" s="7">
        <v>15080</v>
      </c>
      <c r="C826" s="7">
        <v>28.625</v>
      </c>
      <c r="D826" s="2">
        <f t="shared" si="205"/>
        <v>-1.3000000000001677E-2</v>
      </c>
      <c r="E826" s="8">
        <f t="shared" si="215"/>
        <v>28.658094384803633</v>
      </c>
      <c r="F826" s="6">
        <f t="shared" si="216"/>
        <v>4.2372881355932202E-2</v>
      </c>
      <c r="G826" s="12">
        <f t="shared" si="217"/>
        <v>-3.3094384803632693E-2</v>
      </c>
    </row>
    <row r="827" spans="1:7" x14ac:dyDescent="0.3">
      <c r="A827" s="11" t="s">
        <v>823</v>
      </c>
      <c r="B827" s="7">
        <v>15100</v>
      </c>
      <c r="C827" s="7">
        <v>28.599</v>
      </c>
      <c r="D827" s="2">
        <f t="shared" si="205"/>
        <v>-2.5999999999999801E-2</v>
      </c>
      <c r="E827" s="8">
        <f t="shared" si="215"/>
        <v>28.615721503447702</v>
      </c>
      <c r="F827" s="6">
        <f t="shared" si="216"/>
        <v>4.2372881355932202E-2</v>
      </c>
      <c r="G827" s="12">
        <f t="shared" si="217"/>
        <v>-1.6721503447701735E-2</v>
      </c>
    </row>
    <row r="828" spans="1:7" x14ac:dyDescent="0.3">
      <c r="A828" s="11" t="s">
        <v>824</v>
      </c>
      <c r="B828" s="7">
        <v>15120</v>
      </c>
      <c r="C828" s="7">
        <v>28.564</v>
      </c>
      <c r="D828" s="2">
        <f t="shared" si="205"/>
        <v>-3.5000000000000142E-2</v>
      </c>
      <c r="E828" s="8">
        <f t="shared" si="215"/>
        <v>28.573348622091771</v>
      </c>
      <c r="F828" s="6">
        <f t="shared" si="216"/>
        <v>4.2372881355932202E-2</v>
      </c>
      <c r="G828" s="12">
        <f t="shared" si="217"/>
        <v>-9.3486220917711194E-3</v>
      </c>
    </row>
    <row r="829" spans="1:7" x14ac:dyDescent="0.3">
      <c r="A829" s="11" t="s">
        <v>825</v>
      </c>
      <c r="B829" s="7">
        <v>15140</v>
      </c>
      <c r="C829" s="7">
        <v>28.521999999999998</v>
      </c>
      <c r="D829" s="2">
        <f t="shared" si="205"/>
        <v>-4.2000000000001592E-2</v>
      </c>
      <c r="E829" s="8">
        <f t="shared" si="215"/>
        <v>28.53097574073584</v>
      </c>
      <c r="F829" s="6">
        <f t="shared" si="216"/>
        <v>4.2372881355932202E-2</v>
      </c>
      <c r="G829" s="12">
        <f t="shared" si="217"/>
        <v>-8.9757407358419528E-3</v>
      </c>
    </row>
    <row r="830" spans="1:7" x14ac:dyDescent="0.3">
      <c r="A830" s="11" t="s">
        <v>826</v>
      </c>
      <c r="B830" s="7">
        <v>15160</v>
      </c>
      <c r="C830" s="7">
        <v>28.478999999999999</v>
      </c>
      <c r="D830" s="2">
        <f t="shared" si="205"/>
        <v>-4.2999999999999261E-2</v>
      </c>
      <c r="E830" s="8">
        <f t="shared" si="215"/>
        <v>28.48860285937991</v>
      </c>
      <c r="F830" s="6">
        <f t="shared" si="216"/>
        <v>4.2372881355932202E-2</v>
      </c>
      <c r="G830" s="12">
        <f t="shared" si="217"/>
        <v>-9.6028593799104556E-3</v>
      </c>
    </row>
    <row r="831" spans="1:7" x14ac:dyDescent="0.3">
      <c r="A831" s="11" t="s">
        <v>827</v>
      </c>
      <c r="B831" s="7">
        <v>15180</v>
      </c>
      <c r="C831" s="7">
        <v>28.437999999999999</v>
      </c>
      <c r="D831" s="2">
        <f t="shared" si="205"/>
        <v>-4.1000000000000369E-2</v>
      </c>
      <c r="E831" s="8">
        <f t="shared" si="215"/>
        <v>28.446229978023979</v>
      </c>
      <c r="F831" s="6">
        <f t="shared" si="216"/>
        <v>4.2372881355932202E-2</v>
      </c>
      <c r="G831" s="12">
        <f t="shared" si="217"/>
        <v>-8.2299780239800668E-3</v>
      </c>
    </row>
    <row r="832" spans="1:7" x14ac:dyDescent="0.3">
      <c r="A832" s="11" t="s">
        <v>828</v>
      </c>
      <c r="B832" s="7">
        <v>15200</v>
      </c>
      <c r="C832" s="7">
        <v>28.399000000000001</v>
      </c>
      <c r="D832" s="2">
        <f t="shared" si="205"/>
        <v>-3.8999999999997925E-2</v>
      </c>
      <c r="E832" s="8">
        <f t="shared" si="215"/>
        <v>28.403857096668048</v>
      </c>
      <c r="F832" s="6">
        <f t="shared" si="216"/>
        <v>4.2372881355932202E-2</v>
      </c>
      <c r="G832" s="12">
        <f t="shared" si="217"/>
        <v>-4.8570966680472338E-3</v>
      </c>
    </row>
    <row r="833" spans="1:18" x14ac:dyDescent="0.3">
      <c r="A833" s="11" t="s">
        <v>829</v>
      </c>
      <c r="B833" s="7">
        <v>15220</v>
      </c>
      <c r="C833" s="7">
        <v>28.373000000000001</v>
      </c>
      <c r="D833" s="2">
        <f t="shared" si="205"/>
        <v>-2.5999999999999801E-2</v>
      </c>
      <c r="E833" s="8">
        <f t="shared" si="215"/>
        <v>28.361484215312117</v>
      </c>
      <c r="F833" s="6">
        <f t="shared" si="216"/>
        <v>4.2372881355932202E-2</v>
      </c>
      <c r="G833" s="12">
        <f t="shared" si="217"/>
        <v>1.1515784687883723E-2</v>
      </c>
    </row>
    <row r="834" spans="1:18" x14ac:dyDescent="0.3">
      <c r="A834" s="11" t="s">
        <v>830</v>
      </c>
      <c r="B834" s="7">
        <v>15240</v>
      </c>
      <c r="C834" s="7">
        <v>28.334</v>
      </c>
      <c r="D834" s="2">
        <f t="shared" si="205"/>
        <v>-3.9000000000001478E-2</v>
      </c>
      <c r="E834" s="8">
        <f t="shared" si="215"/>
        <v>28.319111333956187</v>
      </c>
      <c r="F834" s="6">
        <f t="shared" si="216"/>
        <v>4.2372881355932202E-2</v>
      </c>
      <c r="G834" s="12">
        <f t="shared" si="217"/>
        <v>1.4888666043813004E-2</v>
      </c>
    </row>
    <row r="835" spans="1:18" x14ac:dyDescent="0.3">
      <c r="A835" s="11" t="s">
        <v>831</v>
      </c>
      <c r="B835" s="7">
        <v>15260</v>
      </c>
      <c r="C835" s="7">
        <v>28.28</v>
      </c>
      <c r="D835" s="2">
        <f t="shared" si="205"/>
        <v>-5.3999999999998494E-2</v>
      </c>
      <c r="E835" s="8">
        <f t="shared" si="215"/>
        <v>28.276738452600256</v>
      </c>
      <c r="F835" s="6">
        <f t="shared" si="216"/>
        <v>4.2372881355932202E-2</v>
      </c>
      <c r="G835" s="12">
        <f t="shared" si="217"/>
        <v>3.2615473997452682E-3</v>
      </c>
    </row>
    <row r="836" spans="1:18" x14ac:dyDescent="0.3">
      <c r="A836" s="11" t="s">
        <v>832</v>
      </c>
      <c r="B836" s="7">
        <v>15280</v>
      </c>
      <c r="C836" s="7">
        <v>28.234999999999999</v>
      </c>
      <c r="D836" s="2">
        <f t="shared" si="205"/>
        <v>-4.5000000000001705E-2</v>
      </c>
      <c r="E836" s="8">
        <f t="shared" si="215"/>
        <v>28.234365571244325</v>
      </c>
      <c r="F836" s="6">
        <f t="shared" si="216"/>
        <v>4.2372881355932202E-2</v>
      </c>
      <c r="G836" s="12">
        <f t="shared" si="217"/>
        <v>6.3442875567432111E-4</v>
      </c>
    </row>
    <row r="837" spans="1:18" x14ac:dyDescent="0.3">
      <c r="A837" s="21"/>
      <c r="B837" s="22"/>
      <c r="C837" s="22"/>
      <c r="D837" s="22"/>
      <c r="E837" s="22"/>
      <c r="F837" s="22"/>
      <c r="G837" s="23"/>
      <c r="H837" s="4" t="s">
        <v>3195</v>
      </c>
      <c r="J837" s="4"/>
      <c r="O837" s="3">
        <f>1/O838</f>
        <v>8.6206896551724137E-3</v>
      </c>
      <c r="P837" s="3">
        <f>O837*20</f>
        <v>0.17241379310344829</v>
      </c>
      <c r="Q837" s="3" t="s">
        <v>3200</v>
      </c>
      <c r="R837" s="3">
        <v>116</v>
      </c>
    </row>
    <row r="838" spans="1:18" x14ac:dyDescent="0.3">
      <c r="A838" s="11" t="s">
        <v>833</v>
      </c>
      <c r="B838" s="7">
        <v>15300</v>
      </c>
      <c r="C838" s="7">
        <v>28.111999999999998</v>
      </c>
      <c r="D838" s="2">
        <f>C838-C836</f>
        <v>-0.12300000000000111</v>
      </c>
      <c r="E838" s="8">
        <f>E836-F838</f>
        <v>28.061951778140877</v>
      </c>
      <c r="F838" s="6">
        <f>P837</f>
        <v>0.17241379310344829</v>
      </c>
      <c r="G838" s="12">
        <f>C838-E838</f>
        <v>5.0048221859121611E-2</v>
      </c>
      <c r="H838" s="3">
        <f>B836</f>
        <v>15280</v>
      </c>
      <c r="I838" s="3">
        <f>B853</f>
        <v>15600</v>
      </c>
      <c r="J838" s="3">
        <f>I838-H838</f>
        <v>320</v>
      </c>
      <c r="K838" s="5">
        <f>E836</f>
        <v>28.234365571244325</v>
      </c>
      <c r="L838" s="3">
        <f>C853</f>
        <v>25.48</v>
      </c>
      <c r="M838" s="5">
        <f>L838-K838</f>
        <v>-2.7543655712443247</v>
      </c>
      <c r="N838" s="3">
        <f>J838/M838</f>
        <v>-116.17920414806643</v>
      </c>
      <c r="O838" s="3">
        <v>116</v>
      </c>
    </row>
    <row r="839" spans="1:18" x14ac:dyDescent="0.3">
      <c r="A839" s="11" t="s">
        <v>834</v>
      </c>
      <c r="B839" s="7">
        <v>15320</v>
      </c>
      <c r="C839" s="7">
        <v>27.925000000000001</v>
      </c>
      <c r="D839" s="2">
        <f t="shared" si="205"/>
        <v>-0.18699999999999761</v>
      </c>
      <c r="E839" s="8">
        <f>E838-F838</f>
        <v>27.889537985037428</v>
      </c>
      <c r="F839" s="6">
        <f t="shared" ref="F839" si="218">F838</f>
        <v>0.17241379310344829</v>
      </c>
      <c r="G839" s="12">
        <f t="shared" ref="G839" si="219">C839-E839</f>
        <v>3.5462014962572397E-2</v>
      </c>
    </row>
    <row r="840" spans="1:18" x14ac:dyDescent="0.3">
      <c r="A840" s="11" t="s">
        <v>835</v>
      </c>
      <c r="B840" s="7">
        <v>15340</v>
      </c>
      <c r="C840" s="7">
        <v>27.698</v>
      </c>
      <c r="D840" s="2">
        <f t="shared" si="205"/>
        <v>-0.22700000000000031</v>
      </c>
      <c r="E840" s="8">
        <f t="shared" ref="E840:E848" si="220">E839-F839</f>
        <v>27.71712419193398</v>
      </c>
      <c r="F840" s="6">
        <f t="shared" ref="F840:F848" si="221">F839</f>
        <v>0.17241379310344829</v>
      </c>
      <c r="G840" s="12">
        <f t="shared" ref="G840:G848" si="222">C840-E840</f>
        <v>-1.9124191933979517E-2</v>
      </c>
    </row>
    <row r="841" spans="1:18" x14ac:dyDescent="0.3">
      <c r="A841" s="11" t="s">
        <v>836</v>
      </c>
      <c r="B841" s="7">
        <v>15360</v>
      </c>
      <c r="C841" s="7">
        <v>27.486999999999998</v>
      </c>
      <c r="D841" s="2">
        <f t="shared" si="205"/>
        <v>-0.21100000000000207</v>
      </c>
      <c r="E841" s="8">
        <f t="shared" si="220"/>
        <v>27.544710398830532</v>
      </c>
      <c r="F841" s="6">
        <f t="shared" si="221"/>
        <v>0.17241379310344829</v>
      </c>
      <c r="G841" s="12">
        <f t="shared" si="222"/>
        <v>-5.7710398830533194E-2</v>
      </c>
    </row>
    <row r="842" spans="1:18" x14ac:dyDescent="0.3">
      <c r="A842" s="11" t="s">
        <v>837</v>
      </c>
      <c r="B842" s="7">
        <v>15380</v>
      </c>
      <c r="C842" s="7">
        <v>27.286000000000001</v>
      </c>
      <c r="D842" s="2">
        <f t="shared" si="205"/>
        <v>-0.20099999999999696</v>
      </c>
      <c r="E842" s="8">
        <f t="shared" si="220"/>
        <v>27.372296605727083</v>
      </c>
      <c r="F842" s="6">
        <f t="shared" si="221"/>
        <v>0.17241379310344829</v>
      </c>
      <c r="G842" s="12">
        <f t="shared" si="222"/>
        <v>-8.6296605727081754E-2</v>
      </c>
    </row>
    <row r="843" spans="1:18" x14ac:dyDescent="0.3">
      <c r="A843" s="11" t="s">
        <v>838</v>
      </c>
      <c r="B843" s="7">
        <v>15400</v>
      </c>
      <c r="C843" s="7">
        <v>27.091000000000001</v>
      </c>
      <c r="D843" s="2">
        <f t="shared" ref="D843:D918" si="223">C843-C842</f>
        <v>-0.19500000000000028</v>
      </c>
      <c r="E843" s="8">
        <f t="shared" si="220"/>
        <v>27.199882812623635</v>
      </c>
      <c r="F843" s="6">
        <f t="shared" si="221"/>
        <v>0.17241379310344829</v>
      </c>
      <c r="G843" s="12">
        <f t="shared" si="222"/>
        <v>-0.10888281262363364</v>
      </c>
    </row>
    <row r="844" spans="1:18" x14ac:dyDescent="0.3">
      <c r="A844" s="11" t="s">
        <v>839</v>
      </c>
      <c r="B844" s="7">
        <v>15420</v>
      </c>
      <c r="C844" s="7">
        <v>26.87</v>
      </c>
      <c r="D844" s="2">
        <f t="shared" si="223"/>
        <v>-0.22100000000000009</v>
      </c>
      <c r="E844" s="8">
        <f t="shared" si="220"/>
        <v>27.027469019520186</v>
      </c>
      <c r="F844" s="6">
        <f t="shared" si="221"/>
        <v>0.17241379310344829</v>
      </c>
      <c r="G844" s="12">
        <f t="shared" si="222"/>
        <v>-0.15746901952018533</v>
      </c>
    </row>
    <row r="845" spans="1:18" x14ac:dyDescent="0.3">
      <c r="A845" s="11" t="s">
        <v>840</v>
      </c>
      <c r="B845" s="7">
        <v>15440</v>
      </c>
      <c r="C845" s="7">
        <v>26.672000000000001</v>
      </c>
      <c r="D845" s="2">
        <f t="shared" si="223"/>
        <v>-0.1980000000000004</v>
      </c>
      <c r="E845" s="8">
        <f t="shared" si="220"/>
        <v>26.855055226416738</v>
      </c>
      <c r="F845" s="6">
        <f t="shared" si="221"/>
        <v>0.17241379310344829</v>
      </c>
      <c r="G845" s="12">
        <f t="shared" si="222"/>
        <v>-0.18305522641673733</v>
      </c>
    </row>
    <row r="846" spans="1:18" x14ac:dyDescent="0.3">
      <c r="A846" s="11" t="s">
        <v>841</v>
      </c>
      <c r="B846" s="7">
        <v>15460</v>
      </c>
      <c r="C846" s="7">
        <v>26.484000000000002</v>
      </c>
      <c r="D846" s="2">
        <f t="shared" si="223"/>
        <v>-0.18799999999999883</v>
      </c>
      <c r="E846" s="8">
        <f t="shared" si="220"/>
        <v>26.68264143331329</v>
      </c>
      <c r="F846" s="6">
        <f t="shared" si="221"/>
        <v>0.17241379310344829</v>
      </c>
      <c r="G846" s="12">
        <f t="shared" si="222"/>
        <v>-0.19864143331328776</v>
      </c>
    </row>
    <row r="847" spans="1:18" x14ac:dyDescent="0.3">
      <c r="A847" s="11" t="s">
        <v>842</v>
      </c>
      <c r="B847" s="7">
        <v>15480</v>
      </c>
      <c r="C847" s="7">
        <v>26.291</v>
      </c>
      <c r="D847" s="2">
        <f t="shared" si="223"/>
        <v>-0.19300000000000139</v>
      </c>
      <c r="E847" s="8">
        <f t="shared" si="220"/>
        <v>26.510227640209841</v>
      </c>
      <c r="F847" s="6">
        <f t="shared" si="221"/>
        <v>0.17241379310344829</v>
      </c>
      <c r="G847" s="12">
        <f t="shared" si="222"/>
        <v>-0.21922764020984076</v>
      </c>
    </row>
    <row r="848" spans="1:18" x14ac:dyDescent="0.3">
      <c r="A848" s="11" t="s">
        <v>843</v>
      </c>
      <c r="B848" s="7">
        <v>15500</v>
      </c>
      <c r="C848" s="7">
        <v>26.109000000000002</v>
      </c>
      <c r="D848" s="2">
        <f t="shared" si="223"/>
        <v>-0.18199999999999861</v>
      </c>
      <c r="E848" s="8">
        <f t="shared" si="220"/>
        <v>26.337813847106393</v>
      </c>
      <c r="F848" s="6">
        <f t="shared" si="221"/>
        <v>0.17241379310344829</v>
      </c>
      <c r="G848" s="12">
        <f t="shared" si="222"/>
        <v>-0.22881384710639097</v>
      </c>
    </row>
    <row r="849" spans="1:18" x14ac:dyDescent="0.3">
      <c r="A849" s="11" t="s">
        <v>844</v>
      </c>
      <c r="B849" s="7">
        <v>15520</v>
      </c>
      <c r="C849" s="7">
        <v>25.931000000000001</v>
      </c>
      <c r="D849" s="2">
        <f t="shared" si="223"/>
        <v>-0.17800000000000082</v>
      </c>
      <c r="E849" s="8">
        <f t="shared" ref="E849:E853" si="224">E848-F848</f>
        <v>26.165400054002944</v>
      </c>
      <c r="F849" s="6">
        <f t="shared" ref="F849:F858" si="225">F848</f>
        <v>0.17241379310344829</v>
      </c>
      <c r="G849" s="12">
        <f t="shared" ref="G849:G858" si="226">C849-E849</f>
        <v>-0.23440005400294339</v>
      </c>
    </row>
    <row r="850" spans="1:18" x14ac:dyDescent="0.3">
      <c r="A850" s="11" t="s">
        <v>845</v>
      </c>
      <c r="B850" s="7">
        <v>15540</v>
      </c>
      <c r="C850" s="7">
        <v>25.782</v>
      </c>
      <c r="D850" s="2">
        <f t="shared" si="223"/>
        <v>-0.14900000000000091</v>
      </c>
      <c r="E850" s="8">
        <f t="shared" si="224"/>
        <v>25.992986260899496</v>
      </c>
      <c r="F850" s="6">
        <f t="shared" si="225"/>
        <v>0.17241379310344829</v>
      </c>
      <c r="G850" s="12">
        <f t="shared" si="226"/>
        <v>-0.2109862608994959</v>
      </c>
    </row>
    <row r="851" spans="1:18" x14ac:dyDescent="0.3">
      <c r="A851" s="11" t="s">
        <v>846</v>
      </c>
      <c r="B851" s="7">
        <v>15560</v>
      </c>
      <c r="C851" s="7">
        <v>25.670999999999999</v>
      </c>
      <c r="D851" s="2">
        <f>C851-C850</f>
        <v>-0.11100000000000065</v>
      </c>
      <c r="E851" s="8">
        <f t="shared" si="224"/>
        <v>25.820572467796048</v>
      </c>
      <c r="F851" s="6">
        <f>F850</f>
        <v>0.17241379310344829</v>
      </c>
      <c r="G851" s="12">
        <f>C851-E851</f>
        <v>-0.14957246779604816</v>
      </c>
      <c r="K851" s="5"/>
      <c r="M851" s="5"/>
    </row>
    <row r="852" spans="1:18" x14ac:dyDescent="0.3">
      <c r="A852" s="11" t="s">
        <v>847</v>
      </c>
      <c r="B852" s="7">
        <v>15580</v>
      </c>
      <c r="C852" s="7">
        <v>25.597000000000001</v>
      </c>
      <c r="D852" s="2">
        <f t="shared" si="223"/>
        <v>-7.3999999999998067E-2</v>
      </c>
      <c r="E852" s="8">
        <f t="shared" si="224"/>
        <v>25.648158674692599</v>
      </c>
      <c r="F852" s="6">
        <f t="shared" ref="F852" si="227">F851</f>
        <v>0.17241379310344829</v>
      </c>
      <c r="G852" s="12">
        <f t="shared" ref="G852" si="228">C852-E852</f>
        <v>-5.1158674692597828E-2</v>
      </c>
    </row>
    <row r="853" spans="1:18" x14ac:dyDescent="0.3">
      <c r="A853" s="11" t="s">
        <v>848</v>
      </c>
      <c r="B853" s="7">
        <v>15600</v>
      </c>
      <c r="C853" s="7">
        <v>25.48</v>
      </c>
      <c r="D853" s="2">
        <f t="shared" si="223"/>
        <v>-0.11700000000000088</v>
      </c>
      <c r="E853" s="8">
        <f t="shared" si="224"/>
        <v>25.475744881589151</v>
      </c>
      <c r="F853" s="6">
        <f t="shared" si="225"/>
        <v>0.17241379310344829</v>
      </c>
      <c r="G853" s="12">
        <f t="shared" si="226"/>
        <v>4.2551184108496898E-3</v>
      </c>
    </row>
    <row r="854" spans="1:18" x14ac:dyDescent="0.3">
      <c r="A854" s="11"/>
      <c r="B854" s="7"/>
      <c r="C854" s="7"/>
      <c r="D854" s="2"/>
      <c r="E854" s="8"/>
      <c r="F854" s="6"/>
      <c r="G854" s="12"/>
      <c r="H854" s="4" t="s">
        <v>3163</v>
      </c>
      <c r="J854" s="4"/>
      <c r="O854" s="3">
        <f>1/O855</f>
        <v>3.9827943285008761E-5</v>
      </c>
      <c r="P854" s="3">
        <f>O854*20</f>
        <v>7.9655886570017523E-4</v>
      </c>
      <c r="Q854" s="3" t="s">
        <v>3163</v>
      </c>
      <c r="R854" s="3">
        <v>25108</v>
      </c>
    </row>
    <row r="855" spans="1:18" x14ac:dyDescent="0.3">
      <c r="A855" s="11" t="s">
        <v>849</v>
      </c>
      <c r="B855" s="7">
        <v>15620</v>
      </c>
      <c r="C855" s="7">
        <v>25.393000000000001</v>
      </c>
      <c r="D855" s="2">
        <f>C855-C853</f>
        <v>-8.6999999999999744E-2</v>
      </c>
      <c r="E855" s="8">
        <f>E853-F855</f>
        <v>25.474948322723449</v>
      </c>
      <c r="F855" s="6">
        <f>P854</f>
        <v>7.9655886570017523E-4</v>
      </c>
      <c r="G855" s="12">
        <f t="shared" si="226"/>
        <v>-8.1948322723448541E-2</v>
      </c>
      <c r="H855" s="3">
        <f>B853</f>
        <v>15600</v>
      </c>
      <c r="I855" s="3">
        <f>B873</f>
        <v>15920</v>
      </c>
      <c r="J855" s="3">
        <f>I855-H855</f>
        <v>320</v>
      </c>
      <c r="K855" s="5">
        <f>E853</f>
        <v>25.475744881589151</v>
      </c>
      <c r="L855" s="3">
        <f>C873</f>
        <v>25.463000000000001</v>
      </c>
      <c r="M855" s="5">
        <f>L855-K855</f>
        <v>-1.274488158914977E-2</v>
      </c>
      <c r="N855" s="3">
        <f>J855/M855</f>
        <v>-25108.11871900237</v>
      </c>
      <c r="O855" s="3">
        <v>25108</v>
      </c>
    </row>
    <row r="856" spans="1:18" x14ac:dyDescent="0.3">
      <c r="A856" s="11" t="s">
        <v>3193</v>
      </c>
      <c r="B856" s="62" t="s">
        <v>3194</v>
      </c>
      <c r="C856" s="63"/>
      <c r="D856" s="63"/>
      <c r="E856" s="63"/>
      <c r="F856" s="63"/>
      <c r="G856" s="64"/>
      <c r="K856" s="5"/>
      <c r="M856" s="5"/>
    </row>
    <row r="857" spans="1:18" x14ac:dyDescent="0.3">
      <c r="A857" s="11" t="s">
        <v>850</v>
      </c>
      <c r="B857" s="7">
        <v>15640</v>
      </c>
      <c r="C857" s="7">
        <v>25.364000000000001</v>
      </c>
      <c r="D857" s="2">
        <f>C857-C855</f>
        <v>-2.8999999999999915E-2</v>
      </c>
      <c r="E857" s="8">
        <f>E855-F855</f>
        <v>25.474151763857748</v>
      </c>
      <c r="F857" s="6">
        <f>F855</f>
        <v>7.9655886570017523E-4</v>
      </c>
      <c r="G857" s="12">
        <f t="shared" si="226"/>
        <v>-0.11015176385774694</v>
      </c>
    </row>
    <row r="858" spans="1:18" x14ac:dyDescent="0.3">
      <c r="A858" s="11" t="s">
        <v>851</v>
      </c>
      <c r="B858" s="7">
        <v>15660</v>
      </c>
      <c r="C858" s="7">
        <v>25.373000000000001</v>
      </c>
      <c r="D858" s="2">
        <f t="shared" si="223"/>
        <v>9.0000000000003411E-3</v>
      </c>
      <c r="E858" s="8">
        <f>E857-F857</f>
        <v>25.473355204992046</v>
      </c>
      <c r="F858" s="6">
        <f t="shared" si="225"/>
        <v>7.9655886570017523E-4</v>
      </c>
      <c r="G858" s="12">
        <f t="shared" si="226"/>
        <v>-0.10035520499204509</v>
      </c>
    </row>
    <row r="859" spans="1:18" x14ac:dyDescent="0.3">
      <c r="A859" s="11" t="s">
        <v>852</v>
      </c>
      <c r="B859" s="7">
        <v>15680</v>
      </c>
      <c r="C859" s="7">
        <v>25.38</v>
      </c>
      <c r="D859" s="2">
        <f>C859-C858</f>
        <v>6.9999999999978968E-3</v>
      </c>
      <c r="E859" s="8">
        <f>E858-F858</f>
        <v>25.472558646126345</v>
      </c>
      <c r="F859" s="6">
        <f>P854</f>
        <v>7.9655886570017523E-4</v>
      </c>
      <c r="G859" s="12">
        <f>C859-E859</f>
        <v>-9.2558646126345678E-2</v>
      </c>
    </row>
    <row r="860" spans="1:18" x14ac:dyDescent="0.3">
      <c r="A860" s="11" t="s">
        <v>3192</v>
      </c>
      <c r="B860" s="62" t="s">
        <v>3197</v>
      </c>
      <c r="C860" s="63"/>
      <c r="D860" s="63"/>
      <c r="E860" s="63"/>
      <c r="F860" s="63"/>
      <c r="G860" s="64"/>
      <c r="K860" s="5"/>
      <c r="M860" s="5"/>
    </row>
    <row r="861" spans="1:18" x14ac:dyDescent="0.3">
      <c r="A861" s="11" t="s">
        <v>853</v>
      </c>
      <c r="B861" s="7">
        <v>15700</v>
      </c>
      <c r="C861" s="7">
        <v>25.367000000000001</v>
      </c>
      <c r="D861" s="2">
        <f>C861-C859</f>
        <v>-1.2999999999998124E-2</v>
      </c>
      <c r="E861" s="8">
        <f>E859-F859</f>
        <v>25.471762087260643</v>
      </c>
      <c r="F861" s="6">
        <f t="shared" ref="F861" si="229">F859</f>
        <v>7.9655886570017523E-4</v>
      </c>
      <c r="G861" s="12">
        <f t="shared" ref="G861" si="230">C861-E861</f>
        <v>-0.10476208726064229</v>
      </c>
    </row>
    <row r="862" spans="1:18" x14ac:dyDescent="0.3">
      <c r="A862" s="11" t="s">
        <v>854</v>
      </c>
      <c r="B862" s="7">
        <v>15720</v>
      </c>
      <c r="C862" s="7">
        <v>25.359000000000002</v>
      </c>
      <c r="D862" s="2">
        <f t="shared" si="223"/>
        <v>-7.9999999999991189E-3</v>
      </c>
      <c r="E862" s="8">
        <f>E861-F861</f>
        <v>25.470965528394942</v>
      </c>
      <c r="F862" s="6">
        <f t="shared" ref="F862:F877" si="231">F861</f>
        <v>7.9655886570017523E-4</v>
      </c>
      <c r="G862" s="12">
        <f t="shared" ref="G862:G879" si="232">C862-E862</f>
        <v>-0.11196552839493989</v>
      </c>
    </row>
    <row r="863" spans="1:18" x14ac:dyDescent="0.3">
      <c r="A863" s="11" t="s">
        <v>855</v>
      </c>
      <c r="B863" s="7">
        <v>15740</v>
      </c>
      <c r="C863" s="7">
        <v>25.367999999999999</v>
      </c>
      <c r="D863" s="2">
        <f t="shared" si="223"/>
        <v>8.9999999999967883E-3</v>
      </c>
      <c r="E863" s="8">
        <f t="shared" ref="E863:E865" si="233">E862-F862</f>
        <v>25.47016896952924</v>
      </c>
      <c r="F863" s="6">
        <f t="shared" si="231"/>
        <v>7.9655886570017523E-4</v>
      </c>
      <c r="G863" s="12">
        <f t="shared" si="232"/>
        <v>-0.10216896952924159</v>
      </c>
    </row>
    <row r="864" spans="1:18" x14ac:dyDescent="0.3">
      <c r="A864" s="11" t="s">
        <v>856</v>
      </c>
      <c r="B864" s="7">
        <v>15760</v>
      </c>
      <c r="C864" s="7">
        <v>25.381</v>
      </c>
      <c r="D864" s="2">
        <f t="shared" si="223"/>
        <v>1.3000000000001677E-2</v>
      </c>
      <c r="E864" s="8">
        <f t="shared" si="233"/>
        <v>25.469372410663539</v>
      </c>
      <c r="F864" s="6">
        <f t="shared" si="231"/>
        <v>7.9655886570017523E-4</v>
      </c>
      <c r="G864" s="12">
        <f t="shared" si="232"/>
        <v>-8.8372410663538403E-2</v>
      </c>
    </row>
    <row r="865" spans="1:18" x14ac:dyDescent="0.3">
      <c r="A865" s="11" t="s">
        <v>857</v>
      </c>
      <c r="B865" s="7">
        <v>15780</v>
      </c>
      <c r="C865" s="7">
        <v>25.379000000000001</v>
      </c>
      <c r="D865" s="2">
        <f t="shared" si="223"/>
        <v>-1.9999999999988916E-3</v>
      </c>
      <c r="E865" s="8">
        <f t="shared" si="233"/>
        <v>25.468575851797837</v>
      </c>
      <c r="F865" s="6">
        <f t="shared" si="231"/>
        <v>7.9655886570017523E-4</v>
      </c>
      <c r="G865" s="12">
        <f t="shared" si="232"/>
        <v>-8.9575851797835782E-2</v>
      </c>
    </row>
    <row r="866" spans="1:18" x14ac:dyDescent="0.3">
      <c r="A866" s="11" t="s">
        <v>3196</v>
      </c>
      <c r="B866" s="62" t="s">
        <v>3198</v>
      </c>
      <c r="C866" s="63"/>
      <c r="D866" s="63"/>
      <c r="E866" s="63"/>
      <c r="F866" s="63"/>
      <c r="G866" s="64"/>
    </row>
    <row r="867" spans="1:18" x14ac:dyDescent="0.3">
      <c r="A867" s="11" t="s">
        <v>858</v>
      </c>
      <c r="B867" s="7">
        <v>15800</v>
      </c>
      <c r="C867" s="7">
        <v>25.388000000000002</v>
      </c>
      <c r="D867" s="2">
        <f>C867-C865</f>
        <v>9.0000000000003411E-3</v>
      </c>
      <c r="E867" s="8">
        <f>E865-F865</f>
        <v>25.467779292932136</v>
      </c>
      <c r="F867" s="6">
        <f>F865</f>
        <v>7.9655886570017523E-4</v>
      </c>
      <c r="G867" s="12">
        <f t="shared" si="232"/>
        <v>-7.9779292932133927E-2</v>
      </c>
    </row>
    <row r="868" spans="1:18" x14ac:dyDescent="0.3">
      <c r="A868" s="11" t="s">
        <v>859</v>
      </c>
      <c r="B868" s="7">
        <v>15820</v>
      </c>
      <c r="C868" s="7">
        <v>25.414000000000001</v>
      </c>
      <c r="D868" s="2">
        <f t="shared" si="223"/>
        <v>2.5999999999999801E-2</v>
      </c>
      <c r="E868" s="8">
        <f>E867-F867</f>
        <v>25.466982734066434</v>
      </c>
      <c r="F868" s="6">
        <f t="shared" si="231"/>
        <v>7.9655886570017523E-4</v>
      </c>
      <c r="G868" s="12">
        <f t="shared" si="232"/>
        <v>-5.2982734066432613E-2</v>
      </c>
    </row>
    <row r="869" spans="1:18" x14ac:dyDescent="0.3">
      <c r="A869" s="11" t="s">
        <v>860</v>
      </c>
      <c r="B869" s="7">
        <v>15840</v>
      </c>
      <c r="C869" s="7">
        <v>25.433</v>
      </c>
      <c r="D869" s="2">
        <f t="shared" si="223"/>
        <v>1.8999999999998352E-2</v>
      </c>
      <c r="E869" s="8">
        <f t="shared" ref="E869:E872" si="234">E868-F868</f>
        <v>25.466186175200733</v>
      </c>
      <c r="F869" s="6">
        <f t="shared" si="231"/>
        <v>7.9655886570017523E-4</v>
      </c>
      <c r="G869" s="12">
        <f t="shared" si="232"/>
        <v>-3.3186175200732748E-2</v>
      </c>
    </row>
    <row r="870" spans="1:18" x14ac:dyDescent="0.3">
      <c r="A870" s="11" t="s">
        <v>861</v>
      </c>
      <c r="B870" s="7">
        <v>15860</v>
      </c>
      <c r="C870" s="7">
        <v>25.431999999999999</v>
      </c>
      <c r="D870" s="2">
        <f t="shared" si="223"/>
        <v>-1.0000000000012221E-3</v>
      </c>
      <c r="E870" s="8">
        <f t="shared" si="234"/>
        <v>25.465389616335031</v>
      </c>
      <c r="F870" s="6">
        <f t="shared" si="231"/>
        <v>7.9655886570017523E-4</v>
      </c>
      <c r="G870" s="12">
        <f t="shared" si="232"/>
        <v>-3.3389616335032457E-2</v>
      </c>
    </row>
    <row r="871" spans="1:18" x14ac:dyDescent="0.3">
      <c r="A871" s="11" t="s">
        <v>862</v>
      </c>
      <c r="B871" s="7">
        <v>15880</v>
      </c>
      <c r="C871" s="7">
        <v>25.422000000000001</v>
      </c>
      <c r="D871" s="2">
        <f t="shared" si="223"/>
        <v>-9.9999999999980105E-3</v>
      </c>
      <c r="E871" s="8">
        <f t="shared" si="234"/>
        <v>25.46459305746933</v>
      </c>
      <c r="F871" s="6">
        <f t="shared" si="231"/>
        <v>7.9655886570017523E-4</v>
      </c>
      <c r="G871" s="12">
        <f t="shared" si="232"/>
        <v>-4.2593057469328954E-2</v>
      </c>
    </row>
    <row r="872" spans="1:18" x14ac:dyDescent="0.3">
      <c r="A872" s="11" t="s">
        <v>863</v>
      </c>
      <c r="B872" s="7">
        <v>15900</v>
      </c>
      <c r="C872" s="7">
        <v>25.439</v>
      </c>
      <c r="D872" s="2">
        <f t="shared" si="223"/>
        <v>1.699999999999946E-2</v>
      </c>
      <c r="E872" s="8">
        <f t="shared" si="234"/>
        <v>25.463796498603628</v>
      </c>
      <c r="F872" s="6">
        <f t="shared" si="231"/>
        <v>7.9655886570017523E-4</v>
      </c>
      <c r="G872" s="12">
        <f t="shared" si="232"/>
        <v>-2.4796498603627981E-2</v>
      </c>
    </row>
    <row r="873" spans="1:18" x14ac:dyDescent="0.3">
      <c r="A873" s="11" t="s">
        <v>864</v>
      </c>
      <c r="B873" s="7">
        <v>15920</v>
      </c>
      <c r="C873" s="7">
        <v>25.463000000000001</v>
      </c>
      <c r="D873" s="2">
        <f>C873-C872</f>
        <v>2.4000000000000909E-2</v>
      </c>
      <c r="E873" s="8">
        <f>E872-F873</f>
        <v>25.462999939737927</v>
      </c>
      <c r="F873" s="6">
        <f>F872</f>
        <v>7.9655886570017523E-4</v>
      </c>
      <c r="G873" s="12">
        <f t="shared" si="232"/>
        <v>6.0262074441652658E-8</v>
      </c>
    </row>
    <row r="874" spans="1:18" x14ac:dyDescent="0.3">
      <c r="A874" s="11"/>
      <c r="B874" s="7"/>
      <c r="C874" s="7"/>
      <c r="D874" s="2"/>
      <c r="E874" s="8"/>
      <c r="F874" s="6"/>
      <c r="G874" s="12"/>
      <c r="H874" s="4" t="s">
        <v>3295</v>
      </c>
      <c r="J874" s="4"/>
      <c r="O874" s="3">
        <f>1/O875</f>
        <v>2.4509803921568627E-3</v>
      </c>
      <c r="P874" s="3">
        <f>O874*20</f>
        <v>4.9019607843137254E-2</v>
      </c>
      <c r="Q874" s="3" t="s">
        <v>3200</v>
      </c>
      <c r="R874" s="3">
        <v>408</v>
      </c>
    </row>
    <row r="875" spans="1:18" x14ac:dyDescent="0.3">
      <c r="A875" s="11" t="s">
        <v>865</v>
      </c>
      <c r="B875" s="7">
        <v>15940</v>
      </c>
      <c r="C875" s="7">
        <v>25.475000000000001</v>
      </c>
      <c r="D875" s="2">
        <f>C875-C873</f>
        <v>1.2000000000000455E-2</v>
      </c>
      <c r="E875" s="8">
        <f>E873-F875</f>
        <v>25.413980331894788</v>
      </c>
      <c r="F875" s="6">
        <f>P874</f>
        <v>4.9019607843137254E-2</v>
      </c>
      <c r="G875" s="12">
        <f t="shared" si="232"/>
        <v>6.1019668105213754E-2</v>
      </c>
      <c r="H875" s="3">
        <f>B873</f>
        <v>15920</v>
      </c>
      <c r="I875" s="3">
        <f>B908</f>
        <v>16460</v>
      </c>
      <c r="J875" s="3">
        <f>I875-H875</f>
        <v>540</v>
      </c>
      <c r="K875" s="5">
        <f>C873</f>
        <v>25.463000000000001</v>
      </c>
      <c r="L875" s="3">
        <f>C908</f>
        <v>24.138000000000002</v>
      </c>
      <c r="M875" s="5">
        <f>L875-K875</f>
        <v>-1.3249999999999993</v>
      </c>
      <c r="N875" s="3">
        <f>J875/M875</f>
        <v>-407.547169811321</v>
      </c>
      <c r="O875" s="3">
        <v>408</v>
      </c>
    </row>
    <row r="876" spans="1:18" x14ac:dyDescent="0.3">
      <c r="A876" s="11" t="s">
        <v>866</v>
      </c>
      <c r="B876" s="7">
        <v>15960</v>
      </c>
      <c r="C876" s="7">
        <v>25.486999999999998</v>
      </c>
      <c r="D876" s="2">
        <f>C876-C875</f>
        <v>1.1999999999996902E-2</v>
      </c>
      <c r="E876" s="8">
        <f>E875-F875</f>
        <v>25.364960724051649</v>
      </c>
      <c r="F876" s="6">
        <f>F875</f>
        <v>4.9019607843137254E-2</v>
      </c>
      <c r="G876" s="12">
        <f t="shared" si="232"/>
        <v>0.12203927594834951</v>
      </c>
    </row>
    <row r="877" spans="1:18" x14ac:dyDescent="0.3">
      <c r="A877" s="11" t="s">
        <v>867</v>
      </c>
      <c r="B877" s="7">
        <v>15980</v>
      </c>
      <c r="C877" s="7">
        <v>25.492000000000001</v>
      </c>
      <c r="D877" s="2">
        <f t="shared" si="223"/>
        <v>5.000000000002558E-3</v>
      </c>
      <c r="E877" s="8">
        <f>E876-F876</f>
        <v>25.31594111620851</v>
      </c>
      <c r="F877" s="6">
        <f t="shared" si="231"/>
        <v>4.9019607843137254E-2</v>
      </c>
      <c r="G877" s="12">
        <f t="shared" si="232"/>
        <v>0.17605888379149093</v>
      </c>
    </row>
    <row r="878" spans="1:18" x14ac:dyDescent="0.3">
      <c r="A878" s="27" t="s">
        <v>868</v>
      </c>
      <c r="B878" s="24"/>
      <c r="C878" s="25"/>
      <c r="D878" s="25"/>
      <c r="E878" s="25"/>
      <c r="F878" s="25"/>
      <c r="G878" s="26"/>
    </row>
    <row r="879" spans="1:18" x14ac:dyDescent="0.3">
      <c r="A879" s="11" t="s">
        <v>869</v>
      </c>
      <c r="B879" s="7">
        <v>16000</v>
      </c>
      <c r="C879" s="7">
        <v>25.504999999999999</v>
      </c>
      <c r="D879" s="2">
        <f>C879-C877</f>
        <v>1.2999999999998124E-2</v>
      </c>
      <c r="E879" s="8">
        <f>E877-F879</f>
        <v>25.266921508365371</v>
      </c>
      <c r="F879" s="6">
        <f>P874</f>
        <v>4.9019607843137254E-2</v>
      </c>
      <c r="G879" s="12">
        <f t="shared" si="232"/>
        <v>0.23807849163462791</v>
      </c>
    </row>
    <row r="880" spans="1:18" x14ac:dyDescent="0.3">
      <c r="A880" s="11" t="s">
        <v>870</v>
      </c>
      <c r="B880" s="7">
        <v>16020</v>
      </c>
      <c r="C880" s="7">
        <v>25.501999999999999</v>
      </c>
      <c r="D880" s="2">
        <f>C880-C879</f>
        <v>-3.0000000000001137E-3</v>
      </c>
      <c r="E880" s="8">
        <f>E879-F880</f>
        <v>25.217901900522232</v>
      </c>
      <c r="F880" s="6">
        <f>P874</f>
        <v>4.9019607843137254E-2</v>
      </c>
      <c r="G880" s="12">
        <f>C880-E880</f>
        <v>0.28409809947776665</v>
      </c>
    </row>
    <row r="881" spans="1:7" x14ac:dyDescent="0.3">
      <c r="A881" s="11" t="s">
        <v>871</v>
      </c>
      <c r="B881" s="7">
        <v>16040</v>
      </c>
      <c r="C881" s="7">
        <v>25.47</v>
      </c>
      <c r="D881" s="2">
        <f t="shared" si="223"/>
        <v>-3.2000000000000028E-2</v>
      </c>
      <c r="E881" s="8">
        <f>E880-F881</f>
        <v>25.168882292679093</v>
      </c>
      <c r="F881" s="6">
        <f t="shared" ref="F881" si="235">F880</f>
        <v>4.9019607843137254E-2</v>
      </c>
      <c r="G881" s="12">
        <f t="shared" ref="G881" si="236">C881-E881</f>
        <v>0.30111770732090548</v>
      </c>
    </row>
    <row r="882" spans="1:7" x14ac:dyDescent="0.3">
      <c r="A882" s="11" t="s">
        <v>3233</v>
      </c>
      <c r="B882" s="62" t="s">
        <v>3232</v>
      </c>
      <c r="C882" s="63"/>
      <c r="D882" s="63"/>
      <c r="E882" s="63"/>
      <c r="F882" s="63"/>
      <c r="G882" s="64"/>
    </row>
    <row r="883" spans="1:7" x14ac:dyDescent="0.3">
      <c r="A883" s="11" t="s">
        <v>872</v>
      </c>
      <c r="B883" s="7">
        <v>16060</v>
      </c>
      <c r="C883" s="7">
        <v>25.434000000000001</v>
      </c>
      <c r="D883" s="2">
        <f>C883-C881</f>
        <v>-3.5999999999997812E-2</v>
      </c>
      <c r="E883" s="8">
        <f>E881-F881</f>
        <v>25.119862684835955</v>
      </c>
      <c r="F883" s="6">
        <f>F881</f>
        <v>4.9019607843137254E-2</v>
      </c>
      <c r="G883" s="12">
        <f t="shared" ref="G883:G896" si="237">C883-E883</f>
        <v>0.31413731516404653</v>
      </c>
    </row>
    <row r="884" spans="1:7" x14ac:dyDescent="0.3">
      <c r="A884" s="11" t="s">
        <v>873</v>
      </c>
      <c r="B884" s="7">
        <v>16080</v>
      </c>
      <c r="C884" s="7">
        <v>25.404</v>
      </c>
      <c r="D884" s="2">
        <f t="shared" si="223"/>
        <v>-3.0000000000001137E-2</v>
      </c>
      <c r="E884" s="8">
        <f t="shared" ref="E884:E896" si="238">E883-F883</f>
        <v>25.070843076992816</v>
      </c>
      <c r="F884" s="6">
        <f t="shared" ref="F884:F896" si="239">F883</f>
        <v>4.9019607843137254E-2</v>
      </c>
      <c r="G884" s="12">
        <f t="shared" si="237"/>
        <v>0.33315692300718425</v>
      </c>
    </row>
    <row r="885" spans="1:7" x14ac:dyDescent="0.3">
      <c r="A885" s="11" t="s">
        <v>874</v>
      </c>
      <c r="B885" s="7">
        <v>16100</v>
      </c>
      <c r="C885" s="7">
        <v>25.367000000000001</v>
      </c>
      <c r="D885" s="2">
        <f t="shared" si="223"/>
        <v>-3.6999999999999034E-2</v>
      </c>
      <c r="E885" s="8">
        <f t="shared" si="238"/>
        <v>25.021823469149677</v>
      </c>
      <c r="F885" s="6">
        <f t="shared" si="239"/>
        <v>4.9019607843137254E-2</v>
      </c>
      <c r="G885" s="12">
        <f t="shared" si="237"/>
        <v>0.34517653085032407</v>
      </c>
    </row>
    <row r="886" spans="1:7" x14ac:dyDescent="0.3">
      <c r="A886" s="11" t="s">
        <v>875</v>
      </c>
      <c r="B886" s="7">
        <v>16120</v>
      </c>
      <c r="C886" s="7">
        <v>25.33</v>
      </c>
      <c r="D886" s="2">
        <f t="shared" si="223"/>
        <v>-3.7000000000002586E-2</v>
      </c>
      <c r="E886" s="8">
        <f t="shared" si="238"/>
        <v>24.972803861306538</v>
      </c>
      <c r="F886" s="6">
        <f t="shared" si="239"/>
        <v>4.9019607843137254E-2</v>
      </c>
      <c r="G886" s="12">
        <f t="shared" si="237"/>
        <v>0.35719613869346034</v>
      </c>
    </row>
    <row r="887" spans="1:7" x14ac:dyDescent="0.3">
      <c r="A887" s="11" t="s">
        <v>876</v>
      </c>
      <c r="B887" s="7">
        <v>16140</v>
      </c>
      <c r="C887" s="7">
        <v>25.286999999999999</v>
      </c>
      <c r="D887" s="2">
        <f t="shared" si="223"/>
        <v>-4.2999999999999261E-2</v>
      </c>
      <c r="E887" s="8">
        <f t="shared" si="238"/>
        <v>24.923784253463399</v>
      </c>
      <c r="F887" s="6">
        <f t="shared" si="239"/>
        <v>4.9019607843137254E-2</v>
      </c>
      <c r="G887" s="12">
        <f t="shared" si="237"/>
        <v>0.36321574653659994</v>
      </c>
    </row>
    <row r="888" spans="1:7" x14ac:dyDescent="0.3">
      <c r="A888" s="11" t="s">
        <v>877</v>
      </c>
      <c r="B888" s="7">
        <v>16160</v>
      </c>
      <c r="C888" s="7">
        <v>25.238</v>
      </c>
      <c r="D888" s="2">
        <f t="shared" si="223"/>
        <v>-4.8999999999999488E-2</v>
      </c>
      <c r="E888" s="8">
        <f t="shared" si="238"/>
        <v>24.87476464562026</v>
      </c>
      <c r="F888" s="6">
        <f t="shared" si="239"/>
        <v>4.9019607843137254E-2</v>
      </c>
      <c r="G888" s="12">
        <f t="shared" si="237"/>
        <v>0.36323535437973931</v>
      </c>
    </row>
    <row r="889" spans="1:7" x14ac:dyDescent="0.3">
      <c r="A889" s="11" t="s">
        <v>878</v>
      </c>
      <c r="B889" s="7">
        <v>16180</v>
      </c>
      <c r="C889" s="7">
        <v>25.184000000000001</v>
      </c>
      <c r="D889" s="2">
        <f t="shared" si="223"/>
        <v>-5.3999999999998494E-2</v>
      </c>
      <c r="E889" s="8">
        <f t="shared" si="238"/>
        <v>24.825745037777121</v>
      </c>
      <c r="F889" s="6">
        <f t="shared" si="239"/>
        <v>4.9019607843137254E-2</v>
      </c>
      <c r="G889" s="12">
        <f t="shared" si="237"/>
        <v>0.35825496222287967</v>
      </c>
    </row>
    <row r="890" spans="1:7" x14ac:dyDescent="0.3">
      <c r="A890" s="11" t="s">
        <v>879</v>
      </c>
      <c r="B890" s="7">
        <v>16200</v>
      </c>
      <c r="C890" s="7">
        <v>25.102</v>
      </c>
      <c r="D890" s="2">
        <f>C890-C889</f>
        <v>-8.2000000000000739E-2</v>
      </c>
      <c r="E890" s="8">
        <f>E889-F890</f>
        <v>24.776725429933983</v>
      </c>
      <c r="F890" s="6">
        <f t="shared" si="239"/>
        <v>4.9019607843137254E-2</v>
      </c>
      <c r="G890" s="12">
        <f t="shared" si="237"/>
        <v>0.32527457006601779</v>
      </c>
    </row>
    <row r="891" spans="1:7" x14ac:dyDescent="0.3">
      <c r="A891" s="11" t="s">
        <v>880</v>
      </c>
      <c r="B891" s="7">
        <v>16220</v>
      </c>
      <c r="C891" s="7">
        <v>25.013999999999999</v>
      </c>
      <c r="D891" s="2">
        <f>C891-C890</f>
        <v>-8.8000000000000966E-2</v>
      </c>
      <c r="E891" s="8">
        <f>E890-F891</f>
        <v>24.727705822090844</v>
      </c>
      <c r="F891" s="6">
        <f t="shared" si="239"/>
        <v>4.9019607843137254E-2</v>
      </c>
      <c r="G891" s="12">
        <f t="shared" ref="G891" si="240">C891-E891</f>
        <v>0.28629417790915568</v>
      </c>
    </row>
    <row r="892" spans="1:7" x14ac:dyDescent="0.3">
      <c r="A892" s="11" t="s">
        <v>881</v>
      </c>
      <c r="B892" s="7">
        <v>16240</v>
      </c>
      <c r="C892" s="7">
        <v>24.972000000000001</v>
      </c>
      <c r="D892" s="2">
        <f t="shared" si="223"/>
        <v>-4.1999999999998039E-2</v>
      </c>
      <c r="E892" s="8">
        <f t="shared" si="238"/>
        <v>24.678686214247705</v>
      </c>
      <c r="F892" s="6">
        <f t="shared" si="239"/>
        <v>4.9019607843137254E-2</v>
      </c>
      <c r="G892" s="12">
        <f t="shared" si="237"/>
        <v>0.2933137857522965</v>
      </c>
    </row>
    <row r="893" spans="1:7" x14ac:dyDescent="0.3">
      <c r="A893" s="11" t="s">
        <v>3212</v>
      </c>
      <c r="B893" s="62" t="s">
        <v>3213</v>
      </c>
      <c r="C893" s="63"/>
      <c r="D893" s="63"/>
      <c r="E893" s="63"/>
      <c r="F893" s="63"/>
      <c r="G893" s="64"/>
    </row>
    <row r="894" spans="1:7" x14ac:dyDescent="0.3">
      <c r="A894" s="11" t="s">
        <v>882</v>
      </c>
      <c r="B894" s="7">
        <v>16260</v>
      </c>
      <c r="C894" s="7">
        <v>24.94</v>
      </c>
      <c r="D894" s="2">
        <f>C894-C892</f>
        <v>-3.2000000000000028E-2</v>
      </c>
      <c r="E894" s="8">
        <f>E892-F892</f>
        <v>24.629666606404566</v>
      </c>
      <c r="F894" s="6">
        <f>F892</f>
        <v>4.9019607843137254E-2</v>
      </c>
      <c r="G894" s="12">
        <f t="shared" si="237"/>
        <v>0.31033339359543533</v>
      </c>
    </row>
    <row r="895" spans="1:7" x14ac:dyDescent="0.3">
      <c r="A895" s="11" t="s">
        <v>883</v>
      </c>
      <c r="B895" s="7">
        <v>16280</v>
      </c>
      <c r="C895" s="7">
        <v>24.882000000000001</v>
      </c>
      <c r="D895" s="2">
        <f t="shared" si="223"/>
        <v>-5.7999999999999829E-2</v>
      </c>
      <c r="E895" s="8">
        <f t="shared" si="238"/>
        <v>24.580646998561427</v>
      </c>
      <c r="F895" s="6">
        <f t="shared" si="239"/>
        <v>4.9019607843137254E-2</v>
      </c>
      <c r="G895" s="12">
        <f t="shared" si="237"/>
        <v>0.30135300143857435</v>
      </c>
    </row>
    <row r="896" spans="1:7" x14ac:dyDescent="0.3">
      <c r="A896" s="11" t="s">
        <v>884</v>
      </c>
      <c r="B896" s="7">
        <v>16300</v>
      </c>
      <c r="C896" s="7">
        <v>24.805</v>
      </c>
      <c r="D896" s="2">
        <f t="shared" si="223"/>
        <v>-7.7000000000001734E-2</v>
      </c>
      <c r="E896" s="8">
        <f t="shared" si="238"/>
        <v>24.531627390718288</v>
      </c>
      <c r="F896" s="6">
        <f t="shared" si="239"/>
        <v>4.9019607843137254E-2</v>
      </c>
      <c r="G896" s="12">
        <f t="shared" si="237"/>
        <v>0.27337260928171148</v>
      </c>
    </row>
    <row r="897" spans="1:18" x14ac:dyDescent="0.3">
      <c r="A897" s="11" t="s">
        <v>885</v>
      </c>
      <c r="B897" s="7">
        <v>16320</v>
      </c>
      <c r="C897" s="7">
        <v>24.713999999999999</v>
      </c>
      <c r="D897" s="2">
        <f t="shared" si="223"/>
        <v>-9.100000000000108E-2</v>
      </c>
      <c r="E897" s="8">
        <f t="shared" ref="E897:E918" si="241">E896-F896</f>
        <v>24.482607782875149</v>
      </c>
      <c r="F897" s="6">
        <f t="shared" ref="F897:F913" si="242">F896</f>
        <v>4.9019607843137254E-2</v>
      </c>
      <c r="G897" s="12">
        <f t="shared" ref="G897:G913" si="243">C897-E897</f>
        <v>0.23139221712484925</v>
      </c>
    </row>
    <row r="898" spans="1:18" x14ac:dyDescent="0.3">
      <c r="A898" s="11" t="s">
        <v>3346</v>
      </c>
      <c r="B898" s="70" t="s">
        <v>3345</v>
      </c>
      <c r="C898" s="7"/>
      <c r="D898" s="2"/>
      <c r="E898" s="8"/>
      <c r="F898" s="6"/>
      <c r="G898" s="12"/>
    </row>
    <row r="899" spans="1:18" x14ac:dyDescent="0.3">
      <c r="A899" s="11" t="s">
        <v>886</v>
      </c>
      <c r="B899" s="7">
        <v>16340</v>
      </c>
      <c r="C899" s="7">
        <v>24.613</v>
      </c>
      <c r="D899" s="2">
        <f>C899-C897</f>
        <v>-0.10099999999999909</v>
      </c>
      <c r="E899" s="8">
        <f>E897-F897</f>
        <v>24.433588175032011</v>
      </c>
      <c r="F899" s="6">
        <f>F897</f>
        <v>4.9019607843137254E-2</v>
      </c>
      <c r="G899" s="12">
        <f t="shared" si="243"/>
        <v>0.17941182496798902</v>
      </c>
    </row>
    <row r="900" spans="1:18" x14ac:dyDescent="0.3">
      <c r="A900" s="11" t="s">
        <v>887</v>
      </c>
      <c r="B900" s="7">
        <v>16360</v>
      </c>
      <c r="C900" s="7">
        <v>24.53</v>
      </c>
      <c r="D900" s="2">
        <f>C900-C899</f>
        <v>-8.2999999999998408E-2</v>
      </c>
      <c r="E900" s="8">
        <f t="shared" si="241"/>
        <v>24.384568567188872</v>
      </c>
      <c r="F900" s="6">
        <f>F899</f>
        <v>4.9019607843137254E-2</v>
      </c>
      <c r="G900" s="12">
        <f>C900-E900</f>
        <v>0.14543143281112947</v>
      </c>
    </row>
    <row r="901" spans="1:18" x14ac:dyDescent="0.3">
      <c r="A901" s="11" t="s">
        <v>888</v>
      </c>
      <c r="B901" s="7">
        <v>16380</v>
      </c>
      <c r="C901" s="7">
        <v>24.449000000000002</v>
      </c>
      <c r="D901" s="2">
        <f t="shared" si="223"/>
        <v>-8.0999999999999517E-2</v>
      </c>
      <c r="E901" s="8">
        <f t="shared" si="241"/>
        <v>24.335548959345733</v>
      </c>
      <c r="F901" s="6">
        <f t="shared" ref="F901" si="244">F900</f>
        <v>4.9019607843137254E-2</v>
      </c>
      <c r="G901" s="12">
        <f t="shared" ref="G901" si="245">C901-E901</f>
        <v>0.11345104065426881</v>
      </c>
    </row>
    <row r="902" spans="1:18" x14ac:dyDescent="0.3">
      <c r="A902" s="11" t="s">
        <v>3210</v>
      </c>
      <c r="B902" s="62" t="s">
        <v>3211</v>
      </c>
      <c r="C902" s="63"/>
      <c r="D902" s="63"/>
      <c r="E902" s="63"/>
      <c r="F902" s="63"/>
      <c r="G902" s="64"/>
    </row>
    <row r="903" spans="1:18" x14ac:dyDescent="0.3">
      <c r="A903" s="11" t="s">
        <v>889</v>
      </c>
      <c r="B903" s="7">
        <v>16400</v>
      </c>
      <c r="C903" s="7">
        <v>24.370999999999999</v>
      </c>
      <c r="D903" s="2">
        <f>C903-C901</f>
        <v>-7.8000000000002956E-2</v>
      </c>
      <c r="E903" s="8">
        <f>E901-F901</f>
        <v>24.286529351502594</v>
      </c>
      <c r="F903" s="6">
        <f>F901</f>
        <v>4.9019607843137254E-2</v>
      </c>
      <c r="G903" s="12">
        <f t="shared" si="243"/>
        <v>8.447064849740471E-2</v>
      </c>
    </row>
    <row r="904" spans="1:18" x14ac:dyDescent="0.3">
      <c r="A904" s="11" t="s">
        <v>890</v>
      </c>
      <c r="B904" s="7">
        <v>16420</v>
      </c>
      <c r="C904" s="7">
        <v>24.298999999999999</v>
      </c>
      <c r="D904" s="2">
        <f t="shared" si="223"/>
        <v>-7.1999999999999176E-2</v>
      </c>
      <c r="E904" s="8">
        <f t="shared" si="241"/>
        <v>24.237509743659455</v>
      </c>
      <c r="F904" s="6">
        <f t="shared" si="242"/>
        <v>4.9019607843137254E-2</v>
      </c>
      <c r="G904" s="12">
        <f t="shared" si="243"/>
        <v>6.1490256340544391E-2</v>
      </c>
    </row>
    <row r="905" spans="1:18" x14ac:dyDescent="0.3">
      <c r="A905" s="11" t="s">
        <v>891</v>
      </c>
      <c r="B905" s="7">
        <v>16440</v>
      </c>
      <c r="C905" s="7">
        <v>24.227</v>
      </c>
      <c r="D905" s="2">
        <f>C905-C904</f>
        <v>-7.1999999999999176E-2</v>
      </c>
      <c r="E905" s="8">
        <f>E904-F905</f>
        <v>24.188490135816316</v>
      </c>
      <c r="F905" s="6">
        <f>F904</f>
        <v>4.9019607843137254E-2</v>
      </c>
      <c r="G905" s="12">
        <f t="shared" si="243"/>
        <v>3.8509864183684073E-2</v>
      </c>
    </row>
    <row r="906" spans="1:18" x14ac:dyDescent="0.3">
      <c r="A906" s="11" t="s">
        <v>3209</v>
      </c>
      <c r="B906" s="62" t="s">
        <v>3194</v>
      </c>
      <c r="C906" s="63"/>
      <c r="D906" s="63"/>
      <c r="E906" s="63"/>
      <c r="F906" s="63"/>
      <c r="G906" s="64"/>
    </row>
    <row r="907" spans="1:18" x14ac:dyDescent="0.3">
      <c r="A907" s="11" t="s">
        <v>3347</v>
      </c>
      <c r="B907" s="62" t="s">
        <v>3348</v>
      </c>
      <c r="C907" s="63"/>
      <c r="D907" s="63"/>
      <c r="E907" s="63"/>
      <c r="F907" s="63"/>
      <c r="G907" s="64"/>
    </row>
    <row r="908" spans="1:18" x14ac:dyDescent="0.3">
      <c r="A908" s="11" t="s">
        <v>892</v>
      </c>
      <c r="B908" s="7">
        <v>16460</v>
      </c>
      <c r="C908" s="7">
        <v>24.138000000000002</v>
      </c>
      <c r="D908" s="2">
        <f>C908-C905</f>
        <v>-8.8999999999998636E-2</v>
      </c>
      <c r="E908" s="8">
        <f>E905-F908</f>
        <v>24.139470527973177</v>
      </c>
      <c r="F908" s="6">
        <f>F905</f>
        <v>4.9019607843137254E-2</v>
      </c>
      <c r="G908" s="12">
        <f t="shared" si="243"/>
        <v>-1.4705279731757059E-3</v>
      </c>
    </row>
    <row r="909" spans="1:18" x14ac:dyDescent="0.3">
      <c r="A909" s="11"/>
      <c r="B909" s="7"/>
      <c r="C909" s="7"/>
      <c r="D909" s="2"/>
      <c r="E909" s="8"/>
      <c r="F909" s="6"/>
      <c r="G909" s="12"/>
      <c r="H909" s="4" t="s">
        <v>3477</v>
      </c>
      <c r="J909" s="4"/>
      <c r="O909" s="3">
        <f>1/O910</f>
        <v>3.0581039755351682E-3</v>
      </c>
      <c r="P909" s="3">
        <f>O909*20</f>
        <v>6.1162079510703363E-2</v>
      </c>
      <c r="Q909" s="3" t="s">
        <v>3200</v>
      </c>
      <c r="R909" s="3">
        <v>299</v>
      </c>
    </row>
    <row r="910" spans="1:18" x14ac:dyDescent="0.3">
      <c r="A910" s="11" t="s">
        <v>893</v>
      </c>
      <c r="B910" s="7">
        <v>16480</v>
      </c>
      <c r="C910" s="7">
        <v>24.052</v>
      </c>
      <c r="D910" s="2">
        <f>C910-C908</f>
        <v>-8.6000000000002075E-2</v>
      </c>
      <c r="E910" s="8">
        <f>E908-F910</f>
        <v>24.078308448462472</v>
      </c>
      <c r="F910" s="6">
        <f>P909</f>
        <v>6.1162079510703363E-2</v>
      </c>
      <c r="G910" s="12">
        <f t="shared" si="243"/>
        <v>-2.6308448462472711E-2</v>
      </c>
      <c r="H910" s="3">
        <f>B908</f>
        <v>16460</v>
      </c>
      <c r="I910" s="3">
        <f>B927</f>
        <v>16780</v>
      </c>
      <c r="J910" s="3">
        <f>I910-H910</f>
        <v>320</v>
      </c>
      <c r="K910" s="5">
        <f>E908</f>
        <v>24.139470527973177</v>
      </c>
      <c r="L910" s="3">
        <f>C927</f>
        <v>23.161999999999999</v>
      </c>
      <c r="M910" s="5">
        <f>L910-K910</f>
        <v>-0.97747052797317835</v>
      </c>
      <c r="N910" s="3">
        <f>J910/M910</f>
        <v>-327.37559940915247</v>
      </c>
      <c r="O910" s="3">
        <v>327</v>
      </c>
    </row>
    <row r="911" spans="1:18" x14ac:dyDescent="0.3">
      <c r="A911" s="11" t="s">
        <v>894</v>
      </c>
      <c r="B911" s="7">
        <v>16500</v>
      </c>
      <c r="C911" s="7">
        <v>23.956</v>
      </c>
      <c r="D911" s="2">
        <f t="shared" si="223"/>
        <v>-9.6000000000000085E-2</v>
      </c>
      <c r="E911" s="8">
        <f t="shared" si="241"/>
        <v>24.017146368951767</v>
      </c>
      <c r="F911" s="6">
        <f t="shared" si="242"/>
        <v>6.1162079510703363E-2</v>
      </c>
      <c r="G911" s="12">
        <f t="shared" si="243"/>
        <v>-6.1146368951767727E-2</v>
      </c>
    </row>
    <row r="912" spans="1:18" x14ac:dyDescent="0.3">
      <c r="A912" s="11" t="s">
        <v>895</v>
      </c>
      <c r="B912" s="7">
        <v>16520</v>
      </c>
      <c r="C912" s="7">
        <v>23.867000000000001</v>
      </c>
      <c r="D912" s="2">
        <f t="shared" si="223"/>
        <v>-8.8999999999998636E-2</v>
      </c>
      <c r="E912" s="8">
        <f t="shared" si="241"/>
        <v>23.955984289441062</v>
      </c>
      <c r="F912" s="6">
        <f t="shared" si="242"/>
        <v>6.1162079510703363E-2</v>
      </c>
      <c r="G912" s="12">
        <f t="shared" si="243"/>
        <v>-8.8984289441061293E-2</v>
      </c>
    </row>
    <row r="913" spans="1:18" x14ac:dyDescent="0.3">
      <c r="A913" s="11" t="s">
        <v>896</v>
      </c>
      <c r="B913" s="7">
        <v>16540</v>
      </c>
      <c r="C913" s="7">
        <v>23.803999999999998</v>
      </c>
      <c r="D913" s="2">
        <f t="shared" si="223"/>
        <v>-6.3000000000002387E-2</v>
      </c>
      <c r="E913" s="8">
        <f t="shared" si="241"/>
        <v>23.894822209930357</v>
      </c>
      <c r="F913" s="6">
        <f t="shared" si="242"/>
        <v>6.1162079510703363E-2</v>
      </c>
      <c r="G913" s="12">
        <f t="shared" si="243"/>
        <v>-9.0822209930358611E-2</v>
      </c>
    </row>
    <row r="914" spans="1:18" x14ac:dyDescent="0.3">
      <c r="A914" s="11" t="s">
        <v>897</v>
      </c>
      <c r="B914" s="7">
        <v>16560</v>
      </c>
      <c r="C914" s="7">
        <v>23.751999999999999</v>
      </c>
      <c r="D914" s="2">
        <f t="shared" si="223"/>
        <v>-5.1999999999999602E-2</v>
      </c>
      <c r="E914" s="8">
        <f t="shared" si="241"/>
        <v>23.833660130419652</v>
      </c>
      <c r="F914" s="6">
        <f t="shared" ref="F914:F937" si="246">F913</f>
        <v>6.1162079510703363E-2</v>
      </c>
      <c r="G914" s="12">
        <f t="shared" ref="G914:G939" si="247">C914-E914</f>
        <v>-8.1660130419653143E-2</v>
      </c>
    </row>
    <row r="915" spans="1:18" x14ac:dyDescent="0.3">
      <c r="A915" s="11" t="s">
        <v>898</v>
      </c>
      <c r="B915" s="7">
        <v>16580</v>
      </c>
      <c r="C915" s="7">
        <v>23.683</v>
      </c>
      <c r="D915" s="2">
        <f t="shared" si="223"/>
        <v>-6.8999999999999062E-2</v>
      </c>
      <c r="E915" s="8">
        <f t="shared" si="241"/>
        <v>23.772498050908947</v>
      </c>
      <c r="F915" s="6">
        <f t="shared" si="246"/>
        <v>6.1162079510703363E-2</v>
      </c>
      <c r="G915" s="12">
        <f t="shared" si="247"/>
        <v>-8.9498050908947135E-2</v>
      </c>
    </row>
    <row r="916" spans="1:18" x14ac:dyDescent="0.3">
      <c r="A916" s="11" t="s">
        <v>899</v>
      </c>
      <c r="B916" s="7">
        <v>16600</v>
      </c>
      <c r="C916" s="7">
        <v>23.617999999999999</v>
      </c>
      <c r="D916" s="2">
        <f t="shared" si="223"/>
        <v>-6.5000000000001279E-2</v>
      </c>
      <c r="E916" s="8">
        <f t="shared" si="241"/>
        <v>23.711335971398242</v>
      </c>
      <c r="F916" s="6">
        <f t="shared" si="246"/>
        <v>6.1162079510703363E-2</v>
      </c>
      <c r="G916" s="12">
        <f t="shared" si="247"/>
        <v>-9.3335971398243345E-2</v>
      </c>
    </row>
    <row r="917" spans="1:18" x14ac:dyDescent="0.3">
      <c r="A917" s="11" t="s">
        <v>900</v>
      </c>
      <c r="B917" s="7">
        <v>16620</v>
      </c>
      <c r="C917" s="7">
        <v>23.542999999999999</v>
      </c>
      <c r="D917" s="2">
        <f t="shared" si="223"/>
        <v>-7.4999999999999289E-2</v>
      </c>
      <c r="E917" s="8">
        <f t="shared" si="241"/>
        <v>23.650173891887537</v>
      </c>
      <c r="F917" s="6">
        <f t="shared" si="246"/>
        <v>6.1162079510703363E-2</v>
      </c>
      <c r="G917" s="12">
        <f t="shared" si="247"/>
        <v>-0.10717389188753756</v>
      </c>
    </row>
    <row r="918" spans="1:18" x14ac:dyDescent="0.3">
      <c r="A918" s="11" t="s">
        <v>901</v>
      </c>
      <c r="B918" s="7">
        <v>16640</v>
      </c>
      <c r="C918" s="7">
        <v>23.481999999999999</v>
      </c>
      <c r="D918" s="2">
        <f t="shared" si="223"/>
        <v>-6.0999999999999943E-2</v>
      </c>
      <c r="E918" s="8">
        <f t="shared" si="241"/>
        <v>23.589011812376832</v>
      </c>
      <c r="F918" s="6">
        <f t="shared" si="246"/>
        <v>6.1162079510703363E-2</v>
      </c>
      <c r="G918" s="12">
        <f t="shared" si="247"/>
        <v>-0.10701181237683244</v>
      </c>
    </row>
    <row r="919" spans="1:18" x14ac:dyDescent="0.3">
      <c r="A919" s="11" t="s">
        <v>3349</v>
      </c>
      <c r="B919" s="70" t="s">
        <v>3350</v>
      </c>
      <c r="C919" s="7"/>
      <c r="D919" s="2"/>
      <c r="E919" s="8"/>
      <c r="F919" s="6"/>
      <c r="G919" s="12"/>
    </row>
    <row r="920" spans="1:18" x14ac:dyDescent="0.3">
      <c r="A920" s="11" t="s">
        <v>902</v>
      </c>
      <c r="B920" s="7">
        <v>16660</v>
      </c>
      <c r="C920" s="7">
        <v>23.41</v>
      </c>
      <c r="D920" s="2">
        <f>C920-C918</f>
        <v>-7.1999999999999176E-2</v>
      </c>
      <c r="E920" s="8">
        <f>E918-F918</f>
        <v>23.527849732866127</v>
      </c>
      <c r="F920" s="6">
        <f>F918</f>
        <v>6.1162079510703363E-2</v>
      </c>
      <c r="G920" s="12">
        <f t="shared" si="247"/>
        <v>-0.11784973286612654</v>
      </c>
    </row>
    <row r="921" spans="1:18" x14ac:dyDescent="0.3">
      <c r="A921" s="11" t="s">
        <v>903</v>
      </c>
      <c r="B921" s="7">
        <v>16680</v>
      </c>
      <c r="C921" s="7">
        <v>23.347000000000001</v>
      </c>
      <c r="D921" s="2">
        <f t="shared" ref="D921:D990" si="248">C921-C920</f>
        <v>-6.2999999999998835E-2</v>
      </c>
      <c r="E921" s="8">
        <f t="shared" ref="E921:E924" si="249">E920-F920</f>
        <v>23.466687653355422</v>
      </c>
      <c r="F921" s="6">
        <f t="shared" si="246"/>
        <v>6.1162079510703363E-2</v>
      </c>
      <c r="G921" s="12">
        <f t="shared" si="247"/>
        <v>-0.11968765335542031</v>
      </c>
    </row>
    <row r="922" spans="1:18" x14ac:dyDescent="0.3">
      <c r="A922" s="11" t="s">
        <v>904</v>
      </c>
      <c r="B922" s="7">
        <v>16700</v>
      </c>
      <c r="C922" s="7">
        <v>23.297999999999998</v>
      </c>
      <c r="D922" s="2">
        <f t="shared" si="248"/>
        <v>-4.9000000000003041E-2</v>
      </c>
      <c r="E922" s="8">
        <f t="shared" si="249"/>
        <v>23.405525573844717</v>
      </c>
      <c r="F922" s="6">
        <f t="shared" si="246"/>
        <v>6.1162079510703363E-2</v>
      </c>
      <c r="G922" s="12">
        <f t="shared" si="247"/>
        <v>-0.10752557384471828</v>
      </c>
    </row>
    <row r="923" spans="1:18" x14ac:dyDescent="0.3">
      <c r="A923" s="11" t="s">
        <v>905</v>
      </c>
      <c r="B923" s="7">
        <v>16720</v>
      </c>
      <c r="C923" s="7">
        <v>23.256</v>
      </c>
      <c r="D923" s="2">
        <f t="shared" si="248"/>
        <v>-4.1999999999998039E-2</v>
      </c>
      <c r="E923" s="8">
        <f t="shared" si="249"/>
        <v>23.344363494334011</v>
      </c>
      <c r="F923" s="6">
        <f t="shared" si="246"/>
        <v>6.1162079510703363E-2</v>
      </c>
      <c r="G923" s="12">
        <f t="shared" si="247"/>
        <v>-8.836349433401125E-2</v>
      </c>
    </row>
    <row r="924" spans="1:18" x14ac:dyDescent="0.3">
      <c r="A924" s="11" t="s">
        <v>906</v>
      </c>
      <c r="B924" s="7">
        <v>16740</v>
      </c>
      <c r="C924" s="7">
        <v>23.218</v>
      </c>
      <c r="D924" s="2">
        <f t="shared" si="248"/>
        <v>-3.8000000000000256E-2</v>
      </c>
      <c r="E924" s="8">
        <f t="shared" si="249"/>
        <v>23.283201414823306</v>
      </c>
      <c r="F924" s="6">
        <f t="shared" si="246"/>
        <v>6.1162079510703363E-2</v>
      </c>
      <c r="G924" s="12">
        <f t="shared" si="247"/>
        <v>-6.5201414823306436E-2</v>
      </c>
    </row>
    <row r="925" spans="1:18" x14ac:dyDescent="0.3">
      <c r="A925" s="11" t="s">
        <v>907</v>
      </c>
      <c r="B925" s="7">
        <v>16760</v>
      </c>
      <c r="C925" s="7">
        <v>23.193999999999999</v>
      </c>
      <c r="D925" s="2">
        <f>C925-C924</f>
        <v>-2.4000000000000909E-2</v>
      </c>
      <c r="E925" s="8">
        <f>E924-F924</f>
        <v>23.222039335312601</v>
      </c>
      <c r="F925" s="6">
        <f>F924</f>
        <v>6.1162079510703363E-2</v>
      </c>
      <c r="G925" s="12">
        <f t="shared" si="247"/>
        <v>-2.8039335312602276E-2</v>
      </c>
    </row>
    <row r="926" spans="1:18" x14ac:dyDescent="0.3">
      <c r="A926" s="11" t="s">
        <v>3351</v>
      </c>
      <c r="B926" s="70" t="s">
        <v>3352</v>
      </c>
      <c r="C926" s="7"/>
      <c r="D926" s="2"/>
      <c r="E926" s="8"/>
      <c r="F926" s="6"/>
      <c r="G926" s="12"/>
    </row>
    <row r="927" spans="1:18" x14ac:dyDescent="0.3">
      <c r="A927" s="11" t="s">
        <v>908</v>
      </c>
      <c r="B927" s="7">
        <v>16780</v>
      </c>
      <c r="C927" s="7">
        <v>23.161999999999999</v>
      </c>
      <c r="D927" s="2">
        <f>C927-C925</f>
        <v>-3.2000000000000028E-2</v>
      </c>
      <c r="E927" s="8">
        <f>E925-F925</f>
        <v>23.160877255801896</v>
      </c>
      <c r="F927" s="6">
        <f>F925</f>
        <v>6.1162079510703363E-2</v>
      </c>
      <c r="G927" s="12">
        <f t="shared" si="247"/>
        <v>1.1227441981027653E-3</v>
      </c>
    </row>
    <row r="928" spans="1:18" x14ac:dyDescent="0.3">
      <c r="A928" s="21"/>
      <c r="B928" s="22"/>
      <c r="C928" s="22"/>
      <c r="D928" s="22"/>
      <c r="E928" s="22"/>
      <c r="F928" s="22"/>
      <c r="G928" s="23"/>
      <c r="H928" s="4" t="s">
        <v>3478</v>
      </c>
      <c r="J928" s="4"/>
      <c r="O928" s="3">
        <f>1/O929</f>
        <v>8.4961767204757861E-4</v>
      </c>
      <c r="P928" s="3">
        <f>O928*20</f>
        <v>1.6992353440951572E-2</v>
      </c>
      <c r="Q928" s="3" t="s">
        <v>3200</v>
      </c>
      <c r="R928" s="3">
        <v>1177</v>
      </c>
    </row>
    <row r="929" spans="1:15" x14ac:dyDescent="0.3">
      <c r="A929" s="11" t="s">
        <v>909</v>
      </c>
      <c r="B929" s="7">
        <v>16800</v>
      </c>
      <c r="C929" s="7">
        <v>23.143000000000001</v>
      </c>
      <c r="D929" s="2">
        <f>C929-C927</f>
        <v>-1.8999999999998352E-2</v>
      </c>
      <c r="E929" s="8">
        <f>E927-F929</f>
        <v>23.143884902360945</v>
      </c>
      <c r="F929" s="6">
        <f>P928</f>
        <v>1.6992353440951572E-2</v>
      </c>
      <c r="G929" s="12">
        <f>C929-E929</f>
        <v>-8.849023609442952E-4</v>
      </c>
      <c r="H929" s="3">
        <f>B927</f>
        <v>16780</v>
      </c>
      <c r="I929" s="3">
        <f>B946</f>
        <v>17120</v>
      </c>
      <c r="J929" s="3">
        <f>I929-H929</f>
        <v>340</v>
      </c>
      <c r="K929" s="5">
        <f>E927</f>
        <v>23.160877255801896</v>
      </c>
      <c r="L929" s="3">
        <f>C946</f>
        <v>22.872</v>
      </c>
      <c r="M929" s="5">
        <f>L929-K929</f>
        <v>-0.28887725580189638</v>
      </c>
      <c r="N929" s="3">
        <f>J929/M929</f>
        <v>-1176.9704716149827</v>
      </c>
      <c r="O929" s="3">
        <v>1177</v>
      </c>
    </row>
    <row r="930" spans="1:15" x14ac:dyDescent="0.3">
      <c r="A930" s="11" t="s">
        <v>910</v>
      </c>
      <c r="B930" s="7">
        <v>16820</v>
      </c>
      <c r="C930" s="7">
        <v>23.111999999999998</v>
      </c>
      <c r="D930" s="2">
        <f t="shared" si="248"/>
        <v>-3.1000000000002359E-2</v>
      </c>
      <c r="E930" s="8">
        <f>E929-F929</f>
        <v>23.126892548919994</v>
      </c>
      <c r="F930" s="6">
        <f t="shared" ref="F930" si="250">F929</f>
        <v>1.6992353440951572E-2</v>
      </c>
      <c r="G930" s="12">
        <f t="shared" ref="G930" si="251">C930-E930</f>
        <v>-1.4892548919995363E-2</v>
      </c>
    </row>
    <row r="931" spans="1:15" x14ac:dyDescent="0.3">
      <c r="A931" s="11" t="s">
        <v>911</v>
      </c>
      <c r="B931" s="7">
        <v>16840</v>
      </c>
      <c r="C931" s="7">
        <v>23.088999999999999</v>
      </c>
      <c r="D931" s="2">
        <f t="shared" si="248"/>
        <v>-2.2999999999999687E-2</v>
      </c>
      <c r="E931" s="8">
        <f t="shared" ref="E931:E946" si="252">E930-F930</f>
        <v>23.109900195479042</v>
      </c>
      <c r="F931" s="6">
        <f t="shared" si="246"/>
        <v>1.6992353440951572E-2</v>
      </c>
      <c r="G931" s="12">
        <f t="shared" si="247"/>
        <v>-2.0900195479043759E-2</v>
      </c>
    </row>
    <row r="932" spans="1:15" x14ac:dyDescent="0.3">
      <c r="A932" s="11" t="s">
        <v>912</v>
      </c>
      <c r="B932" s="7">
        <v>16860</v>
      </c>
      <c r="C932" s="7">
        <v>23.068000000000001</v>
      </c>
      <c r="D932" s="2">
        <f t="shared" si="248"/>
        <v>-2.0999999999997243E-2</v>
      </c>
      <c r="E932" s="8">
        <f t="shared" si="252"/>
        <v>23.092907842038091</v>
      </c>
      <c r="F932" s="6">
        <f t="shared" si="246"/>
        <v>1.6992353440951572E-2</v>
      </c>
      <c r="G932" s="12">
        <f t="shared" si="247"/>
        <v>-2.4907842038089711E-2</v>
      </c>
    </row>
    <row r="933" spans="1:15" x14ac:dyDescent="0.3">
      <c r="A933" s="11" t="s">
        <v>913</v>
      </c>
      <c r="B933" s="7">
        <v>16880</v>
      </c>
      <c r="C933" s="7">
        <v>23.056999999999999</v>
      </c>
      <c r="D933" s="2">
        <f t="shared" si="248"/>
        <v>-1.1000000000002785E-2</v>
      </c>
      <c r="E933" s="8">
        <f t="shared" si="252"/>
        <v>23.07591548859714</v>
      </c>
      <c r="F933" s="6">
        <f t="shared" si="246"/>
        <v>1.6992353440951572E-2</v>
      </c>
      <c r="G933" s="12">
        <f t="shared" si="247"/>
        <v>-1.8915488597141206E-2</v>
      </c>
    </row>
    <row r="934" spans="1:15" x14ac:dyDescent="0.3">
      <c r="A934" s="11" t="s">
        <v>914</v>
      </c>
      <c r="B934" s="7">
        <v>16900</v>
      </c>
      <c r="C934" s="7">
        <v>23.027999999999999</v>
      </c>
      <c r="D934" s="2">
        <f t="shared" si="248"/>
        <v>-2.8999999999999915E-2</v>
      </c>
      <c r="E934" s="8">
        <f t="shared" si="252"/>
        <v>23.058923135156189</v>
      </c>
      <c r="F934" s="6">
        <f t="shared" si="246"/>
        <v>1.6992353440951572E-2</v>
      </c>
      <c r="G934" s="12">
        <f t="shared" si="247"/>
        <v>-3.0923135156189829E-2</v>
      </c>
    </row>
    <row r="935" spans="1:15" x14ac:dyDescent="0.3">
      <c r="A935" s="11" t="s">
        <v>915</v>
      </c>
      <c r="B935" s="7">
        <v>16920</v>
      </c>
      <c r="C935" s="7">
        <v>23</v>
      </c>
      <c r="D935" s="2">
        <f t="shared" si="248"/>
        <v>-2.7999999999998693E-2</v>
      </c>
      <c r="E935" s="8">
        <f t="shared" si="252"/>
        <v>23.041930781715237</v>
      </c>
      <c r="F935" s="6">
        <f t="shared" si="246"/>
        <v>1.6992353440951572E-2</v>
      </c>
      <c r="G935" s="12">
        <f t="shared" si="247"/>
        <v>-4.1930781715237231E-2</v>
      </c>
    </row>
    <row r="936" spans="1:15" x14ac:dyDescent="0.3">
      <c r="A936" s="11" t="s">
        <v>916</v>
      </c>
      <c r="B936" s="7">
        <v>16940</v>
      </c>
      <c r="C936" s="7">
        <v>22.994</v>
      </c>
      <c r="D936" s="2">
        <f t="shared" si="248"/>
        <v>-6.0000000000002274E-3</v>
      </c>
      <c r="E936" s="8">
        <f t="shared" si="252"/>
        <v>23.024938428274286</v>
      </c>
      <c r="F936" s="6">
        <f t="shared" si="246"/>
        <v>1.6992353440951572E-2</v>
      </c>
      <c r="G936" s="12">
        <f t="shared" si="247"/>
        <v>-3.0938428274286167E-2</v>
      </c>
    </row>
    <row r="937" spans="1:15" x14ac:dyDescent="0.3">
      <c r="A937" s="11" t="s">
        <v>917</v>
      </c>
      <c r="B937" s="7">
        <v>16960</v>
      </c>
      <c r="C937" s="7">
        <v>22.988</v>
      </c>
      <c r="D937" s="2">
        <f t="shared" si="248"/>
        <v>-6.0000000000002274E-3</v>
      </c>
      <c r="E937" s="8">
        <f t="shared" si="252"/>
        <v>23.007946074833335</v>
      </c>
      <c r="F937" s="6">
        <f t="shared" si="246"/>
        <v>1.6992353440951572E-2</v>
      </c>
      <c r="G937" s="12">
        <f t="shared" si="247"/>
        <v>-1.9946074833335103E-2</v>
      </c>
    </row>
    <row r="938" spans="1:15" x14ac:dyDescent="0.3">
      <c r="A938" s="13" t="s">
        <v>918</v>
      </c>
      <c r="B938" s="24"/>
      <c r="C938" s="25"/>
      <c r="D938" s="25"/>
      <c r="E938" s="25"/>
      <c r="F938" s="25"/>
      <c r="G938" s="26"/>
    </row>
    <row r="939" spans="1:15" x14ac:dyDescent="0.3">
      <c r="A939" s="11" t="s">
        <v>919</v>
      </c>
      <c r="B939" s="7">
        <v>16980</v>
      </c>
      <c r="C939" s="7">
        <v>22.974</v>
      </c>
      <c r="D939" s="2">
        <f>C939-C937</f>
        <v>-1.3999999999999346E-2</v>
      </c>
      <c r="E939" s="8">
        <f>E937-F937</f>
        <v>22.990953721392383</v>
      </c>
      <c r="F939" s="6">
        <f>F937</f>
        <v>1.6992353440951572E-2</v>
      </c>
      <c r="G939" s="12">
        <f t="shared" si="247"/>
        <v>-1.6953721392383159E-2</v>
      </c>
    </row>
    <row r="940" spans="1:15" x14ac:dyDescent="0.3">
      <c r="A940" s="11" t="s">
        <v>920</v>
      </c>
      <c r="B940" s="7">
        <v>17000</v>
      </c>
      <c r="C940" s="7">
        <v>22.986000000000001</v>
      </c>
      <c r="D940" s="2">
        <f t="shared" si="248"/>
        <v>1.2000000000000455E-2</v>
      </c>
      <c r="E940" s="8">
        <f t="shared" si="252"/>
        <v>22.973961367951432</v>
      </c>
      <c r="F940" s="6">
        <f t="shared" ref="F940:F952" si="253">F939</f>
        <v>1.6992353440951572E-2</v>
      </c>
      <c r="G940" s="12">
        <f t="shared" ref="G940:G952" si="254">C940-E940</f>
        <v>1.2038632048568587E-2</v>
      </c>
    </row>
    <row r="941" spans="1:15" x14ac:dyDescent="0.3">
      <c r="A941" s="11" t="s">
        <v>921</v>
      </c>
      <c r="B941" s="7">
        <v>17020</v>
      </c>
      <c r="C941" s="7">
        <v>23.003</v>
      </c>
      <c r="D941" s="2">
        <f t="shared" si="248"/>
        <v>1.699999999999946E-2</v>
      </c>
      <c r="E941" s="8">
        <f t="shared" si="252"/>
        <v>22.956969014510481</v>
      </c>
      <c r="F941" s="6">
        <f t="shared" si="253"/>
        <v>1.6992353440951572E-2</v>
      </c>
      <c r="G941" s="12">
        <f t="shared" si="254"/>
        <v>4.6030985489519338E-2</v>
      </c>
    </row>
    <row r="942" spans="1:15" x14ac:dyDescent="0.3">
      <c r="A942" s="11" t="s">
        <v>922</v>
      </c>
      <c r="B942" s="7">
        <v>17040</v>
      </c>
      <c r="C942" s="7">
        <v>22.991</v>
      </c>
      <c r="D942" s="2">
        <f t="shared" si="248"/>
        <v>-1.2000000000000455E-2</v>
      </c>
      <c r="E942" s="8">
        <f t="shared" si="252"/>
        <v>22.939976661069529</v>
      </c>
      <c r="F942" s="6">
        <f t="shared" si="253"/>
        <v>1.6992353440951572E-2</v>
      </c>
      <c r="G942" s="12">
        <f t="shared" si="254"/>
        <v>5.1023338930470175E-2</v>
      </c>
    </row>
    <row r="943" spans="1:15" x14ac:dyDescent="0.3">
      <c r="A943" s="11" t="s">
        <v>923</v>
      </c>
      <c r="B943" s="7">
        <v>17060</v>
      </c>
      <c r="C943" s="7">
        <v>22.986999999999998</v>
      </c>
      <c r="D943" s="2">
        <f t="shared" si="248"/>
        <v>-4.0000000000013358E-3</v>
      </c>
      <c r="E943" s="8">
        <f t="shared" si="252"/>
        <v>22.922984307628578</v>
      </c>
      <c r="F943" s="6">
        <f t="shared" si="253"/>
        <v>1.6992353440951572E-2</v>
      </c>
      <c r="G943" s="12">
        <f t="shared" si="254"/>
        <v>6.401569237142013E-2</v>
      </c>
    </row>
    <row r="944" spans="1:15" x14ac:dyDescent="0.3">
      <c r="A944" s="11" t="s">
        <v>924</v>
      </c>
      <c r="B944" s="7">
        <v>17080</v>
      </c>
      <c r="C944" s="7">
        <v>22.914999999999999</v>
      </c>
      <c r="D944" s="2">
        <f t="shared" si="248"/>
        <v>-7.1999999999999176E-2</v>
      </c>
      <c r="E944" s="8">
        <f t="shared" si="252"/>
        <v>22.905991954187627</v>
      </c>
      <c r="F944" s="6">
        <f t="shared" si="253"/>
        <v>1.6992353440951572E-2</v>
      </c>
      <c r="G944" s="12">
        <f t="shared" si="254"/>
        <v>9.0080458123722451E-3</v>
      </c>
    </row>
    <row r="945" spans="1:18" x14ac:dyDescent="0.3">
      <c r="A945" s="11" t="s">
        <v>925</v>
      </c>
      <c r="B945" s="7">
        <v>17100</v>
      </c>
      <c r="C945" s="7">
        <v>22.878</v>
      </c>
      <c r="D945" s="2">
        <f t="shared" si="248"/>
        <v>-3.6999999999999034E-2</v>
      </c>
      <c r="E945" s="8">
        <f t="shared" si="252"/>
        <v>22.888999600746676</v>
      </c>
      <c r="F945" s="6">
        <f t="shared" si="253"/>
        <v>1.6992353440951572E-2</v>
      </c>
      <c r="G945" s="12">
        <f t="shared" si="254"/>
        <v>-1.0999600746675497E-2</v>
      </c>
    </row>
    <row r="946" spans="1:18" x14ac:dyDescent="0.3">
      <c r="A946" s="11" t="s">
        <v>926</v>
      </c>
      <c r="B946" s="7">
        <v>17120</v>
      </c>
      <c r="C946" s="7">
        <v>22.872</v>
      </c>
      <c r="D946" s="2">
        <f t="shared" si="248"/>
        <v>-6.0000000000002274E-3</v>
      </c>
      <c r="E946" s="8">
        <f t="shared" si="252"/>
        <v>22.872007247305724</v>
      </c>
      <c r="F946" s="6">
        <f t="shared" si="253"/>
        <v>1.6992353440951572E-2</v>
      </c>
      <c r="G946" s="12">
        <f t="shared" si="254"/>
        <v>-7.2473057244337724E-6</v>
      </c>
    </row>
    <row r="947" spans="1:18" x14ac:dyDescent="0.3">
      <c r="A947" s="21"/>
      <c r="B947" s="22"/>
      <c r="C947" s="22"/>
      <c r="D947" s="22"/>
      <c r="E947" s="22"/>
      <c r="F947" s="22"/>
      <c r="G947" s="23"/>
      <c r="H947" s="4" t="s">
        <v>16</v>
      </c>
      <c r="J947" s="4"/>
      <c r="O947" s="3">
        <f>1/O948</f>
        <v>3.7037037037037038E-3</v>
      </c>
      <c r="P947" s="3">
        <f>O947*20</f>
        <v>7.407407407407407E-2</v>
      </c>
      <c r="Q947" s="3" t="s">
        <v>3202</v>
      </c>
      <c r="R947" s="3">
        <v>270</v>
      </c>
    </row>
    <row r="948" spans="1:18" x14ac:dyDescent="0.3">
      <c r="A948" s="11" t="s">
        <v>927</v>
      </c>
      <c r="B948" s="7">
        <v>17140</v>
      </c>
      <c r="C948" s="7">
        <v>22.928000000000001</v>
      </c>
      <c r="D948" s="2">
        <f>C948-C946</f>
        <v>5.6000000000000938E-2</v>
      </c>
      <c r="E948" s="8">
        <f>E946+F948</f>
        <v>22.946081321379797</v>
      </c>
      <c r="F948" s="6">
        <f>P947</f>
        <v>7.407407407407407E-2</v>
      </c>
      <c r="G948" s="12">
        <f>C948-E948</f>
        <v>-1.8081321379796123E-2</v>
      </c>
      <c r="H948" s="3">
        <f>B946</f>
        <v>17120</v>
      </c>
      <c r="I948" s="3">
        <f>B956</f>
        <v>17300</v>
      </c>
      <c r="J948" s="3">
        <f>I948-H948</f>
        <v>180</v>
      </c>
      <c r="K948" s="5">
        <f>E946</f>
        <v>22.872007247305724</v>
      </c>
      <c r="L948" s="3">
        <f>C956</f>
        <v>23.539000000000001</v>
      </c>
      <c r="M948" s="5">
        <f>L948-K948</f>
        <v>0.66699275269427716</v>
      </c>
      <c r="N948" s="3">
        <f>J948/M948</f>
        <v>269.8679997239862</v>
      </c>
      <c r="O948" s="3">
        <v>270</v>
      </c>
    </row>
    <row r="949" spans="1:18" x14ac:dyDescent="0.3">
      <c r="A949" s="11" t="s">
        <v>928</v>
      </c>
      <c r="B949" s="7">
        <v>17160</v>
      </c>
      <c r="C949" s="7">
        <v>22.981000000000002</v>
      </c>
      <c r="D949" s="2">
        <f t="shared" si="248"/>
        <v>5.3000000000000824E-2</v>
      </c>
      <c r="E949" s="8">
        <f>E948+F948</f>
        <v>23.02015539545387</v>
      </c>
      <c r="F949" s="6">
        <f t="shared" ref="F949" si="255">F948</f>
        <v>7.407407407407407E-2</v>
      </c>
      <c r="G949" s="12">
        <f t="shared" ref="G949" si="256">C949-E949</f>
        <v>-3.9155395453867925E-2</v>
      </c>
    </row>
    <row r="950" spans="1:18" x14ac:dyDescent="0.3">
      <c r="A950" s="11" t="s">
        <v>929</v>
      </c>
      <c r="B950" s="7">
        <v>17180</v>
      </c>
      <c r="C950" s="7">
        <v>23.079000000000001</v>
      </c>
      <c r="D950" s="2">
        <f t="shared" si="248"/>
        <v>9.7999999999998977E-2</v>
      </c>
      <c r="E950" s="8">
        <f t="shared" ref="E950:E956" si="257">E949+F949</f>
        <v>23.094229469527942</v>
      </c>
      <c r="F950" s="6">
        <f t="shared" si="253"/>
        <v>7.407407407407407E-2</v>
      </c>
      <c r="G950" s="12">
        <f t="shared" si="254"/>
        <v>-1.5229469527941575E-2</v>
      </c>
    </row>
    <row r="951" spans="1:18" x14ac:dyDescent="0.3">
      <c r="A951" s="11" t="s">
        <v>930</v>
      </c>
      <c r="B951" s="7">
        <v>17200</v>
      </c>
      <c r="C951" s="7">
        <v>23.161999999999999</v>
      </c>
      <c r="D951" s="2">
        <f t="shared" si="248"/>
        <v>8.2999999999998408E-2</v>
      </c>
      <c r="E951" s="8">
        <f t="shared" si="257"/>
        <v>23.168303543602015</v>
      </c>
      <c r="F951" s="6">
        <f t="shared" si="253"/>
        <v>7.407407407407407E-2</v>
      </c>
      <c r="G951" s="12">
        <f t="shared" si="254"/>
        <v>-6.3035436020157931E-3</v>
      </c>
    </row>
    <row r="952" spans="1:18" x14ac:dyDescent="0.3">
      <c r="A952" s="11" t="s">
        <v>931</v>
      </c>
      <c r="B952" s="7">
        <v>17220</v>
      </c>
      <c r="C952" s="7">
        <v>23.262</v>
      </c>
      <c r="D952" s="2">
        <f t="shared" si="248"/>
        <v>0.10000000000000142</v>
      </c>
      <c r="E952" s="8">
        <f t="shared" si="257"/>
        <v>23.242377617676087</v>
      </c>
      <c r="F952" s="6">
        <f t="shared" si="253"/>
        <v>7.407407407407407E-2</v>
      </c>
      <c r="G952" s="12">
        <f t="shared" si="254"/>
        <v>1.9622382323913001E-2</v>
      </c>
    </row>
    <row r="953" spans="1:18" x14ac:dyDescent="0.3">
      <c r="A953" s="11" t="s">
        <v>932</v>
      </c>
      <c r="B953" s="7">
        <v>17240</v>
      </c>
      <c r="C953" s="7">
        <v>23.414999999999999</v>
      </c>
      <c r="D953" s="2">
        <f t="shared" si="248"/>
        <v>0.15299999999999869</v>
      </c>
      <c r="E953" s="8">
        <f t="shared" si="257"/>
        <v>23.31645169175016</v>
      </c>
      <c r="F953" s="6">
        <f t="shared" ref="F953:F962" si="258">F952</f>
        <v>7.407407407407407E-2</v>
      </c>
      <c r="G953" s="12">
        <f t="shared" ref="G953:G962" si="259">C953-E953</f>
        <v>9.8548308249839067E-2</v>
      </c>
    </row>
    <row r="954" spans="1:18" x14ac:dyDescent="0.3">
      <c r="A954" s="11" t="s">
        <v>933</v>
      </c>
      <c r="B954" s="7">
        <v>17260</v>
      </c>
      <c r="C954" s="7">
        <v>23.5</v>
      </c>
      <c r="D954" s="2">
        <f t="shared" si="248"/>
        <v>8.5000000000000853E-2</v>
      </c>
      <c r="E954" s="8">
        <f t="shared" si="257"/>
        <v>23.390525765824233</v>
      </c>
      <c r="F954" s="6">
        <f t="shared" si="258"/>
        <v>7.407407407407407E-2</v>
      </c>
      <c r="G954" s="12">
        <f t="shared" si="259"/>
        <v>0.10947423417576729</v>
      </c>
    </row>
    <row r="955" spans="1:18" x14ac:dyDescent="0.3">
      <c r="A955" s="11" t="s">
        <v>934</v>
      </c>
      <c r="B955" s="7">
        <v>17280</v>
      </c>
      <c r="C955" s="7">
        <v>23.542000000000002</v>
      </c>
      <c r="D955" s="2">
        <f t="shared" si="248"/>
        <v>4.2000000000001592E-2</v>
      </c>
      <c r="E955" s="8">
        <f t="shared" si="257"/>
        <v>23.464599839898305</v>
      </c>
      <c r="F955" s="6">
        <f t="shared" si="258"/>
        <v>7.407407407407407E-2</v>
      </c>
      <c r="G955" s="12">
        <f t="shared" si="259"/>
        <v>7.7400160101696258E-2</v>
      </c>
    </row>
    <row r="956" spans="1:18" x14ac:dyDescent="0.3">
      <c r="A956" s="11" t="s">
        <v>935</v>
      </c>
      <c r="B956" s="7">
        <v>17300</v>
      </c>
      <c r="C956" s="7">
        <v>23.539000000000001</v>
      </c>
      <c r="D956" s="2">
        <f t="shared" si="248"/>
        <v>-3.0000000000001137E-3</v>
      </c>
      <c r="E956" s="8">
        <f t="shared" si="257"/>
        <v>23.538673913972378</v>
      </c>
      <c r="F956" s="6">
        <f t="shared" si="258"/>
        <v>7.407407407407407E-2</v>
      </c>
      <c r="G956" s="12">
        <f t="shared" si="259"/>
        <v>3.2608602762351779E-4</v>
      </c>
    </row>
    <row r="957" spans="1:18" x14ac:dyDescent="0.3">
      <c r="A957" s="21"/>
      <c r="B957" s="22"/>
      <c r="C957" s="22"/>
      <c r="D957" s="22"/>
      <c r="E957" s="22"/>
      <c r="F957" s="22"/>
      <c r="G957" s="23"/>
      <c r="H957" s="4" t="s">
        <v>17</v>
      </c>
      <c r="J957" s="4"/>
      <c r="O957" s="3">
        <f>1/O958</f>
        <v>4.1493775933609959E-3</v>
      </c>
      <c r="P957" s="3">
        <f>O957*20</f>
        <v>8.2987551867219914E-2</v>
      </c>
      <c r="Q957" s="3" t="s">
        <v>3200</v>
      </c>
      <c r="R957" s="3">
        <v>241</v>
      </c>
    </row>
    <row r="958" spans="1:18" x14ac:dyDescent="0.3">
      <c r="A958" s="11" t="s">
        <v>936</v>
      </c>
      <c r="B958" s="7">
        <v>17320</v>
      </c>
      <c r="C958" s="7">
        <v>23.454999999999998</v>
      </c>
      <c r="D958" s="2">
        <f>C958-C956</f>
        <v>-8.4000000000003183E-2</v>
      </c>
      <c r="E958" s="8">
        <f>E956-F958</f>
        <v>23.455686362105158</v>
      </c>
      <c r="F958" s="6">
        <f>P957</f>
        <v>8.2987551867219914E-2</v>
      </c>
      <c r="G958" s="12">
        <f>C958-E958</f>
        <v>-6.8636210516004326E-4</v>
      </c>
      <c r="H958" s="3">
        <f>B956</f>
        <v>17300</v>
      </c>
      <c r="I958" s="3">
        <f>B963</f>
        <v>17420</v>
      </c>
      <c r="J958" s="3">
        <f>I958-H958</f>
        <v>120</v>
      </c>
      <c r="K958" s="5">
        <f>E956</f>
        <v>23.538673913972378</v>
      </c>
      <c r="L958" s="3">
        <f>C963</f>
        <v>23.04</v>
      </c>
      <c r="M958" s="5">
        <f>L958-K958</f>
        <v>-0.49867391397237881</v>
      </c>
      <c r="N958" s="3">
        <f>J958/M958</f>
        <v>-240.63821394645223</v>
      </c>
      <c r="O958" s="3">
        <v>241</v>
      </c>
    </row>
    <row r="959" spans="1:18" x14ac:dyDescent="0.3">
      <c r="A959" s="11" t="s">
        <v>937</v>
      </c>
      <c r="B959" s="7">
        <v>17340</v>
      </c>
      <c r="C959" s="7">
        <v>23.332999999999998</v>
      </c>
      <c r="D959" s="2">
        <f t="shared" si="248"/>
        <v>-0.12199999999999989</v>
      </c>
      <c r="E959" s="8">
        <f>E958-F958</f>
        <v>23.372698810237939</v>
      </c>
      <c r="F959" s="6">
        <f t="shared" ref="F959" si="260">F958</f>
        <v>8.2987551867219914E-2</v>
      </c>
      <c r="G959" s="12">
        <f t="shared" ref="G959" si="261">C959-E959</f>
        <v>-3.9698810237940307E-2</v>
      </c>
    </row>
    <row r="960" spans="1:18" x14ac:dyDescent="0.3">
      <c r="A960" s="11" t="s">
        <v>938</v>
      </c>
      <c r="B960" s="7">
        <v>17360</v>
      </c>
      <c r="C960" s="7">
        <v>23.234000000000002</v>
      </c>
      <c r="D960" s="2">
        <f t="shared" si="248"/>
        <v>-9.8999999999996646E-2</v>
      </c>
      <c r="E960" s="8">
        <f t="shared" ref="E960:E962" si="262">E959-F959</f>
        <v>23.289711258370719</v>
      </c>
      <c r="F960" s="6">
        <f t="shared" si="258"/>
        <v>8.2987551867219914E-2</v>
      </c>
      <c r="G960" s="12">
        <f t="shared" si="259"/>
        <v>-5.5711258370717331E-2</v>
      </c>
    </row>
    <row r="961" spans="1:18" x14ac:dyDescent="0.3">
      <c r="A961" s="11" t="s">
        <v>939</v>
      </c>
      <c r="B961" s="7">
        <v>17380</v>
      </c>
      <c r="C961" s="7">
        <v>23.155999999999999</v>
      </c>
      <c r="D961" s="2">
        <f t="shared" si="248"/>
        <v>-7.8000000000002956E-2</v>
      </c>
      <c r="E961" s="8">
        <f>E960-F960</f>
        <v>23.206723706503499</v>
      </c>
      <c r="F961" s="6">
        <f t="shared" si="258"/>
        <v>8.2987551867219914E-2</v>
      </c>
      <c r="G961" s="12">
        <f t="shared" si="259"/>
        <v>-5.0723706503500665E-2</v>
      </c>
    </row>
    <row r="962" spans="1:18" x14ac:dyDescent="0.3">
      <c r="A962" s="11" t="s">
        <v>940</v>
      </c>
      <c r="B962" s="7">
        <v>17400</v>
      </c>
      <c r="C962" s="7">
        <v>23.085000000000001</v>
      </c>
      <c r="D962" s="2">
        <f t="shared" si="248"/>
        <v>-7.0999999999997954E-2</v>
      </c>
      <c r="E962" s="8">
        <f t="shared" si="262"/>
        <v>23.12373615463628</v>
      </c>
      <c r="F962" s="6">
        <f t="shared" si="258"/>
        <v>8.2987551867219914E-2</v>
      </c>
      <c r="G962" s="12">
        <f t="shared" si="259"/>
        <v>-3.8736154636278997E-2</v>
      </c>
    </row>
    <row r="963" spans="1:18" x14ac:dyDescent="0.3">
      <c r="A963" s="11" t="s">
        <v>941</v>
      </c>
      <c r="B963" s="7">
        <v>17420</v>
      </c>
      <c r="C963" s="7">
        <v>23.04</v>
      </c>
      <c r="D963" s="2">
        <f t="shared" si="248"/>
        <v>-4.5000000000001705E-2</v>
      </c>
      <c r="E963" s="8">
        <f t="shared" ref="E963" si="263">E962-F962</f>
        <v>23.04074860276906</v>
      </c>
      <c r="F963" s="6">
        <f t="shared" ref="F963:F978" si="264">F962</f>
        <v>8.2987551867219914E-2</v>
      </c>
      <c r="G963" s="12">
        <f t="shared" ref="G963:G978" si="265">C963-E963</f>
        <v>-7.486027690610797E-4</v>
      </c>
    </row>
    <row r="964" spans="1:18" x14ac:dyDescent="0.3">
      <c r="A964" s="21"/>
      <c r="B964" s="22"/>
      <c r="C964" s="22"/>
      <c r="D964" s="22"/>
      <c r="E964" s="22"/>
      <c r="F964" s="22"/>
      <c r="G964" s="23"/>
      <c r="H964" s="4" t="s">
        <v>3479</v>
      </c>
      <c r="J964" s="4"/>
      <c r="O964" s="3">
        <f>1/O965</f>
        <v>8.4473728670383515E-5</v>
      </c>
      <c r="P964" s="3">
        <f>O964*20</f>
        <v>1.6894745734076704E-3</v>
      </c>
      <c r="Q964" s="3" t="s">
        <v>3200</v>
      </c>
      <c r="R964" s="3">
        <v>11838</v>
      </c>
    </row>
    <row r="965" spans="1:18" x14ac:dyDescent="0.3">
      <c r="A965" s="11" t="s">
        <v>942</v>
      </c>
      <c r="B965" s="7">
        <v>17440</v>
      </c>
      <c r="C965" s="7">
        <v>23.045999999999999</v>
      </c>
      <c r="D965" s="2">
        <f>C965-C963</f>
        <v>6.0000000000002274E-3</v>
      </c>
      <c r="E965" s="8">
        <f>E963-F965</f>
        <v>23.039059128195653</v>
      </c>
      <c r="F965" s="6">
        <f>P964</f>
        <v>1.6894745734076704E-3</v>
      </c>
      <c r="G965" s="12">
        <f>C965-E965</f>
        <v>6.9408718043462159E-3</v>
      </c>
      <c r="H965" s="3">
        <f>B963</f>
        <v>17420</v>
      </c>
      <c r="I965" s="3">
        <f>B1027</f>
        <v>18660</v>
      </c>
      <c r="J965" s="3">
        <f>I965-H965</f>
        <v>1240</v>
      </c>
      <c r="K965" s="5">
        <f>E963</f>
        <v>23.04074860276906</v>
      </c>
      <c r="L965" s="3">
        <f>C1027</f>
        <v>22.936</v>
      </c>
      <c r="M965" s="5">
        <f>L965-K965</f>
        <v>-0.10474860276906028</v>
      </c>
      <c r="N965" s="3">
        <f>J965/M965</f>
        <v>-11837.866732540897</v>
      </c>
      <c r="O965" s="3">
        <v>11838</v>
      </c>
    </row>
    <row r="966" spans="1:18" x14ac:dyDescent="0.3">
      <c r="A966" s="11" t="s">
        <v>943</v>
      </c>
      <c r="B966" s="7">
        <v>17460</v>
      </c>
      <c r="C966" s="7">
        <v>23.068999999999999</v>
      </c>
      <c r="D966" s="2">
        <f t="shared" si="248"/>
        <v>2.2999999999999687E-2</v>
      </c>
      <c r="E966" s="8">
        <f>E965-F965</f>
        <v>23.037369653622246</v>
      </c>
      <c r="F966" s="6">
        <f t="shared" ref="F966" si="266">F965</f>
        <v>1.6894745734076704E-3</v>
      </c>
      <c r="G966" s="12">
        <f t="shared" ref="G966" si="267">C966-E966</f>
        <v>3.1630346377752971E-2</v>
      </c>
    </row>
    <row r="967" spans="1:18" x14ac:dyDescent="0.3">
      <c r="A967" s="11" t="s">
        <v>944</v>
      </c>
      <c r="B967" s="7">
        <v>17480</v>
      </c>
      <c r="C967" s="7">
        <v>23.099</v>
      </c>
      <c r="D967" s="2">
        <f t="shared" si="248"/>
        <v>3.0000000000001137E-2</v>
      </c>
      <c r="E967" s="8">
        <f t="shared" ref="E967:E992" si="268">E966-F966</f>
        <v>23.035680179048839</v>
      </c>
      <c r="F967" s="6">
        <f t="shared" si="264"/>
        <v>1.6894745734076704E-3</v>
      </c>
      <c r="G967" s="12">
        <f t="shared" si="265"/>
        <v>6.3319820951161176E-2</v>
      </c>
    </row>
    <row r="968" spans="1:18" x14ac:dyDescent="0.3">
      <c r="A968" s="11" t="s">
        <v>945</v>
      </c>
      <c r="B968" s="7">
        <v>17500</v>
      </c>
      <c r="C968" s="7">
        <v>23.108000000000001</v>
      </c>
      <c r="D968" s="2">
        <f t="shared" si="248"/>
        <v>9.0000000000003411E-3</v>
      </c>
      <c r="E968" s="8">
        <f t="shared" si="268"/>
        <v>23.033990704475432</v>
      </c>
      <c r="F968" s="6">
        <f t="shared" si="264"/>
        <v>1.6894745734076704E-3</v>
      </c>
      <c r="G968" s="12">
        <f t="shared" si="265"/>
        <v>7.4009295524568586E-2</v>
      </c>
    </row>
    <row r="969" spans="1:18" x14ac:dyDescent="0.3">
      <c r="A969" s="11" t="s">
        <v>946</v>
      </c>
      <c r="B969" s="7">
        <v>17520</v>
      </c>
      <c r="C969" s="7">
        <v>23.116</v>
      </c>
      <c r="D969" s="2">
        <f t="shared" si="248"/>
        <v>7.9999999999991189E-3</v>
      </c>
      <c r="E969" s="8">
        <f t="shared" si="268"/>
        <v>23.032301229902025</v>
      </c>
      <c r="F969" s="6">
        <f t="shared" si="264"/>
        <v>1.6894745734076704E-3</v>
      </c>
      <c r="G969" s="12">
        <f t="shared" si="265"/>
        <v>8.3698770097974773E-2</v>
      </c>
    </row>
    <row r="970" spans="1:18" x14ac:dyDescent="0.3">
      <c r="A970" s="11" t="s">
        <v>947</v>
      </c>
      <c r="B970" s="7">
        <v>17540</v>
      </c>
      <c r="C970" s="7">
        <v>23.120999999999999</v>
      </c>
      <c r="D970" s="2">
        <f t="shared" si="248"/>
        <v>4.9999999999990052E-3</v>
      </c>
      <c r="E970" s="8">
        <f t="shared" si="268"/>
        <v>23.030611755328618</v>
      </c>
      <c r="F970" s="6">
        <f t="shared" si="264"/>
        <v>1.6894745734076704E-3</v>
      </c>
      <c r="G970" s="12">
        <f t="shared" si="265"/>
        <v>9.0388244671380846E-2</v>
      </c>
    </row>
    <row r="971" spans="1:18" x14ac:dyDescent="0.3">
      <c r="A971" s="11" t="s">
        <v>948</v>
      </c>
      <c r="B971" s="7">
        <v>17560</v>
      </c>
      <c r="C971" s="7">
        <v>23.157</v>
      </c>
      <c r="D971" s="2">
        <f t="shared" si="248"/>
        <v>3.6000000000001364E-2</v>
      </c>
      <c r="E971" s="8">
        <f t="shared" si="268"/>
        <v>23.028922280755211</v>
      </c>
      <c r="F971" s="6">
        <f t="shared" si="264"/>
        <v>1.6894745734076704E-3</v>
      </c>
      <c r="G971" s="12">
        <f t="shared" si="265"/>
        <v>0.12807771924478928</v>
      </c>
    </row>
    <row r="972" spans="1:18" x14ac:dyDescent="0.3">
      <c r="A972" s="11" t="s">
        <v>949</v>
      </c>
      <c r="B972" s="7">
        <v>17580</v>
      </c>
      <c r="C972" s="7">
        <v>23.166</v>
      </c>
      <c r="D972" s="2">
        <f t="shared" si="248"/>
        <v>9.0000000000003411E-3</v>
      </c>
      <c r="E972" s="8">
        <f t="shared" si="268"/>
        <v>23.027232806181804</v>
      </c>
      <c r="F972" s="6">
        <f t="shared" si="264"/>
        <v>1.6894745734076704E-3</v>
      </c>
      <c r="G972" s="12">
        <f t="shared" si="265"/>
        <v>0.13876719381819669</v>
      </c>
    </row>
    <row r="973" spans="1:18" x14ac:dyDescent="0.3">
      <c r="A973" s="11" t="s">
        <v>950</v>
      </c>
      <c r="B973" s="7">
        <v>17600</v>
      </c>
      <c r="C973" s="7">
        <v>23.155000000000001</v>
      </c>
      <c r="D973" s="2">
        <f t="shared" si="248"/>
        <v>-1.0999999999999233E-2</v>
      </c>
      <c r="E973" s="8">
        <f t="shared" si="268"/>
        <v>23.025543331608397</v>
      </c>
      <c r="F973" s="6">
        <f t="shared" si="264"/>
        <v>1.6894745734076704E-3</v>
      </c>
      <c r="G973" s="12">
        <f t="shared" si="265"/>
        <v>0.12945666839160452</v>
      </c>
    </row>
    <row r="974" spans="1:18" x14ac:dyDescent="0.3">
      <c r="A974" s="11" t="s">
        <v>951</v>
      </c>
      <c r="B974" s="7">
        <v>17620</v>
      </c>
      <c r="C974" s="7">
        <v>23.143000000000001</v>
      </c>
      <c r="D974" s="2">
        <f t="shared" si="248"/>
        <v>-1.2000000000000455E-2</v>
      </c>
      <c r="E974" s="8">
        <f t="shared" si="268"/>
        <v>23.02385385703499</v>
      </c>
      <c r="F974" s="6">
        <f t="shared" si="264"/>
        <v>1.6894745734076704E-3</v>
      </c>
      <c r="G974" s="12">
        <f t="shared" si="265"/>
        <v>0.11914614296501114</v>
      </c>
    </row>
    <row r="975" spans="1:18" x14ac:dyDescent="0.3">
      <c r="A975" s="11" t="s">
        <v>952</v>
      </c>
      <c r="B975" s="7">
        <v>17640</v>
      </c>
      <c r="C975" s="7">
        <v>23.138000000000002</v>
      </c>
      <c r="D975" s="2">
        <f t="shared" si="248"/>
        <v>-4.9999999999990052E-3</v>
      </c>
      <c r="E975" s="8">
        <f t="shared" si="268"/>
        <v>23.022164382461582</v>
      </c>
      <c r="F975" s="6">
        <f t="shared" si="264"/>
        <v>1.6894745734076704E-3</v>
      </c>
      <c r="G975" s="12">
        <f t="shared" si="265"/>
        <v>0.1158356175384192</v>
      </c>
    </row>
    <row r="976" spans="1:18" x14ac:dyDescent="0.3">
      <c r="A976" s="11" t="s">
        <v>953</v>
      </c>
      <c r="B976" s="7">
        <v>17660</v>
      </c>
      <c r="C976" s="7">
        <v>23.138999999999999</v>
      </c>
      <c r="D976" s="2">
        <f t="shared" si="248"/>
        <v>9.9999999999766942E-4</v>
      </c>
      <c r="E976" s="8">
        <f t="shared" si="268"/>
        <v>23.020474907888175</v>
      </c>
      <c r="F976" s="6">
        <f t="shared" si="264"/>
        <v>1.6894745734076704E-3</v>
      </c>
      <c r="G976" s="12">
        <f t="shared" si="265"/>
        <v>0.11852509211182394</v>
      </c>
    </row>
    <row r="977" spans="1:7" x14ac:dyDescent="0.3">
      <c r="A977" s="11" t="s">
        <v>954</v>
      </c>
      <c r="B977" s="7">
        <v>17680</v>
      </c>
      <c r="C977" s="7">
        <v>23.158999999999999</v>
      </c>
      <c r="D977" s="2">
        <f t="shared" si="248"/>
        <v>1.9999999999999574E-2</v>
      </c>
      <c r="E977" s="8">
        <f t="shared" si="268"/>
        <v>23.018785433314768</v>
      </c>
      <c r="F977" s="6">
        <f t="shared" si="264"/>
        <v>1.6894745734076704E-3</v>
      </c>
      <c r="G977" s="12">
        <f t="shared" si="265"/>
        <v>0.14021456668523058</v>
      </c>
    </row>
    <row r="978" spans="1:7" x14ac:dyDescent="0.3">
      <c r="A978" s="11" t="s">
        <v>955</v>
      </c>
      <c r="B978" s="7">
        <v>17700</v>
      </c>
      <c r="C978" s="7">
        <v>23.19</v>
      </c>
      <c r="D978" s="2">
        <f t="shared" si="248"/>
        <v>3.1000000000002359E-2</v>
      </c>
      <c r="E978" s="8">
        <f t="shared" si="268"/>
        <v>23.017095958741361</v>
      </c>
      <c r="F978" s="6">
        <f t="shared" si="264"/>
        <v>1.6894745734076704E-3</v>
      </c>
      <c r="G978" s="12">
        <f t="shared" si="265"/>
        <v>0.17290404125864001</v>
      </c>
    </row>
    <row r="979" spans="1:7" x14ac:dyDescent="0.3">
      <c r="A979" s="11" t="s">
        <v>956</v>
      </c>
      <c r="B979" s="7">
        <v>17720</v>
      </c>
      <c r="C979" s="7">
        <v>23.204999999999998</v>
      </c>
      <c r="D979" s="2">
        <f t="shared" si="248"/>
        <v>1.4999999999997016E-2</v>
      </c>
      <c r="E979" s="8">
        <f t="shared" si="268"/>
        <v>23.015406484167954</v>
      </c>
      <c r="F979" s="6">
        <f t="shared" ref="F979:F992" si="269">F978</f>
        <v>1.6894745734076704E-3</v>
      </c>
      <c r="G979" s="12">
        <f t="shared" ref="G979:G994" si="270">C979-E979</f>
        <v>0.18959351583204409</v>
      </c>
    </row>
    <row r="980" spans="1:7" x14ac:dyDescent="0.3">
      <c r="A980" s="11" t="s">
        <v>957</v>
      </c>
      <c r="B980" s="7">
        <v>17740</v>
      </c>
      <c r="C980" s="7">
        <v>23.181000000000001</v>
      </c>
      <c r="D980" s="2">
        <f t="shared" si="248"/>
        <v>-2.3999999999997357E-2</v>
      </c>
      <c r="E980" s="8">
        <f t="shared" si="268"/>
        <v>23.013717009594547</v>
      </c>
      <c r="F980" s="6">
        <f t="shared" si="269"/>
        <v>1.6894745734076704E-3</v>
      </c>
      <c r="G980" s="12">
        <f t="shared" si="270"/>
        <v>0.1672829904054538</v>
      </c>
    </row>
    <row r="981" spans="1:7" x14ac:dyDescent="0.3">
      <c r="A981" s="11" t="s">
        <v>958</v>
      </c>
      <c r="B981" s="7">
        <v>17760</v>
      </c>
      <c r="C981" s="7">
        <v>23.16</v>
      </c>
      <c r="D981" s="2">
        <f t="shared" si="248"/>
        <v>-2.1000000000000796E-2</v>
      </c>
      <c r="E981" s="8">
        <f t="shared" si="268"/>
        <v>23.01202753502114</v>
      </c>
      <c r="F981" s="6">
        <f t="shared" si="269"/>
        <v>1.6894745734076704E-3</v>
      </c>
      <c r="G981" s="12">
        <f t="shared" si="270"/>
        <v>0.14797246497886007</v>
      </c>
    </row>
    <row r="982" spans="1:7" x14ac:dyDescent="0.3">
      <c r="A982" s="11" t="s">
        <v>959</v>
      </c>
      <c r="B982" s="7">
        <v>17780</v>
      </c>
      <c r="C982" s="7">
        <v>23.16</v>
      </c>
      <c r="D982" s="2">
        <f t="shared" si="248"/>
        <v>0</v>
      </c>
      <c r="E982" s="8">
        <f t="shared" si="268"/>
        <v>23.010338060447733</v>
      </c>
      <c r="F982" s="6">
        <f t="shared" si="269"/>
        <v>1.6894745734076704E-3</v>
      </c>
      <c r="G982" s="12">
        <f>C982-E982</f>
        <v>0.14966193955226714</v>
      </c>
    </row>
    <row r="983" spans="1:7" x14ac:dyDescent="0.3">
      <c r="A983" s="11" t="s">
        <v>960</v>
      </c>
      <c r="B983" s="7">
        <v>17800</v>
      </c>
      <c r="C983" s="7">
        <v>23.167000000000002</v>
      </c>
      <c r="D983" s="2">
        <f>C983-C982</f>
        <v>7.0000000000014495E-3</v>
      </c>
      <c r="E983" s="8">
        <f t="shared" si="268"/>
        <v>23.008648585874326</v>
      </c>
      <c r="F983" s="6">
        <f t="shared" si="269"/>
        <v>1.6894745734076704E-3</v>
      </c>
      <c r="G983" s="12">
        <f t="shared" si="270"/>
        <v>0.15835141412567566</v>
      </c>
    </row>
    <row r="984" spans="1:7" x14ac:dyDescent="0.3">
      <c r="A984" s="11" t="s">
        <v>961</v>
      </c>
      <c r="B984" s="7">
        <v>17820</v>
      </c>
      <c r="C984" s="7">
        <v>23.173999999999999</v>
      </c>
      <c r="D984" s="2">
        <f>C984-C983</f>
        <v>6.9999999999978968E-3</v>
      </c>
      <c r="E984" s="8">
        <f t="shared" si="268"/>
        <v>23.006959111300919</v>
      </c>
      <c r="F984" s="6">
        <f t="shared" si="269"/>
        <v>1.6894745734076704E-3</v>
      </c>
      <c r="G984" s="12">
        <f t="shared" si="270"/>
        <v>0.16704088869908063</v>
      </c>
    </row>
    <row r="985" spans="1:7" x14ac:dyDescent="0.3">
      <c r="A985" s="11" t="s">
        <v>962</v>
      </c>
      <c r="B985" s="7">
        <v>17840</v>
      </c>
      <c r="C985" s="7">
        <v>23.175999999999998</v>
      </c>
      <c r="D985" s="2">
        <f>C985-C984</f>
        <v>1.9999999999988916E-3</v>
      </c>
      <c r="E985" s="8">
        <f t="shared" si="268"/>
        <v>23.005269636727512</v>
      </c>
      <c r="F985" s="6">
        <f t="shared" si="269"/>
        <v>1.6894745734076704E-3</v>
      </c>
      <c r="G985" s="12">
        <f t="shared" si="270"/>
        <v>0.17073036327248658</v>
      </c>
    </row>
    <row r="986" spans="1:7" x14ac:dyDescent="0.3">
      <c r="A986" s="11" t="s">
        <v>963</v>
      </c>
      <c r="B986" s="7">
        <v>17860</v>
      </c>
      <c r="C986" s="7">
        <v>23.167999999999999</v>
      </c>
      <c r="D986" s="2">
        <f t="shared" si="248"/>
        <v>-7.9999999999991189E-3</v>
      </c>
      <c r="E986" s="8">
        <f t="shared" si="268"/>
        <v>23.003580162154105</v>
      </c>
      <c r="F986" s="6">
        <f t="shared" si="269"/>
        <v>1.6894745734076704E-3</v>
      </c>
      <c r="G986" s="12">
        <f t="shared" si="270"/>
        <v>0.16441983784589453</v>
      </c>
    </row>
    <row r="987" spans="1:7" x14ac:dyDescent="0.3">
      <c r="A987" s="11" t="s">
        <v>964</v>
      </c>
      <c r="B987" s="7">
        <v>17880</v>
      </c>
      <c r="C987" s="7">
        <v>23.181999999999999</v>
      </c>
      <c r="D987" s="2">
        <f t="shared" si="248"/>
        <v>1.3999999999999346E-2</v>
      </c>
      <c r="E987" s="8">
        <f t="shared" si="268"/>
        <v>23.001890687580698</v>
      </c>
      <c r="F987" s="6">
        <f t="shared" si="269"/>
        <v>1.6894745734076704E-3</v>
      </c>
      <c r="G987" s="12">
        <f t="shared" si="270"/>
        <v>0.18010931241930095</v>
      </c>
    </row>
    <row r="988" spans="1:7" x14ac:dyDescent="0.3">
      <c r="A988" s="11" t="s">
        <v>965</v>
      </c>
      <c r="B988" s="7">
        <v>17900</v>
      </c>
      <c r="C988" s="7">
        <v>23.19</v>
      </c>
      <c r="D988" s="2">
        <f t="shared" si="248"/>
        <v>8.0000000000026716E-3</v>
      </c>
      <c r="E988" s="8">
        <f t="shared" si="268"/>
        <v>23.000201213007291</v>
      </c>
      <c r="F988" s="6">
        <f t="shared" si="269"/>
        <v>1.6894745734076704E-3</v>
      </c>
      <c r="G988" s="12">
        <f t="shared" si="270"/>
        <v>0.18979878699271069</v>
      </c>
    </row>
    <row r="989" spans="1:7" x14ac:dyDescent="0.3">
      <c r="A989" s="11" t="s">
        <v>966</v>
      </c>
      <c r="B989" s="7">
        <v>17920</v>
      </c>
      <c r="C989" s="7">
        <v>23.183</v>
      </c>
      <c r="D989" s="2">
        <f t="shared" si="248"/>
        <v>-7.0000000000014495E-3</v>
      </c>
      <c r="E989" s="8">
        <f t="shared" si="268"/>
        <v>22.998511738433884</v>
      </c>
      <c r="F989" s="6">
        <f t="shared" si="269"/>
        <v>1.6894745734076704E-3</v>
      </c>
      <c r="G989" s="12">
        <f t="shared" si="270"/>
        <v>0.18448826156611631</v>
      </c>
    </row>
    <row r="990" spans="1:7" x14ac:dyDescent="0.3">
      <c r="A990" s="11" t="s">
        <v>967</v>
      </c>
      <c r="B990" s="7">
        <v>17940</v>
      </c>
      <c r="C990" s="7">
        <v>23.167000000000002</v>
      </c>
      <c r="D990" s="2">
        <f t="shared" si="248"/>
        <v>-1.5999999999998238E-2</v>
      </c>
      <c r="E990" s="8">
        <f t="shared" si="268"/>
        <v>22.996822263860476</v>
      </c>
      <c r="F990" s="6">
        <f t="shared" si="269"/>
        <v>1.6894745734076704E-3</v>
      </c>
      <c r="G990" s="12">
        <f t="shared" si="270"/>
        <v>0.17017773613952514</v>
      </c>
    </row>
    <row r="991" spans="1:7" x14ac:dyDescent="0.3">
      <c r="A991" s="11" t="s">
        <v>968</v>
      </c>
      <c r="B991" s="7">
        <v>17960</v>
      </c>
      <c r="C991" s="7">
        <v>23.143999999999998</v>
      </c>
      <c r="D991" s="2">
        <f t="shared" ref="D991:D1059" si="271">C991-C990</f>
        <v>-2.300000000000324E-2</v>
      </c>
      <c r="E991" s="8">
        <f t="shared" si="268"/>
        <v>22.995132789287069</v>
      </c>
      <c r="F991" s="6">
        <f t="shared" si="269"/>
        <v>1.6894745734076704E-3</v>
      </c>
      <c r="G991" s="12">
        <f t="shared" si="270"/>
        <v>0.14886721071292897</v>
      </c>
    </row>
    <row r="992" spans="1:7" x14ac:dyDescent="0.3">
      <c r="A992" s="11" t="s">
        <v>969</v>
      </c>
      <c r="B992" s="7">
        <v>17980</v>
      </c>
      <c r="C992" s="7">
        <v>23.132999999999999</v>
      </c>
      <c r="D992" s="2">
        <f t="shared" si="271"/>
        <v>-1.0999999999999233E-2</v>
      </c>
      <c r="E992" s="8">
        <f t="shared" si="268"/>
        <v>22.993443314713662</v>
      </c>
      <c r="F992" s="6">
        <f t="shared" si="269"/>
        <v>1.6894745734076704E-3</v>
      </c>
      <c r="G992" s="12">
        <f t="shared" si="270"/>
        <v>0.1395566852863368</v>
      </c>
    </row>
    <row r="993" spans="1:13" x14ac:dyDescent="0.3">
      <c r="A993" s="13" t="s">
        <v>970</v>
      </c>
      <c r="B993" s="24"/>
      <c r="C993" s="25"/>
      <c r="D993" s="25"/>
      <c r="E993" s="25"/>
      <c r="F993" s="25"/>
      <c r="G993" s="26"/>
    </row>
    <row r="994" spans="1:13" x14ac:dyDescent="0.3">
      <c r="A994" s="11" t="s">
        <v>971</v>
      </c>
      <c r="B994" s="7">
        <v>18000</v>
      </c>
      <c r="C994" s="7">
        <v>23.126000000000001</v>
      </c>
      <c r="D994" s="2">
        <f>C994-C992</f>
        <v>-6.9999999999978968E-3</v>
      </c>
      <c r="E994" s="8">
        <f>E992-F992</f>
        <v>22.991753840140255</v>
      </c>
      <c r="F994" s="6">
        <f>F992</f>
        <v>1.6894745734076704E-3</v>
      </c>
      <c r="G994" s="12">
        <f t="shared" si="270"/>
        <v>0.13424615985974597</v>
      </c>
    </row>
    <row r="995" spans="1:13" x14ac:dyDescent="0.3">
      <c r="A995" s="11" t="s">
        <v>972</v>
      </c>
      <c r="B995" s="7">
        <v>18020</v>
      </c>
      <c r="C995" s="7">
        <v>23.129000000000001</v>
      </c>
      <c r="D995" s="2">
        <f t="shared" si="271"/>
        <v>3.0000000000001137E-3</v>
      </c>
      <c r="E995" s="8">
        <f>E994-F994</f>
        <v>22.990064365566848</v>
      </c>
      <c r="F995" s="6">
        <f t="shared" ref="F995:F1007" si="272">F994</f>
        <v>1.6894745734076704E-3</v>
      </c>
      <c r="G995" s="12">
        <f t="shared" ref="G995:G1007" si="273">C995-E995</f>
        <v>0.13893563443315315</v>
      </c>
    </row>
    <row r="996" spans="1:13" x14ac:dyDescent="0.3">
      <c r="A996" s="11" t="s">
        <v>973</v>
      </c>
      <c r="B996" s="7">
        <v>18040</v>
      </c>
      <c r="C996" s="7">
        <v>23.135999999999999</v>
      </c>
      <c r="D996" s="2">
        <f t="shared" si="271"/>
        <v>6.9999999999978968E-3</v>
      </c>
      <c r="E996" s="8">
        <f t="shared" ref="E996:E1027" si="274">E995-F995</f>
        <v>22.988374890993441</v>
      </c>
      <c r="F996" s="6">
        <f t="shared" si="272"/>
        <v>1.6894745734076704E-3</v>
      </c>
      <c r="G996" s="12">
        <f t="shared" si="273"/>
        <v>0.14762510900655812</v>
      </c>
    </row>
    <row r="997" spans="1:13" x14ac:dyDescent="0.3">
      <c r="A997" s="11" t="s">
        <v>974</v>
      </c>
      <c r="B997" s="7">
        <v>18060</v>
      </c>
      <c r="C997" s="7">
        <v>23.145</v>
      </c>
      <c r="D997" s="2">
        <f t="shared" si="271"/>
        <v>9.0000000000003411E-3</v>
      </c>
      <c r="E997" s="8">
        <f t="shared" si="274"/>
        <v>22.986685416420034</v>
      </c>
      <c r="F997" s="6">
        <f t="shared" si="272"/>
        <v>1.6894745734076704E-3</v>
      </c>
      <c r="G997" s="12">
        <f t="shared" si="273"/>
        <v>0.15831458357996553</v>
      </c>
    </row>
    <row r="998" spans="1:13" x14ac:dyDescent="0.3">
      <c r="A998" s="11" t="s">
        <v>975</v>
      </c>
      <c r="B998" s="7">
        <v>18080</v>
      </c>
      <c r="C998" s="7">
        <v>23.128</v>
      </c>
      <c r="D998" s="2">
        <f t="shared" si="271"/>
        <v>-1.699999999999946E-2</v>
      </c>
      <c r="E998" s="8">
        <f t="shared" si="274"/>
        <v>22.984995941846627</v>
      </c>
      <c r="F998" s="6">
        <f t="shared" si="272"/>
        <v>1.6894745734076704E-3</v>
      </c>
      <c r="G998" s="12">
        <f t="shared" si="273"/>
        <v>0.14300405815337314</v>
      </c>
    </row>
    <row r="999" spans="1:13" x14ac:dyDescent="0.3">
      <c r="A999" s="11" t="s">
        <v>976</v>
      </c>
      <c r="B999" s="7">
        <v>18100</v>
      </c>
      <c r="C999" s="7">
        <v>23.12</v>
      </c>
      <c r="D999" s="2">
        <f t="shared" si="271"/>
        <v>-7.9999999999991189E-3</v>
      </c>
      <c r="E999" s="8">
        <f t="shared" si="274"/>
        <v>22.98330646727322</v>
      </c>
      <c r="F999" s="6">
        <f t="shared" si="272"/>
        <v>1.6894745734076704E-3</v>
      </c>
      <c r="G999" s="12">
        <f t="shared" si="273"/>
        <v>0.13669353272678109</v>
      </c>
    </row>
    <row r="1000" spans="1:13" x14ac:dyDescent="0.3">
      <c r="A1000" s="11" t="s">
        <v>977</v>
      </c>
      <c r="B1000" s="7">
        <v>18120</v>
      </c>
      <c r="C1000" s="7">
        <v>23.135000000000002</v>
      </c>
      <c r="D1000" s="2">
        <f t="shared" si="271"/>
        <v>1.5000000000000568E-2</v>
      </c>
      <c r="E1000" s="8">
        <f t="shared" si="274"/>
        <v>22.981616992699813</v>
      </c>
      <c r="F1000" s="6">
        <f t="shared" si="272"/>
        <v>1.6894745734076704E-3</v>
      </c>
      <c r="G1000" s="12">
        <f t="shared" si="273"/>
        <v>0.15338300730018872</v>
      </c>
    </row>
    <row r="1001" spans="1:13" x14ac:dyDescent="0.3">
      <c r="A1001" s="11" t="s">
        <v>978</v>
      </c>
      <c r="B1001" s="7">
        <v>18140</v>
      </c>
      <c r="C1001" s="7">
        <v>23.123999999999999</v>
      </c>
      <c r="D1001" s="2">
        <f t="shared" si="271"/>
        <v>-1.1000000000002785E-2</v>
      </c>
      <c r="E1001" s="8">
        <f t="shared" si="274"/>
        <v>22.979927518126406</v>
      </c>
      <c r="F1001" s="6">
        <f t="shared" si="272"/>
        <v>1.6894745734076704E-3</v>
      </c>
      <c r="G1001" s="12">
        <f t="shared" si="273"/>
        <v>0.14407248187359301</v>
      </c>
    </row>
    <row r="1002" spans="1:13" x14ac:dyDescent="0.3">
      <c r="A1002" s="11" t="s">
        <v>979</v>
      </c>
      <c r="B1002" s="7">
        <v>18160</v>
      </c>
      <c r="C1002" s="7">
        <v>23.106999999999999</v>
      </c>
      <c r="D1002" s="2">
        <f t="shared" si="271"/>
        <v>-1.699999999999946E-2</v>
      </c>
      <c r="E1002" s="8">
        <f t="shared" si="274"/>
        <v>22.978238043552999</v>
      </c>
      <c r="F1002" s="6">
        <f t="shared" si="272"/>
        <v>1.6894745734076704E-3</v>
      </c>
      <c r="G1002" s="12">
        <f t="shared" si="273"/>
        <v>0.12876195644700061</v>
      </c>
    </row>
    <row r="1003" spans="1:13" x14ac:dyDescent="0.3">
      <c r="A1003" s="11" t="s">
        <v>980</v>
      </c>
      <c r="B1003" s="7">
        <v>18180</v>
      </c>
      <c r="C1003" s="7">
        <v>23.093</v>
      </c>
      <c r="D1003" s="2">
        <f t="shared" si="271"/>
        <v>-1.3999999999999346E-2</v>
      </c>
      <c r="E1003" s="8">
        <f t="shared" si="274"/>
        <v>22.976548568979592</v>
      </c>
      <c r="F1003" s="6">
        <f t="shared" si="272"/>
        <v>1.6894745734076704E-3</v>
      </c>
      <c r="G1003" s="12">
        <f t="shared" si="273"/>
        <v>0.11645143102040834</v>
      </c>
    </row>
    <row r="1004" spans="1:13" x14ac:dyDescent="0.3">
      <c r="A1004" s="11" t="s">
        <v>981</v>
      </c>
      <c r="B1004" s="7">
        <v>18200</v>
      </c>
      <c r="C1004" s="7">
        <v>23.062000000000001</v>
      </c>
      <c r="D1004" s="2">
        <f t="shared" si="271"/>
        <v>-3.0999999999998806E-2</v>
      </c>
      <c r="E1004" s="8">
        <f t="shared" si="274"/>
        <v>22.974859094406185</v>
      </c>
      <c r="F1004" s="6">
        <f t="shared" si="272"/>
        <v>1.6894745734076704E-3</v>
      </c>
      <c r="G1004" s="12">
        <f t="shared" si="273"/>
        <v>8.7140905593816598E-2</v>
      </c>
    </row>
    <row r="1005" spans="1:13" x14ac:dyDescent="0.3">
      <c r="A1005" s="11" t="s">
        <v>982</v>
      </c>
      <c r="B1005" s="7">
        <v>18220</v>
      </c>
      <c r="C1005" s="7">
        <v>23.039000000000001</v>
      </c>
      <c r="D1005" s="2">
        <f>C1005-C1004</f>
        <v>-2.2999999999999687E-2</v>
      </c>
      <c r="E1005" s="8">
        <f t="shared" si="274"/>
        <v>22.973169619832777</v>
      </c>
      <c r="F1005" s="6">
        <f>F1004</f>
        <v>1.6894745734076704E-3</v>
      </c>
      <c r="G1005" s="12">
        <f>C1005-E1005</f>
        <v>6.5830380167223979E-2</v>
      </c>
      <c r="K1005" s="5"/>
      <c r="M1005" s="5"/>
    </row>
    <row r="1006" spans="1:13" x14ac:dyDescent="0.3">
      <c r="A1006" s="11" t="s">
        <v>983</v>
      </c>
      <c r="B1006" s="7">
        <v>18240</v>
      </c>
      <c r="C1006" s="7">
        <v>23.052</v>
      </c>
      <c r="D1006" s="2">
        <f t="shared" si="271"/>
        <v>1.2999999999998124E-2</v>
      </c>
      <c r="E1006" s="8">
        <f t="shared" si="274"/>
        <v>22.97148014525937</v>
      </c>
      <c r="F1006" s="6">
        <f t="shared" ref="F1006" si="275">F1005</f>
        <v>1.6894745734076704E-3</v>
      </c>
      <c r="G1006" s="12">
        <f t="shared" ref="G1006" si="276">C1006-E1006</f>
        <v>8.0519854740629171E-2</v>
      </c>
    </row>
    <row r="1007" spans="1:13" x14ac:dyDescent="0.3">
      <c r="A1007" s="11" t="s">
        <v>984</v>
      </c>
      <c r="B1007" s="7">
        <v>18260</v>
      </c>
      <c r="C1007" s="7">
        <v>23.047999999999998</v>
      </c>
      <c r="D1007" s="2">
        <f t="shared" si="271"/>
        <v>-4.0000000000013358E-3</v>
      </c>
      <c r="E1007" s="8">
        <f t="shared" si="274"/>
        <v>22.969790670685963</v>
      </c>
      <c r="F1007" s="6">
        <f t="shared" si="272"/>
        <v>1.6894745734076704E-3</v>
      </c>
      <c r="G1007" s="12">
        <f t="shared" si="273"/>
        <v>7.8209329314034903E-2</v>
      </c>
    </row>
    <row r="1008" spans="1:13" x14ac:dyDescent="0.3">
      <c r="A1008" s="11" t="s">
        <v>985</v>
      </c>
      <c r="B1008" s="7">
        <v>18280</v>
      </c>
      <c r="C1008" s="7">
        <v>22.992999999999999</v>
      </c>
      <c r="D1008" s="2">
        <f t="shared" si="271"/>
        <v>-5.4999999999999716E-2</v>
      </c>
      <c r="E1008" s="8">
        <f t="shared" si="274"/>
        <v>22.968101196112556</v>
      </c>
      <c r="F1008" s="6">
        <f t="shared" ref="F1008:F1024" si="277">F1007</f>
        <v>1.6894745734076704E-3</v>
      </c>
      <c r="G1008" s="12">
        <f t="shared" ref="G1008:G1024" si="278">C1008-E1008</f>
        <v>2.4898803887442256E-2</v>
      </c>
    </row>
    <row r="1009" spans="1:7" x14ac:dyDescent="0.3">
      <c r="A1009" s="11" t="s">
        <v>986</v>
      </c>
      <c r="B1009" s="7">
        <v>18300</v>
      </c>
      <c r="C1009" s="7">
        <v>22.96</v>
      </c>
      <c r="D1009" s="2">
        <f t="shared" si="271"/>
        <v>-3.2999999999997698E-2</v>
      </c>
      <c r="E1009" s="8">
        <f t="shared" si="274"/>
        <v>22.966411721539149</v>
      </c>
      <c r="F1009" s="6">
        <f t="shared" si="277"/>
        <v>1.6894745734076704E-3</v>
      </c>
      <c r="G1009" s="12">
        <f t="shared" si="278"/>
        <v>-6.4117215391483739E-3</v>
      </c>
    </row>
    <row r="1010" spans="1:7" x14ac:dyDescent="0.3">
      <c r="A1010" s="11" t="s">
        <v>987</v>
      </c>
      <c r="B1010" s="7">
        <v>18320</v>
      </c>
      <c r="C1010" s="7">
        <v>22.972999999999999</v>
      </c>
      <c r="D1010" s="2">
        <f t="shared" si="271"/>
        <v>1.2999999999998124E-2</v>
      </c>
      <c r="E1010" s="8">
        <f t="shared" si="274"/>
        <v>22.964722246965742</v>
      </c>
      <c r="F1010" s="6">
        <f t="shared" si="277"/>
        <v>1.6894745734076704E-3</v>
      </c>
      <c r="G1010" s="12">
        <f t="shared" si="278"/>
        <v>8.2777530342568184E-3</v>
      </c>
    </row>
    <row r="1011" spans="1:7" x14ac:dyDescent="0.3">
      <c r="A1011" s="11" t="s">
        <v>988</v>
      </c>
      <c r="B1011" s="7">
        <v>18340</v>
      </c>
      <c r="C1011" s="7">
        <v>22.977</v>
      </c>
      <c r="D1011" s="2">
        <f t="shared" si="271"/>
        <v>4.0000000000013358E-3</v>
      </c>
      <c r="E1011" s="8">
        <f t="shared" si="274"/>
        <v>22.963032772392335</v>
      </c>
      <c r="F1011" s="6">
        <f t="shared" si="277"/>
        <v>1.6894745734076704E-3</v>
      </c>
      <c r="G1011" s="12">
        <f t="shared" si="278"/>
        <v>1.3967227607665222E-2</v>
      </c>
    </row>
    <row r="1012" spans="1:7" x14ac:dyDescent="0.3">
      <c r="A1012" s="11" t="s">
        <v>989</v>
      </c>
      <c r="B1012" s="7">
        <v>18360</v>
      </c>
      <c r="C1012" s="7">
        <v>22.974</v>
      </c>
      <c r="D1012" s="2">
        <f t="shared" si="271"/>
        <v>-3.0000000000001137E-3</v>
      </c>
      <c r="E1012" s="8">
        <f t="shared" si="274"/>
        <v>22.961343297818928</v>
      </c>
      <c r="F1012" s="6">
        <f t="shared" si="277"/>
        <v>1.6894745734076704E-3</v>
      </c>
      <c r="G1012" s="12">
        <f t="shared" si="278"/>
        <v>1.2656702181072177E-2</v>
      </c>
    </row>
    <row r="1013" spans="1:7" x14ac:dyDescent="0.3">
      <c r="A1013" s="11" t="s">
        <v>990</v>
      </c>
      <c r="B1013" s="7">
        <v>18380</v>
      </c>
      <c r="C1013" s="7">
        <v>22.965</v>
      </c>
      <c r="D1013" s="2">
        <f t="shared" si="271"/>
        <v>-9.0000000000003411E-3</v>
      </c>
      <c r="E1013" s="8">
        <f t="shared" si="274"/>
        <v>22.959653823245521</v>
      </c>
      <c r="F1013" s="6">
        <f t="shared" si="277"/>
        <v>1.6894745734076704E-3</v>
      </c>
      <c r="G1013" s="12">
        <f t="shared" si="278"/>
        <v>5.3461767544789041E-3</v>
      </c>
    </row>
    <row r="1014" spans="1:7" x14ac:dyDescent="0.3">
      <c r="A1014" s="11" t="s">
        <v>991</v>
      </c>
      <c r="B1014" s="7">
        <v>18400</v>
      </c>
      <c r="C1014" s="7">
        <v>22.94</v>
      </c>
      <c r="D1014" s="2">
        <f t="shared" si="271"/>
        <v>-2.4999999999998579E-2</v>
      </c>
      <c r="E1014" s="8">
        <f t="shared" si="274"/>
        <v>22.957964348672114</v>
      </c>
      <c r="F1014" s="6">
        <f t="shared" si="277"/>
        <v>1.6894745734076704E-3</v>
      </c>
      <c r="G1014" s="12">
        <f t="shared" si="278"/>
        <v>-1.7964348672112607E-2</v>
      </c>
    </row>
    <row r="1015" spans="1:7" x14ac:dyDescent="0.3">
      <c r="A1015" s="11" t="s">
        <v>992</v>
      </c>
      <c r="B1015" s="7">
        <v>18420</v>
      </c>
      <c r="C1015" s="7">
        <v>22.908000000000001</v>
      </c>
      <c r="D1015" s="2">
        <f t="shared" si="271"/>
        <v>-3.2000000000000028E-2</v>
      </c>
      <c r="E1015" s="8">
        <f t="shared" si="274"/>
        <v>22.956274874098707</v>
      </c>
      <c r="F1015" s="6">
        <f t="shared" si="277"/>
        <v>1.6894745734076704E-3</v>
      </c>
      <c r="G1015" s="12">
        <f t="shared" si="278"/>
        <v>-4.8274874098705567E-2</v>
      </c>
    </row>
    <row r="1016" spans="1:7" x14ac:dyDescent="0.3">
      <c r="A1016" s="11" t="s">
        <v>993</v>
      </c>
      <c r="B1016" s="7">
        <v>18440</v>
      </c>
      <c r="C1016" s="7">
        <v>22.884</v>
      </c>
      <c r="D1016" s="2">
        <f t="shared" si="271"/>
        <v>-2.4000000000000909E-2</v>
      </c>
      <c r="E1016" s="8">
        <f t="shared" si="274"/>
        <v>22.9545853995253</v>
      </c>
      <c r="F1016" s="6">
        <f t="shared" si="277"/>
        <v>1.6894745734076704E-3</v>
      </c>
      <c r="G1016" s="12">
        <f t="shared" si="278"/>
        <v>-7.0585399525299408E-2</v>
      </c>
    </row>
    <row r="1017" spans="1:7" x14ac:dyDescent="0.3">
      <c r="A1017" s="11" t="s">
        <v>994</v>
      </c>
      <c r="B1017" s="7">
        <v>18460</v>
      </c>
      <c r="C1017" s="7">
        <v>22.888999999999999</v>
      </c>
      <c r="D1017" s="2">
        <f t="shared" si="271"/>
        <v>4.9999999999990052E-3</v>
      </c>
      <c r="E1017" s="8">
        <f t="shared" si="274"/>
        <v>22.952895924951893</v>
      </c>
      <c r="F1017" s="6">
        <f t="shared" si="277"/>
        <v>1.6894745734076704E-3</v>
      </c>
      <c r="G1017" s="12">
        <f t="shared" si="278"/>
        <v>-6.3895924951893335E-2</v>
      </c>
    </row>
    <row r="1018" spans="1:7" x14ac:dyDescent="0.3">
      <c r="A1018" s="11" t="s">
        <v>995</v>
      </c>
      <c r="B1018" s="7">
        <v>18480</v>
      </c>
      <c r="C1018" s="7">
        <v>22.914999999999999</v>
      </c>
      <c r="D1018" s="2">
        <f t="shared" si="271"/>
        <v>2.5999999999999801E-2</v>
      </c>
      <c r="E1018" s="8">
        <f t="shared" si="274"/>
        <v>22.951206450378486</v>
      </c>
      <c r="F1018" s="6">
        <f t="shared" si="277"/>
        <v>1.6894745734076704E-3</v>
      </c>
      <c r="G1018" s="12">
        <f t="shared" si="278"/>
        <v>-3.6206450378486466E-2</v>
      </c>
    </row>
    <row r="1019" spans="1:7" x14ac:dyDescent="0.3">
      <c r="A1019" s="11" t="s">
        <v>996</v>
      </c>
      <c r="B1019" s="7">
        <v>18500</v>
      </c>
      <c r="C1019" s="7">
        <v>22.922999999999998</v>
      </c>
      <c r="D1019" s="2">
        <f t="shared" si="271"/>
        <v>7.9999999999991189E-3</v>
      </c>
      <c r="E1019" s="8">
        <f t="shared" si="274"/>
        <v>22.949516975805079</v>
      </c>
      <c r="F1019" s="6">
        <f t="shared" si="277"/>
        <v>1.6894745734076704E-3</v>
      </c>
      <c r="G1019" s="12">
        <f t="shared" si="278"/>
        <v>-2.6516975805080278E-2</v>
      </c>
    </row>
    <row r="1020" spans="1:7" x14ac:dyDescent="0.3">
      <c r="A1020" s="11" t="s">
        <v>997</v>
      </c>
      <c r="B1020" s="7">
        <v>18520</v>
      </c>
      <c r="C1020" s="7">
        <v>22.946999999999999</v>
      </c>
      <c r="D1020" s="2">
        <f t="shared" si="271"/>
        <v>2.4000000000000909E-2</v>
      </c>
      <c r="E1020" s="8">
        <f t="shared" si="274"/>
        <v>22.947827501231671</v>
      </c>
      <c r="F1020" s="6">
        <f t="shared" si="277"/>
        <v>1.6894745734076704E-3</v>
      </c>
      <c r="G1020" s="12">
        <f t="shared" si="278"/>
        <v>-8.2750123167230072E-4</v>
      </c>
    </row>
    <row r="1021" spans="1:7" x14ac:dyDescent="0.3">
      <c r="A1021" s="11" t="s">
        <v>998</v>
      </c>
      <c r="B1021" s="7">
        <v>18540</v>
      </c>
      <c r="C1021" s="7">
        <v>22.966000000000001</v>
      </c>
      <c r="D1021" s="2">
        <f t="shared" si="271"/>
        <v>1.9000000000001904E-2</v>
      </c>
      <c r="E1021" s="8">
        <f t="shared" si="274"/>
        <v>22.946138026658264</v>
      </c>
      <c r="F1021" s="6">
        <f t="shared" si="277"/>
        <v>1.6894745734076704E-3</v>
      </c>
      <c r="G1021" s="12">
        <f t="shared" si="278"/>
        <v>1.9861973341736672E-2</v>
      </c>
    </row>
    <row r="1022" spans="1:7" x14ac:dyDescent="0.3">
      <c r="A1022" s="11" t="s">
        <v>999</v>
      </c>
      <c r="B1022" s="7">
        <v>18560</v>
      </c>
      <c r="C1022" s="7">
        <v>22.978000000000002</v>
      </c>
      <c r="D1022" s="2">
        <f t="shared" si="271"/>
        <v>1.2000000000000455E-2</v>
      </c>
      <c r="E1022" s="8">
        <f t="shared" si="274"/>
        <v>22.944448552084857</v>
      </c>
      <c r="F1022" s="6">
        <f t="shared" si="277"/>
        <v>1.6894745734076704E-3</v>
      </c>
      <c r="G1022" s="12">
        <f t="shared" si="278"/>
        <v>3.3551447915144195E-2</v>
      </c>
    </row>
    <row r="1023" spans="1:7" x14ac:dyDescent="0.3">
      <c r="A1023" s="11" t="s">
        <v>1000</v>
      </c>
      <c r="B1023" s="7">
        <v>18580</v>
      </c>
      <c r="C1023" s="7">
        <v>22.998999999999999</v>
      </c>
      <c r="D1023" s="2">
        <f t="shared" si="271"/>
        <v>2.0999999999997243E-2</v>
      </c>
      <c r="E1023" s="8">
        <f t="shared" si="274"/>
        <v>22.94275907751145</v>
      </c>
      <c r="F1023" s="6">
        <f t="shared" si="277"/>
        <v>1.6894745734076704E-3</v>
      </c>
      <c r="G1023" s="12">
        <f t="shared" si="278"/>
        <v>5.6240922488548506E-2</v>
      </c>
    </row>
    <row r="1024" spans="1:7" x14ac:dyDescent="0.3">
      <c r="A1024" s="11" t="s">
        <v>1001</v>
      </c>
      <c r="B1024" s="7">
        <v>18600</v>
      </c>
      <c r="C1024" s="7">
        <v>23</v>
      </c>
      <c r="D1024" s="2">
        <f t="shared" si="271"/>
        <v>1.0000000000012221E-3</v>
      </c>
      <c r="E1024" s="8">
        <f t="shared" si="274"/>
        <v>22.941069602938043</v>
      </c>
      <c r="F1024" s="6">
        <f t="shared" si="277"/>
        <v>1.6894745734076704E-3</v>
      </c>
      <c r="G1024" s="12">
        <f t="shared" si="278"/>
        <v>5.8930397061956796E-2</v>
      </c>
    </row>
    <row r="1025" spans="1:18" x14ac:dyDescent="0.3">
      <c r="A1025" s="11" t="s">
        <v>1002</v>
      </c>
      <c r="B1025" s="7">
        <v>18620</v>
      </c>
      <c r="C1025" s="7">
        <v>22.963000000000001</v>
      </c>
      <c r="D1025" s="2">
        <f t="shared" si="271"/>
        <v>-3.6999999999999034E-2</v>
      </c>
      <c r="E1025" s="8">
        <f t="shared" si="274"/>
        <v>22.939380128364636</v>
      </c>
      <c r="F1025" s="6">
        <f t="shared" ref="F1025:F1076" si="279">F1024</f>
        <v>1.6894745734076704E-3</v>
      </c>
      <c r="G1025" s="12">
        <f t="shared" ref="G1025:G1076" si="280">C1025-E1025</f>
        <v>2.3619871635364831E-2</v>
      </c>
    </row>
    <row r="1026" spans="1:18" x14ac:dyDescent="0.3">
      <c r="A1026" s="11" t="s">
        <v>1003</v>
      </c>
      <c r="B1026" s="7">
        <v>18640</v>
      </c>
      <c r="C1026" s="7">
        <v>22.943999999999999</v>
      </c>
      <c r="D1026" s="2">
        <f t="shared" si="271"/>
        <v>-1.9000000000001904E-2</v>
      </c>
      <c r="E1026" s="8">
        <f t="shared" si="274"/>
        <v>22.937690653791229</v>
      </c>
      <c r="F1026" s="6">
        <f t="shared" si="279"/>
        <v>1.6894745734076704E-3</v>
      </c>
      <c r="G1026" s="12">
        <f t="shared" si="280"/>
        <v>6.3093462087699947E-3</v>
      </c>
    </row>
    <row r="1027" spans="1:18" x14ac:dyDescent="0.3">
      <c r="A1027" s="11" t="s">
        <v>1004</v>
      </c>
      <c r="B1027" s="7">
        <v>18660</v>
      </c>
      <c r="C1027" s="7">
        <v>22.936</v>
      </c>
      <c r="D1027" s="2">
        <f t="shared" si="271"/>
        <v>-7.9999999999991189E-3</v>
      </c>
      <c r="E1027" s="8">
        <f t="shared" si="274"/>
        <v>22.936001179217822</v>
      </c>
      <c r="F1027" s="6">
        <f t="shared" si="279"/>
        <v>1.6894745734076704E-3</v>
      </c>
      <c r="G1027" s="12">
        <f t="shared" si="280"/>
        <v>-1.179217822055989E-6</v>
      </c>
    </row>
    <row r="1028" spans="1:18" x14ac:dyDescent="0.3">
      <c r="A1028" s="11"/>
      <c r="B1028" s="7"/>
      <c r="C1028" s="7"/>
      <c r="D1028" s="2"/>
      <c r="E1028" s="8"/>
      <c r="F1028" s="6"/>
      <c r="G1028" s="12"/>
      <c r="H1028" s="4" t="s">
        <v>3360</v>
      </c>
      <c r="J1028" s="4"/>
      <c r="O1028" s="3">
        <f>1/O1029</f>
        <v>2.0768431983385254E-4</v>
      </c>
      <c r="P1028" s="3">
        <f>O1028*20</f>
        <v>4.1536863966770508E-3</v>
      </c>
      <c r="Q1028" s="3" t="s">
        <v>3202</v>
      </c>
      <c r="R1028" s="3">
        <v>4815</v>
      </c>
    </row>
    <row r="1029" spans="1:18" x14ac:dyDescent="0.3">
      <c r="A1029" s="11" t="s">
        <v>1005</v>
      </c>
      <c r="B1029" s="7">
        <v>18680</v>
      </c>
      <c r="C1029" s="7">
        <v>22.91</v>
      </c>
      <c r="D1029" s="2">
        <f>C1029-C1027</f>
        <v>-2.5999999999999801E-2</v>
      </c>
      <c r="E1029" s="8">
        <f>E1027+F1029</f>
        <v>22.940154865614499</v>
      </c>
      <c r="F1029" s="6">
        <f>P1028</f>
        <v>4.1536863966770508E-3</v>
      </c>
      <c r="G1029" s="12">
        <f t="shared" si="280"/>
        <v>-3.015486561449876E-2</v>
      </c>
      <c r="H1029" s="3">
        <f>B1027</f>
        <v>18660</v>
      </c>
      <c r="I1029" s="3">
        <f>B1072</f>
        <v>19440</v>
      </c>
      <c r="J1029" s="3">
        <f>I1029-H1029</f>
        <v>780</v>
      </c>
      <c r="K1029" s="5">
        <f>E1027</f>
        <v>22.936001179217822</v>
      </c>
      <c r="L1029" s="3">
        <f>C1072</f>
        <v>23.097999999999999</v>
      </c>
      <c r="M1029" s="5">
        <f>L1029-K1029</f>
        <v>0.16199882078217698</v>
      </c>
      <c r="N1029" s="3">
        <f>J1029/M1029</f>
        <v>4814.8498626961309</v>
      </c>
      <c r="O1029" s="3">
        <v>4815</v>
      </c>
    </row>
    <row r="1030" spans="1:18" x14ac:dyDescent="0.3">
      <c r="A1030" s="11" t="s">
        <v>3353</v>
      </c>
      <c r="B1030" s="70" t="s">
        <v>3354</v>
      </c>
      <c r="C1030" s="7"/>
      <c r="D1030" s="2"/>
      <c r="E1030" s="8"/>
      <c r="F1030" s="6"/>
      <c r="G1030" s="12"/>
      <c r="K1030" s="5"/>
      <c r="M1030" s="5"/>
    </row>
    <row r="1031" spans="1:18" x14ac:dyDescent="0.3">
      <c r="A1031" s="11" t="s">
        <v>1006</v>
      </c>
      <c r="B1031" s="7">
        <v>18700</v>
      </c>
      <c r="C1031" s="7">
        <v>22.876999999999999</v>
      </c>
      <c r="D1031" s="2">
        <f>C1031-C1029</f>
        <v>-3.3000000000001251E-2</v>
      </c>
      <c r="E1031" s="8">
        <f>E1029+F1029</f>
        <v>22.944308552011176</v>
      </c>
      <c r="F1031" s="6">
        <f>F1029</f>
        <v>4.1536863966770508E-3</v>
      </c>
      <c r="G1031" s="12">
        <f t="shared" si="280"/>
        <v>-6.7308552011176914E-2</v>
      </c>
    </row>
    <row r="1032" spans="1:18" x14ac:dyDescent="0.3">
      <c r="A1032" s="11" t="s">
        <v>1007</v>
      </c>
      <c r="B1032" s="7">
        <v>18720</v>
      </c>
      <c r="C1032" s="7">
        <v>22.858000000000001</v>
      </c>
      <c r="D1032" s="2">
        <f t="shared" si="271"/>
        <v>-1.8999999999998352E-2</v>
      </c>
      <c r="E1032" s="8">
        <f t="shared" ref="E1032:E1046" si="281">E1031+F1031</f>
        <v>22.948462238407853</v>
      </c>
      <c r="F1032" s="6">
        <f t="shared" si="279"/>
        <v>4.1536863966770508E-3</v>
      </c>
      <c r="G1032" s="12">
        <f t="shared" si="280"/>
        <v>-9.0462238407852169E-2</v>
      </c>
    </row>
    <row r="1033" spans="1:18" x14ac:dyDescent="0.3">
      <c r="A1033" s="11" t="s">
        <v>1008</v>
      </c>
      <c r="B1033" s="7">
        <v>18740</v>
      </c>
      <c r="C1033" s="7">
        <v>22.864000000000001</v>
      </c>
      <c r="D1033" s="2">
        <f t="shared" si="271"/>
        <v>6.0000000000002274E-3</v>
      </c>
      <c r="E1033" s="8">
        <f t="shared" si="281"/>
        <v>22.95261592480453</v>
      </c>
      <c r="F1033" s="6">
        <f t="shared" si="279"/>
        <v>4.1536863966770508E-3</v>
      </c>
      <c r="G1033" s="12">
        <f t="shared" si="280"/>
        <v>-8.8615924804528845E-2</v>
      </c>
    </row>
    <row r="1034" spans="1:18" x14ac:dyDescent="0.3">
      <c r="A1034" s="11" t="s">
        <v>3356</v>
      </c>
      <c r="B1034" s="70" t="s">
        <v>3355</v>
      </c>
      <c r="C1034" s="7"/>
      <c r="D1034" s="2"/>
      <c r="E1034" s="8"/>
      <c r="F1034" s="6"/>
      <c r="G1034" s="12"/>
    </row>
    <row r="1035" spans="1:18" x14ac:dyDescent="0.3">
      <c r="A1035" s="11" t="s">
        <v>1009</v>
      </c>
      <c r="B1035" s="7">
        <v>18760</v>
      </c>
      <c r="C1035" s="7">
        <v>22.89</v>
      </c>
      <c r="D1035" s="2">
        <f>C1035-C1033</f>
        <v>2.5999999999999801E-2</v>
      </c>
      <c r="E1035" s="8">
        <f>E1033+F1033</f>
        <v>22.956769611201207</v>
      </c>
      <c r="F1035" s="6">
        <f>F1033</f>
        <v>4.1536863966770508E-3</v>
      </c>
      <c r="G1035" s="12">
        <f t="shared" si="280"/>
        <v>-6.6769611201205947E-2</v>
      </c>
    </row>
    <row r="1036" spans="1:18" x14ac:dyDescent="0.3">
      <c r="A1036" s="11" t="s">
        <v>1010</v>
      </c>
      <c r="B1036" s="7">
        <v>18780</v>
      </c>
      <c r="C1036" s="7">
        <v>22.884</v>
      </c>
      <c r="D1036" s="2">
        <f t="shared" si="271"/>
        <v>-6.0000000000002274E-3</v>
      </c>
      <c r="E1036" s="8">
        <f t="shared" si="281"/>
        <v>22.960923297597883</v>
      </c>
      <c r="F1036" s="6">
        <f t="shared" si="279"/>
        <v>4.1536863966770508E-3</v>
      </c>
      <c r="G1036" s="12">
        <f t="shared" si="280"/>
        <v>-7.6923297597883078E-2</v>
      </c>
    </row>
    <row r="1037" spans="1:18" x14ac:dyDescent="0.3">
      <c r="A1037" s="11" t="s">
        <v>1011</v>
      </c>
      <c r="B1037" s="7">
        <v>18800</v>
      </c>
      <c r="C1037" s="7">
        <v>22.885999999999999</v>
      </c>
      <c r="D1037" s="2">
        <f t="shared" si="271"/>
        <v>1.9999999999988916E-3</v>
      </c>
      <c r="E1037" s="8">
        <f t="shared" si="281"/>
        <v>22.96507698399456</v>
      </c>
      <c r="F1037" s="6">
        <f t="shared" si="279"/>
        <v>4.1536863966770508E-3</v>
      </c>
      <c r="G1037" s="12">
        <f t="shared" si="280"/>
        <v>-7.907698399456109E-2</v>
      </c>
    </row>
    <row r="1038" spans="1:18" x14ac:dyDescent="0.3">
      <c r="A1038" s="11" t="s">
        <v>1012</v>
      </c>
      <c r="B1038" s="7">
        <v>18820</v>
      </c>
      <c r="C1038" s="7">
        <v>22.913</v>
      </c>
      <c r="D1038" s="2">
        <f t="shared" si="271"/>
        <v>2.7000000000001023E-2</v>
      </c>
      <c r="E1038" s="8">
        <f t="shared" si="281"/>
        <v>22.969230670391237</v>
      </c>
      <c r="F1038" s="6">
        <f t="shared" si="279"/>
        <v>4.1536863966770508E-3</v>
      </c>
      <c r="G1038" s="12">
        <f t="shared" si="280"/>
        <v>-5.623067039123697E-2</v>
      </c>
    </row>
    <row r="1039" spans="1:18" x14ac:dyDescent="0.3">
      <c r="A1039" s="11" t="s">
        <v>1013</v>
      </c>
      <c r="B1039" s="7">
        <v>18840</v>
      </c>
      <c r="C1039" s="7">
        <v>22.937000000000001</v>
      </c>
      <c r="D1039" s="2">
        <f t="shared" si="271"/>
        <v>2.4000000000000909E-2</v>
      </c>
      <c r="E1039" s="8">
        <f t="shared" si="281"/>
        <v>22.973384356787914</v>
      </c>
      <c r="F1039" s="6">
        <f t="shared" si="279"/>
        <v>4.1536863966770508E-3</v>
      </c>
      <c r="G1039" s="12">
        <f t="shared" si="280"/>
        <v>-3.6384356787912964E-2</v>
      </c>
    </row>
    <row r="1040" spans="1:18" x14ac:dyDescent="0.3">
      <c r="A1040" s="11" t="s">
        <v>1014</v>
      </c>
      <c r="B1040" s="7">
        <v>18860</v>
      </c>
      <c r="C1040" s="7">
        <v>22.977</v>
      </c>
      <c r="D1040" s="2">
        <f>C1040-C1039</f>
        <v>3.9999999999999147E-2</v>
      </c>
      <c r="E1040" s="8">
        <f t="shared" si="281"/>
        <v>22.977538043184591</v>
      </c>
      <c r="F1040" s="6">
        <f t="shared" si="279"/>
        <v>4.1536863966770508E-3</v>
      </c>
      <c r="G1040" s="12">
        <f>C1040-E1040</f>
        <v>-5.3804318459071965E-4</v>
      </c>
    </row>
    <row r="1041" spans="1:7" x14ac:dyDescent="0.3">
      <c r="A1041" s="11" t="s">
        <v>1015</v>
      </c>
      <c r="B1041" s="7">
        <v>18880</v>
      </c>
      <c r="C1041" s="7">
        <v>22.989000000000001</v>
      </c>
      <c r="D1041" s="2">
        <f t="shared" si="271"/>
        <v>1.2000000000000455E-2</v>
      </c>
      <c r="E1041" s="8">
        <f t="shared" si="281"/>
        <v>22.981691729581268</v>
      </c>
      <c r="F1041" s="6">
        <f t="shared" si="279"/>
        <v>4.1536863966770508E-3</v>
      </c>
      <c r="G1041" s="12">
        <f t="shared" ref="G1041" si="282">C1041-E1041</f>
        <v>7.3082704187328318E-3</v>
      </c>
    </row>
    <row r="1042" spans="1:7" x14ac:dyDescent="0.3">
      <c r="A1042" s="11" t="s">
        <v>1016</v>
      </c>
      <c r="B1042" s="7">
        <v>18900</v>
      </c>
      <c r="C1042" s="7">
        <v>23.021000000000001</v>
      </c>
      <c r="D1042" s="2">
        <f t="shared" si="271"/>
        <v>3.2000000000000028E-2</v>
      </c>
      <c r="E1042" s="8">
        <f t="shared" si="281"/>
        <v>22.985845415977945</v>
      </c>
      <c r="F1042" s="6">
        <f t="shared" si="279"/>
        <v>4.1536863966770508E-3</v>
      </c>
      <c r="G1042" s="12">
        <f t="shared" si="280"/>
        <v>3.5154584022055957E-2</v>
      </c>
    </row>
    <row r="1043" spans="1:7" x14ac:dyDescent="0.3">
      <c r="A1043" s="11" t="s">
        <v>1017</v>
      </c>
      <c r="B1043" s="7">
        <v>18920</v>
      </c>
      <c r="C1043" s="7">
        <v>23.059000000000001</v>
      </c>
      <c r="D1043" s="2">
        <f t="shared" si="271"/>
        <v>3.8000000000000256E-2</v>
      </c>
      <c r="E1043" s="8">
        <f t="shared" si="281"/>
        <v>22.989999102374622</v>
      </c>
      <c r="F1043" s="6">
        <f t="shared" si="279"/>
        <v>4.1536863966770508E-3</v>
      </c>
      <c r="G1043" s="12">
        <f t="shared" si="280"/>
        <v>6.9000897625379309E-2</v>
      </c>
    </row>
    <row r="1044" spans="1:7" x14ac:dyDescent="0.3">
      <c r="A1044" s="11" t="s">
        <v>1018</v>
      </c>
      <c r="B1044" s="7">
        <v>18940</v>
      </c>
      <c r="C1044" s="7">
        <v>23.103999999999999</v>
      </c>
      <c r="D1044" s="2">
        <f t="shared" si="271"/>
        <v>4.4999999999998153E-2</v>
      </c>
      <c r="E1044" s="8">
        <f t="shared" si="281"/>
        <v>22.994152788771299</v>
      </c>
      <c r="F1044" s="6">
        <f t="shared" si="279"/>
        <v>4.1536863966770508E-3</v>
      </c>
      <c r="G1044" s="12">
        <f t="shared" si="280"/>
        <v>0.10984721122870056</v>
      </c>
    </row>
    <row r="1045" spans="1:7" x14ac:dyDescent="0.3">
      <c r="A1045" s="11" t="s">
        <v>1019</v>
      </c>
      <c r="B1045" s="7">
        <v>18960</v>
      </c>
      <c r="C1045" s="7">
        <v>23.154</v>
      </c>
      <c r="D1045" s="2">
        <f t="shared" si="271"/>
        <v>5.0000000000000711E-2</v>
      </c>
      <c r="E1045" s="8">
        <f t="shared" si="281"/>
        <v>22.998306475167976</v>
      </c>
      <c r="F1045" s="6">
        <f t="shared" si="279"/>
        <v>4.1536863966770508E-3</v>
      </c>
      <c r="G1045" s="12">
        <f t="shared" si="280"/>
        <v>0.15569352483202437</v>
      </c>
    </row>
    <row r="1046" spans="1:7" x14ac:dyDescent="0.3">
      <c r="A1046" s="11" t="s">
        <v>1020</v>
      </c>
      <c r="B1046" s="7">
        <v>18980</v>
      </c>
      <c r="C1046" s="7">
        <v>23.202999999999999</v>
      </c>
      <c r="D1046" s="2">
        <f t="shared" si="271"/>
        <v>4.8999999999999488E-2</v>
      </c>
      <c r="E1046" s="8">
        <f t="shared" si="281"/>
        <v>23.002460161564652</v>
      </c>
      <c r="F1046" s="6">
        <f t="shared" si="279"/>
        <v>4.1536863966770508E-3</v>
      </c>
      <c r="G1046" s="12">
        <f t="shared" si="280"/>
        <v>0.20053983843534695</v>
      </c>
    </row>
    <row r="1047" spans="1:7" x14ac:dyDescent="0.3">
      <c r="A1047" s="13" t="s">
        <v>1021</v>
      </c>
      <c r="B1047" s="24"/>
      <c r="C1047" s="25"/>
      <c r="D1047" s="25"/>
      <c r="E1047" s="25"/>
      <c r="F1047" s="25"/>
      <c r="G1047" s="26"/>
    </row>
    <row r="1048" spans="1:7" x14ac:dyDescent="0.3">
      <c r="A1048" s="11" t="s">
        <v>1022</v>
      </c>
      <c r="B1048" s="7">
        <v>19000</v>
      </c>
      <c r="C1048" s="7">
        <v>23.26</v>
      </c>
      <c r="D1048" s="2">
        <f>C1048-C1046</f>
        <v>5.700000000000216E-2</v>
      </c>
      <c r="E1048" s="8">
        <f>E1046+F1046</f>
        <v>23.006613847961329</v>
      </c>
      <c r="F1048" s="6">
        <f>F1046</f>
        <v>4.1536863966770508E-3</v>
      </c>
      <c r="G1048" s="12">
        <f t="shared" si="280"/>
        <v>0.25338615203867221</v>
      </c>
    </row>
    <row r="1049" spans="1:7" x14ac:dyDescent="0.3">
      <c r="A1049" s="11" t="s">
        <v>1023</v>
      </c>
      <c r="B1049" s="7">
        <v>19020</v>
      </c>
      <c r="C1049" s="7">
        <v>23.332000000000001</v>
      </c>
      <c r="D1049" s="2">
        <f t="shared" si="271"/>
        <v>7.1999999999999176E-2</v>
      </c>
      <c r="E1049" s="8">
        <f t="shared" ref="E1049:E1072" si="283">E1048+F1048</f>
        <v>23.010767534358006</v>
      </c>
      <c r="F1049" s="6">
        <f t="shared" si="279"/>
        <v>4.1536863966770508E-3</v>
      </c>
      <c r="G1049" s="12">
        <f t="shared" si="280"/>
        <v>0.32123246564199448</v>
      </c>
    </row>
    <row r="1050" spans="1:7" x14ac:dyDescent="0.3">
      <c r="A1050" s="11" t="s">
        <v>1024</v>
      </c>
      <c r="B1050" s="7">
        <v>19040</v>
      </c>
      <c r="C1050" s="7">
        <v>23.353000000000002</v>
      </c>
      <c r="D1050" s="2">
        <f t="shared" si="271"/>
        <v>2.1000000000000796E-2</v>
      </c>
      <c r="E1050" s="8">
        <f t="shared" si="283"/>
        <v>23.014921220754683</v>
      </c>
      <c r="F1050" s="6">
        <f t="shared" si="279"/>
        <v>4.1536863966770508E-3</v>
      </c>
      <c r="G1050" s="12">
        <f t="shared" si="280"/>
        <v>0.33807877924531837</v>
      </c>
    </row>
    <row r="1051" spans="1:7" x14ac:dyDescent="0.3">
      <c r="A1051" s="11" t="s">
        <v>1025</v>
      </c>
      <c r="B1051" s="7">
        <v>19060</v>
      </c>
      <c r="C1051" s="7">
        <v>23.355</v>
      </c>
      <c r="D1051" s="2">
        <f t="shared" si="271"/>
        <v>1.9999999999988916E-3</v>
      </c>
      <c r="E1051" s="8">
        <f t="shared" si="283"/>
        <v>23.01907490715136</v>
      </c>
      <c r="F1051" s="6">
        <f t="shared" si="279"/>
        <v>4.1536863966770508E-3</v>
      </c>
      <c r="G1051" s="12">
        <f t="shared" si="280"/>
        <v>0.33592509284864036</v>
      </c>
    </row>
    <row r="1052" spans="1:7" x14ac:dyDescent="0.3">
      <c r="A1052" s="11" t="s">
        <v>1026</v>
      </c>
      <c r="B1052" s="7">
        <v>19080</v>
      </c>
      <c r="C1052" s="7">
        <v>23.314</v>
      </c>
      <c r="D1052" s="2">
        <f t="shared" si="271"/>
        <v>-4.1000000000000369E-2</v>
      </c>
      <c r="E1052" s="8">
        <f t="shared" si="283"/>
        <v>23.023228593548037</v>
      </c>
      <c r="F1052" s="6">
        <f t="shared" si="279"/>
        <v>4.1536863966770508E-3</v>
      </c>
      <c r="G1052" s="12">
        <f t="shared" si="280"/>
        <v>0.29077140645196309</v>
      </c>
    </row>
    <row r="1053" spans="1:7" x14ac:dyDescent="0.3">
      <c r="A1053" s="11" t="s">
        <v>1027</v>
      </c>
      <c r="B1053" s="7">
        <v>19100</v>
      </c>
      <c r="C1053" s="7">
        <v>23.277999999999999</v>
      </c>
      <c r="D1053" s="2">
        <f t="shared" si="271"/>
        <v>-3.6000000000001364E-2</v>
      </c>
      <c r="E1053" s="8">
        <f t="shared" si="283"/>
        <v>23.027382279944714</v>
      </c>
      <c r="F1053" s="6">
        <f t="shared" si="279"/>
        <v>4.1536863966770508E-3</v>
      </c>
      <c r="G1053" s="12">
        <f t="shared" si="280"/>
        <v>0.25061772005528482</v>
      </c>
    </row>
    <row r="1054" spans="1:7" x14ac:dyDescent="0.3">
      <c r="A1054" s="11" t="s">
        <v>1028</v>
      </c>
      <c r="B1054" s="7">
        <v>19120</v>
      </c>
      <c r="C1054" s="7">
        <v>23.274999999999999</v>
      </c>
      <c r="D1054" s="2">
        <f t="shared" si="271"/>
        <v>-3.0000000000001137E-3</v>
      </c>
      <c r="E1054" s="8">
        <f t="shared" si="283"/>
        <v>23.031535966341391</v>
      </c>
      <c r="F1054" s="6">
        <f t="shared" si="279"/>
        <v>4.1536863966770508E-3</v>
      </c>
      <c r="G1054" s="12">
        <f t="shared" si="280"/>
        <v>0.2434640336586078</v>
      </c>
    </row>
    <row r="1055" spans="1:7" x14ac:dyDescent="0.3">
      <c r="A1055" s="11" t="s">
        <v>1029</v>
      </c>
      <c r="B1055" s="7">
        <v>19140</v>
      </c>
      <c r="C1055" s="7">
        <v>23.295999999999999</v>
      </c>
      <c r="D1055" s="2">
        <f t="shared" si="271"/>
        <v>2.1000000000000796E-2</v>
      </c>
      <c r="E1055" s="8">
        <f t="shared" si="283"/>
        <v>23.035689652738068</v>
      </c>
      <c r="F1055" s="6">
        <f t="shared" si="279"/>
        <v>4.1536863966770508E-3</v>
      </c>
      <c r="G1055" s="12">
        <f t="shared" si="280"/>
        <v>0.2603103472619317</v>
      </c>
    </row>
    <row r="1056" spans="1:7" x14ac:dyDescent="0.3">
      <c r="A1056" s="11" t="s">
        <v>1030</v>
      </c>
      <c r="B1056" s="7">
        <v>19160</v>
      </c>
      <c r="C1056" s="7">
        <v>23.338000000000001</v>
      </c>
      <c r="D1056" s="2">
        <f t="shared" si="271"/>
        <v>4.2000000000001592E-2</v>
      </c>
      <c r="E1056" s="8">
        <f t="shared" si="283"/>
        <v>23.039843339134745</v>
      </c>
      <c r="F1056" s="6">
        <f t="shared" si="279"/>
        <v>4.1536863966770508E-3</v>
      </c>
      <c r="G1056" s="12">
        <f t="shared" si="280"/>
        <v>0.29815666086525638</v>
      </c>
    </row>
    <row r="1057" spans="1:13" x14ac:dyDescent="0.3">
      <c r="A1057" s="11" t="s">
        <v>1031</v>
      </c>
      <c r="B1057" s="7">
        <v>19180</v>
      </c>
      <c r="C1057" s="7">
        <v>23.391999999999999</v>
      </c>
      <c r="D1057" s="2">
        <f t="shared" si="271"/>
        <v>5.3999999999998494E-2</v>
      </c>
      <c r="E1057" s="8">
        <f t="shared" si="283"/>
        <v>23.043997025531421</v>
      </c>
      <c r="F1057" s="6">
        <f t="shared" si="279"/>
        <v>4.1536863966770508E-3</v>
      </c>
      <c r="G1057" s="12">
        <f t="shared" si="280"/>
        <v>0.34800297446857797</v>
      </c>
    </row>
    <row r="1058" spans="1:13" x14ac:dyDescent="0.3">
      <c r="A1058" s="11" t="s">
        <v>1032</v>
      </c>
      <c r="B1058" s="7">
        <v>19200</v>
      </c>
      <c r="C1058" s="7">
        <v>23.414999999999999</v>
      </c>
      <c r="D1058" s="2">
        <f t="shared" si="271"/>
        <v>2.2999999999999687E-2</v>
      </c>
      <c r="E1058" s="8">
        <f t="shared" si="283"/>
        <v>23.048150711928098</v>
      </c>
      <c r="F1058" s="6">
        <f t="shared" si="279"/>
        <v>4.1536863966770508E-3</v>
      </c>
      <c r="G1058" s="12">
        <f t="shared" si="280"/>
        <v>0.36684928807190076</v>
      </c>
    </row>
    <row r="1059" spans="1:13" x14ac:dyDescent="0.3">
      <c r="A1059" s="11" t="s">
        <v>1033</v>
      </c>
      <c r="B1059" s="7">
        <v>19220</v>
      </c>
      <c r="C1059" s="7">
        <v>23.422000000000001</v>
      </c>
      <c r="D1059" s="2">
        <f t="shared" si="271"/>
        <v>7.0000000000014495E-3</v>
      </c>
      <c r="E1059" s="8">
        <f t="shared" si="283"/>
        <v>23.052304398324775</v>
      </c>
      <c r="F1059" s="6">
        <f t="shared" si="279"/>
        <v>4.1536863966770508E-3</v>
      </c>
      <c r="G1059" s="12">
        <f t="shared" si="280"/>
        <v>0.3696956016752253</v>
      </c>
    </row>
    <row r="1060" spans="1:13" x14ac:dyDescent="0.3">
      <c r="A1060" s="11" t="s">
        <v>1034</v>
      </c>
      <c r="B1060" s="7">
        <v>19240</v>
      </c>
      <c r="C1060" s="7">
        <v>23.422000000000001</v>
      </c>
      <c r="D1060" s="2">
        <f>C1060-C1059</f>
        <v>0</v>
      </c>
      <c r="E1060" s="8">
        <f t="shared" si="283"/>
        <v>23.056458084721452</v>
      </c>
      <c r="F1060" s="6">
        <f>F1059</f>
        <v>4.1536863966770508E-3</v>
      </c>
      <c r="G1060" s="12">
        <f>C1060-E1060</f>
        <v>0.3655419152785484</v>
      </c>
      <c r="K1060" s="5"/>
      <c r="M1060" s="5"/>
    </row>
    <row r="1061" spans="1:13" x14ac:dyDescent="0.3">
      <c r="A1061" s="11" t="s">
        <v>3357</v>
      </c>
      <c r="B1061" s="70" t="s">
        <v>3358</v>
      </c>
      <c r="C1061" s="7"/>
      <c r="D1061" s="2"/>
      <c r="E1061" s="8"/>
      <c r="F1061" s="6"/>
      <c r="G1061" s="12"/>
      <c r="K1061" s="5"/>
      <c r="M1061" s="5"/>
    </row>
    <row r="1062" spans="1:13" x14ac:dyDescent="0.3">
      <c r="A1062" s="11" t="s">
        <v>1035</v>
      </c>
      <c r="B1062" s="7">
        <v>19260</v>
      </c>
      <c r="C1062" s="7">
        <v>23.34</v>
      </c>
      <c r="D1062" s="2">
        <f>C1062-C1060</f>
        <v>-8.2000000000000739E-2</v>
      </c>
      <c r="E1062" s="8">
        <f>E1060+F1060</f>
        <v>23.060611771118129</v>
      </c>
      <c r="F1062" s="6">
        <f t="shared" ref="F1062" si="284">F1060</f>
        <v>4.1536863966770508E-3</v>
      </c>
      <c r="G1062" s="12">
        <f t="shared" ref="G1062" si="285">C1062-E1062</f>
        <v>0.27938822888187076</v>
      </c>
    </row>
    <row r="1063" spans="1:13" x14ac:dyDescent="0.3">
      <c r="A1063" s="11" t="s">
        <v>1036</v>
      </c>
      <c r="B1063" s="7">
        <v>19280</v>
      </c>
      <c r="C1063" s="7">
        <v>23.277999999999999</v>
      </c>
      <c r="D1063" s="2">
        <f t="shared" ref="D1063:D1128" si="286">C1063-C1062</f>
        <v>-6.2000000000001165E-2</v>
      </c>
      <c r="E1063" s="8">
        <f t="shared" si="283"/>
        <v>23.064765457514806</v>
      </c>
      <c r="F1063" s="6">
        <f t="shared" si="279"/>
        <v>4.1536863966770508E-3</v>
      </c>
      <c r="G1063" s="12">
        <f t="shared" si="280"/>
        <v>0.21323454248519269</v>
      </c>
    </row>
    <row r="1064" spans="1:13" x14ac:dyDescent="0.3">
      <c r="A1064" s="11" t="s">
        <v>1037</v>
      </c>
      <c r="B1064" s="7">
        <v>19300</v>
      </c>
      <c r="C1064" s="7">
        <v>23.22</v>
      </c>
      <c r="D1064" s="2">
        <f t="shared" si="286"/>
        <v>-5.7999999999999829E-2</v>
      </c>
      <c r="E1064" s="8">
        <f t="shared" si="283"/>
        <v>23.068919143911483</v>
      </c>
      <c r="F1064" s="6">
        <f t="shared" si="279"/>
        <v>4.1536863966770508E-3</v>
      </c>
      <c r="G1064" s="12">
        <f t="shared" si="280"/>
        <v>0.15108085608851596</v>
      </c>
    </row>
    <row r="1065" spans="1:13" x14ac:dyDescent="0.3">
      <c r="A1065" s="11" t="s">
        <v>3361</v>
      </c>
      <c r="B1065" s="70" t="s">
        <v>3359</v>
      </c>
      <c r="C1065" s="7"/>
      <c r="D1065" s="2"/>
      <c r="E1065" s="8"/>
      <c r="F1065" s="6"/>
      <c r="G1065" s="12"/>
    </row>
    <row r="1066" spans="1:13" x14ac:dyDescent="0.3">
      <c r="A1066" s="11" t="s">
        <v>1038</v>
      </c>
      <c r="B1066" s="7">
        <v>19320</v>
      </c>
      <c r="C1066" s="7">
        <v>23.175000000000001</v>
      </c>
      <c r="D1066" s="2">
        <f>C1066-C1064</f>
        <v>-4.4999999999998153E-2</v>
      </c>
      <c r="E1066" s="8">
        <f>E1064+F1064</f>
        <v>23.07307283030816</v>
      </c>
      <c r="F1066" s="6">
        <f>F1064</f>
        <v>4.1536863966770508E-3</v>
      </c>
      <c r="G1066" s="12">
        <f t="shared" si="280"/>
        <v>0.1019271696918409</v>
      </c>
    </row>
    <row r="1067" spans="1:13" x14ac:dyDescent="0.3">
      <c r="A1067" s="11" t="s">
        <v>1039</v>
      </c>
      <c r="B1067" s="7">
        <v>19340</v>
      </c>
      <c r="C1067" s="7">
        <v>23.132000000000001</v>
      </c>
      <c r="D1067" s="2">
        <f t="shared" si="286"/>
        <v>-4.2999999999999261E-2</v>
      </c>
      <c r="E1067" s="8">
        <f t="shared" si="283"/>
        <v>23.077226516704837</v>
      </c>
      <c r="F1067" s="6">
        <f t="shared" si="279"/>
        <v>4.1536863966770508E-3</v>
      </c>
      <c r="G1067" s="12">
        <f t="shared" si="280"/>
        <v>5.4773483295164738E-2</v>
      </c>
    </row>
    <row r="1068" spans="1:13" x14ac:dyDescent="0.3">
      <c r="A1068" s="11" t="s">
        <v>1040</v>
      </c>
      <c r="B1068" s="7">
        <v>19360</v>
      </c>
      <c r="C1068" s="7">
        <v>23.128</v>
      </c>
      <c r="D1068" s="2">
        <f t="shared" si="286"/>
        <v>-4.0000000000013358E-3</v>
      </c>
      <c r="E1068" s="8">
        <f t="shared" si="283"/>
        <v>23.081380203101514</v>
      </c>
      <c r="F1068" s="6">
        <f t="shared" si="279"/>
        <v>4.1536863966770508E-3</v>
      </c>
      <c r="G1068" s="12">
        <f t="shared" si="280"/>
        <v>4.6619796898486499E-2</v>
      </c>
    </row>
    <row r="1069" spans="1:13" x14ac:dyDescent="0.3">
      <c r="A1069" s="11" t="s">
        <v>1041</v>
      </c>
      <c r="B1069" s="7">
        <v>19380</v>
      </c>
      <c r="C1069" s="7">
        <v>23.108000000000001</v>
      </c>
      <c r="D1069" s="2">
        <f t="shared" si="286"/>
        <v>-1.9999999999999574E-2</v>
      </c>
      <c r="E1069" s="8">
        <f t="shared" si="283"/>
        <v>23.085533889498191</v>
      </c>
      <c r="F1069" s="6">
        <f t="shared" si="279"/>
        <v>4.1536863966770508E-3</v>
      </c>
      <c r="G1069" s="12">
        <f t="shared" si="280"/>
        <v>2.2466110501810022E-2</v>
      </c>
    </row>
    <row r="1070" spans="1:13" x14ac:dyDescent="0.3">
      <c r="A1070" s="11" t="s">
        <v>1042</v>
      </c>
      <c r="B1070" s="7">
        <v>19400</v>
      </c>
      <c r="C1070" s="7">
        <v>23.097999999999999</v>
      </c>
      <c r="D1070" s="2">
        <f t="shared" si="286"/>
        <v>-1.0000000000001563E-2</v>
      </c>
      <c r="E1070" s="8">
        <f t="shared" si="283"/>
        <v>23.089687575894867</v>
      </c>
      <c r="F1070" s="6">
        <f t="shared" si="279"/>
        <v>4.1536863966770508E-3</v>
      </c>
      <c r="G1070" s="12">
        <f t="shared" si="280"/>
        <v>8.3124241051315551E-3</v>
      </c>
    </row>
    <row r="1071" spans="1:13" x14ac:dyDescent="0.3">
      <c r="A1071" s="11" t="s">
        <v>1043</v>
      </c>
      <c r="B1071" s="7">
        <v>19420</v>
      </c>
      <c r="C1071" s="7">
        <v>23.105</v>
      </c>
      <c r="D1071" s="2">
        <f t="shared" si="286"/>
        <v>7.0000000000014495E-3</v>
      </c>
      <c r="E1071" s="8">
        <f t="shared" si="283"/>
        <v>23.093841262291544</v>
      </c>
      <c r="F1071" s="6">
        <f t="shared" si="279"/>
        <v>4.1536863966770508E-3</v>
      </c>
      <c r="G1071" s="12">
        <f t="shared" si="280"/>
        <v>1.1158737708456101E-2</v>
      </c>
    </row>
    <row r="1072" spans="1:13" x14ac:dyDescent="0.3">
      <c r="A1072" s="11" t="s">
        <v>1044</v>
      </c>
      <c r="B1072" s="7">
        <v>19440</v>
      </c>
      <c r="C1072" s="7">
        <v>23.097999999999999</v>
      </c>
      <c r="D1072" s="2">
        <f t="shared" si="286"/>
        <v>-7.0000000000014495E-3</v>
      </c>
      <c r="E1072" s="8">
        <f t="shared" si="283"/>
        <v>23.097994948688221</v>
      </c>
      <c r="F1072" s="6">
        <f t="shared" si="279"/>
        <v>4.1536863966770508E-3</v>
      </c>
      <c r="G1072" s="12">
        <f t="shared" si="280"/>
        <v>5.051311777748424E-6</v>
      </c>
    </row>
    <row r="1073" spans="1:18" x14ac:dyDescent="0.3">
      <c r="A1073" s="21"/>
      <c r="B1073" s="22"/>
      <c r="C1073" s="22"/>
      <c r="D1073" s="22"/>
      <c r="E1073" s="22"/>
      <c r="F1073" s="22"/>
      <c r="G1073" s="23"/>
      <c r="H1073" s="4" t="s">
        <v>18</v>
      </c>
      <c r="J1073" s="4"/>
      <c r="O1073" s="3">
        <f>1/O1074</f>
        <v>1.5455950540958269E-3</v>
      </c>
      <c r="P1073" s="3">
        <f>O1073*20</f>
        <v>3.0911901081916538E-2</v>
      </c>
      <c r="Q1073" s="3" t="s">
        <v>3202</v>
      </c>
      <c r="R1073" s="3">
        <v>647</v>
      </c>
    </row>
    <row r="1074" spans="1:18" x14ac:dyDescent="0.3">
      <c r="A1074" s="11" t="s">
        <v>1045</v>
      </c>
      <c r="B1074" s="7">
        <v>19460</v>
      </c>
      <c r="C1074" s="7">
        <v>23.100999999999999</v>
      </c>
      <c r="D1074" s="2">
        <f>C1074-C1072</f>
        <v>3.0000000000001137E-3</v>
      </c>
      <c r="E1074" s="8">
        <f>E1072+F1074</f>
        <v>23.128906849770139</v>
      </c>
      <c r="F1074" s="6">
        <f>P1073</f>
        <v>3.0911901081916538E-2</v>
      </c>
      <c r="G1074" s="12">
        <f>C1074-E1074</f>
        <v>-2.7906849770140241E-2</v>
      </c>
      <c r="H1074" s="3">
        <f>B1072</f>
        <v>19440</v>
      </c>
      <c r="I1074" s="3">
        <f>B1105</f>
        <v>20060</v>
      </c>
      <c r="J1074" s="3">
        <f>I1074-H1074</f>
        <v>620</v>
      </c>
      <c r="K1074" s="5">
        <f>E1072</f>
        <v>23.097994948688221</v>
      </c>
      <c r="L1074" s="3">
        <f>C1105</f>
        <v>24.056000000000001</v>
      </c>
      <c r="M1074" s="5">
        <f>L1074-K1074</f>
        <v>0.95800505131177971</v>
      </c>
      <c r="N1074" s="3">
        <f>J1074/M1074</f>
        <v>647.17821597187276</v>
      </c>
      <c r="O1074" s="3">
        <v>647</v>
      </c>
    </row>
    <row r="1075" spans="1:18" x14ac:dyDescent="0.3">
      <c r="A1075" s="11" t="s">
        <v>1046</v>
      </c>
      <c r="B1075" s="7">
        <v>19480</v>
      </c>
      <c r="C1075" s="7">
        <v>23.120999999999999</v>
      </c>
      <c r="D1075" s="2">
        <f t="shared" si="286"/>
        <v>1.9999999999999574E-2</v>
      </c>
      <c r="E1075" s="8">
        <f>E1074+F1074</f>
        <v>23.159818750852057</v>
      </c>
      <c r="F1075" s="6">
        <f t="shared" ref="F1075" si="287">F1074</f>
        <v>3.0911901081916538E-2</v>
      </c>
      <c r="G1075" s="12">
        <f t="shared" ref="G1075" si="288">C1075-E1075</f>
        <v>-3.881875085205877E-2</v>
      </c>
    </row>
    <row r="1076" spans="1:18" x14ac:dyDescent="0.3">
      <c r="A1076" s="11" t="s">
        <v>1047</v>
      </c>
      <c r="B1076" s="7">
        <v>19500</v>
      </c>
      <c r="C1076" s="7">
        <v>23.163</v>
      </c>
      <c r="D1076" s="2">
        <f t="shared" si="286"/>
        <v>4.2000000000001592E-2</v>
      </c>
      <c r="E1076" s="8">
        <f t="shared" ref="E1076:E1086" si="289">E1075+F1075</f>
        <v>23.190730651933976</v>
      </c>
      <c r="F1076" s="6">
        <f t="shared" si="279"/>
        <v>3.0911901081916538E-2</v>
      </c>
      <c r="G1076" s="12">
        <f t="shared" si="280"/>
        <v>-2.7730651933975281E-2</v>
      </c>
    </row>
    <row r="1077" spans="1:18" x14ac:dyDescent="0.3">
      <c r="A1077" s="11" t="s">
        <v>1048</v>
      </c>
      <c r="B1077" s="7">
        <v>19520</v>
      </c>
      <c r="C1077" s="7">
        <v>23.184000000000001</v>
      </c>
      <c r="D1077" s="2">
        <f t="shared" si="286"/>
        <v>2.1000000000000796E-2</v>
      </c>
      <c r="E1077" s="8">
        <f t="shared" si="289"/>
        <v>23.221642553015894</v>
      </c>
      <c r="F1077" s="6">
        <f t="shared" ref="F1077:F1086" si="290">F1076</f>
        <v>3.0911901081916538E-2</v>
      </c>
      <c r="G1077" s="12">
        <f t="shared" ref="G1077:G1086" si="291">C1077-E1077</f>
        <v>-3.7642553015892588E-2</v>
      </c>
    </row>
    <row r="1078" spans="1:18" x14ac:dyDescent="0.3">
      <c r="A1078" s="11" t="s">
        <v>1049</v>
      </c>
      <c r="B1078" s="7">
        <v>19540</v>
      </c>
      <c r="C1078" s="7">
        <v>23.248999999999999</v>
      </c>
      <c r="D1078" s="2">
        <f t="shared" si="286"/>
        <v>6.4999999999997726E-2</v>
      </c>
      <c r="E1078" s="8">
        <f t="shared" si="289"/>
        <v>23.252554454097812</v>
      </c>
      <c r="F1078" s="6">
        <f t="shared" si="290"/>
        <v>3.0911901081916538E-2</v>
      </c>
      <c r="G1078" s="12">
        <f t="shared" si="291"/>
        <v>-3.5544540978129646E-3</v>
      </c>
    </row>
    <row r="1079" spans="1:18" x14ac:dyDescent="0.3">
      <c r="A1079" s="11" t="s">
        <v>1050</v>
      </c>
      <c r="B1079" s="7">
        <v>19560</v>
      </c>
      <c r="C1079" s="7">
        <v>23.288</v>
      </c>
      <c r="D1079" s="2">
        <f t="shared" si="286"/>
        <v>3.9000000000001478E-2</v>
      </c>
      <c r="E1079" s="8">
        <f t="shared" si="289"/>
        <v>23.28346635517973</v>
      </c>
      <c r="F1079" s="6">
        <f t="shared" si="290"/>
        <v>3.0911901081916538E-2</v>
      </c>
      <c r="G1079" s="12">
        <f t="shared" si="291"/>
        <v>4.5336448202704105E-3</v>
      </c>
    </row>
    <row r="1080" spans="1:18" x14ac:dyDescent="0.3">
      <c r="A1080" s="11" t="s">
        <v>1051</v>
      </c>
      <c r="B1080" s="7">
        <v>19580</v>
      </c>
      <c r="C1080" s="7">
        <v>23.332999999999998</v>
      </c>
      <c r="D1080" s="2">
        <f t="shared" si="286"/>
        <v>4.4999999999998153E-2</v>
      </c>
      <c r="E1080" s="8">
        <f t="shared" si="289"/>
        <v>23.314378256261648</v>
      </c>
      <c r="F1080" s="6">
        <f t="shared" si="290"/>
        <v>3.0911901081916538E-2</v>
      </c>
      <c r="G1080" s="12">
        <f t="shared" si="291"/>
        <v>1.862174373835046E-2</v>
      </c>
    </row>
    <row r="1081" spans="1:18" x14ac:dyDescent="0.3">
      <c r="A1081" s="11" t="s">
        <v>1052</v>
      </c>
      <c r="B1081" s="7">
        <v>19600</v>
      </c>
      <c r="C1081" s="7">
        <v>23.379000000000001</v>
      </c>
      <c r="D1081" s="2">
        <f t="shared" si="286"/>
        <v>4.6000000000002927E-2</v>
      </c>
      <c r="E1081" s="8">
        <f t="shared" si="289"/>
        <v>23.345290157343566</v>
      </c>
      <c r="F1081" s="6">
        <f t="shared" si="290"/>
        <v>3.0911901081916538E-2</v>
      </c>
      <c r="G1081" s="12">
        <f t="shared" si="291"/>
        <v>3.3709842656435285E-2</v>
      </c>
    </row>
    <row r="1082" spans="1:18" x14ac:dyDescent="0.3">
      <c r="A1082" s="11" t="s">
        <v>1053</v>
      </c>
      <c r="B1082" s="7">
        <v>19620</v>
      </c>
      <c r="C1082" s="7">
        <v>23.423999999999999</v>
      </c>
      <c r="D1082" s="2">
        <f t="shared" si="286"/>
        <v>4.4999999999998153E-2</v>
      </c>
      <c r="E1082" s="8">
        <f t="shared" si="289"/>
        <v>23.376202058425484</v>
      </c>
      <c r="F1082" s="6">
        <f t="shared" si="290"/>
        <v>3.0911901081916538E-2</v>
      </c>
      <c r="G1082" s="12">
        <f t="shared" si="291"/>
        <v>4.7797941574515335E-2</v>
      </c>
    </row>
    <row r="1083" spans="1:18" x14ac:dyDescent="0.3">
      <c r="A1083" s="11" t="s">
        <v>1054</v>
      </c>
      <c r="B1083" s="7">
        <v>19640</v>
      </c>
      <c r="C1083" s="7">
        <v>23.45</v>
      </c>
      <c r="D1083" s="2">
        <f t="shared" si="286"/>
        <v>2.5999999999999801E-2</v>
      </c>
      <c r="E1083" s="8">
        <f t="shared" si="289"/>
        <v>23.407113959507402</v>
      </c>
      <c r="F1083" s="6">
        <f t="shared" si="290"/>
        <v>3.0911901081916538E-2</v>
      </c>
      <c r="G1083" s="12">
        <f t="shared" si="291"/>
        <v>4.2886040492597033E-2</v>
      </c>
    </row>
    <row r="1084" spans="1:18" x14ac:dyDescent="0.3">
      <c r="A1084" s="11" t="s">
        <v>1055</v>
      </c>
      <c r="B1084" s="7">
        <v>19660</v>
      </c>
      <c r="C1084" s="7">
        <v>23.478000000000002</v>
      </c>
      <c r="D1084" s="2">
        <f t="shared" si="286"/>
        <v>2.8000000000002245E-2</v>
      </c>
      <c r="E1084" s="8">
        <f t="shared" si="289"/>
        <v>23.43802586058932</v>
      </c>
      <c r="F1084" s="6">
        <f t="shared" si="290"/>
        <v>3.0911901081916538E-2</v>
      </c>
      <c r="G1084" s="12">
        <f t="shared" si="291"/>
        <v>3.9974139410681175E-2</v>
      </c>
    </row>
    <row r="1085" spans="1:18" x14ac:dyDescent="0.3">
      <c r="A1085" s="11" t="s">
        <v>1056</v>
      </c>
      <c r="B1085" s="7">
        <v>19680</v>
      </c>
      <c r="C1085" s="7">
        <v>23.513000000000002</v>
      </c>
      <c r="D1085" s="2">
        <f t="shared" si="286"/>
        <v>3.5000000000000142E-2</v>
      </c>
      <c r="E1085" s="8">
        <f t="shared" si="289"/>
        <v>23.468937761671238</v>
      </c>
      <c r="F1085" s="6">
        <f t="shared" si="290"/>
        <v>3.0911901081916538E-2</v>
      </c>
      <c r="G1085" s="12">
        <f t="shared" si="291"/>
        <v>4.4062238328763215E-2</v>
      </c>
    </row>
    <row r="1086" spans="1:18" x14ac:dyDescent="0.3">
      <c r="A1086" s="11" t="s">
        <v>1057</v>
      </c>
      <c r="B1086" s="7">
        <v>19700</v>
      </c>
      <c r="C1086" s="7">
        <v>23.53</v>
      </c>
      <c r="D1086" s="2">
        <f t="shared" si="286"/>
        <v>1.699999999999946E-2</v>
      </c>
      <c r="E1086" s="8">
        <f t="shared" si="289"/>
        <v>23.499849662753157</v>
      </c>
      <c r="F1086" s="6">
        <f t="shared" si="290"/>
        <v>3.0911901081916538E-2</v>
      </c>
      <c r="G1086" s="12">
        <f t="shared" si="291"/>
        <v>3.0150337246844572E-2</v>
      </c>
    </row>
    <row r="1087" spans="1:18" x14ac:dyDescent="0.3">
      <c r="A1087" s="11" t="s">
        <v>1058</v>
      </c>
      <c r="B1087" s="7">
        <v>19720</v>
      </c>
      <c r="C1087" s="7">
        <v>23.556000000000001</v>
      </c>
      <c r="D1087" s="2">
        <f t="shared" si="286"/>
        <v>2.5999999999999801E-2</v>
      </c>
      <c r="E1087" s="8">
        <f t="shared" ref="E1087:E1104" si="292">E1086+F1086</f>
        <v>23.530761563835075</v>
      </c>
      <c r="F1087" s="6">
        <f t="shared" ref="F1087:F1104" si="293">F1086</f>
        <v>3.0911901081916538E-2</v>
      </c>
      <c r="G1087" s="12">
        <f t="shared" ref="G1087:G1104" si="294">C1087-E1087</f>
        <v>2.523843616492627E-2</v>
      </c>
    </row>
    <row r="1088" spans="1:18" x14ac:dyDescent="0.3">
      <c r="A1088" s="11" t="s">
        <v>1059</v>
      </c>
      <c r="B1088" s="7">
        <v>19740</v>
      </c>
      <c r="C1088" s="7">
        <v>23.597000000000001</v>
      </c>
      <c r="D1088" s="2">
        <f t="shared" si="286"/>
        <v>4.1000000000000369E-2</v>
      </c>
      <c r="E1088" s="8">
        <f t="shared" si="292"/>
        <v>23.561673464916993</v>
      </c>
      <c r="F1088" s="6">
        <f t="shared" si="293"/>
        <v>3.0911901081916538E-2</v>
      </c>
      <c r="G1088" s="12">
        <f t="shared" si="294"/>
        <v>3.5326535083008537E-2</v>
      </c>
    </row>
    <row r="1089" spans="1:7" x14ac:dyDescent="0.3">
      <c r="A1089" s="11" t="s">
        <v>1060</v>
      </c>
      <c r="B1089" s="7">
        <v>19760</v>
      </c>
      <c r="C1089" s="7">
        <v>23.643000000000001</v>
      </c>
      <c r="D1089" s="2">
        <f t="shared" si="286"/>
        <v>4.5999999999999375E-2</v>
      </c>
      <c r="E1089" s="8">
        <f t="shared" si="292"/>
        <v>23.592585365998911</v>
      </c>
      <c r="F1089" s="6">
        <f t="shared" si="293"/>
        <v>3.0911901081916538E-2</v>
      </c>
      <c r="G1089" s="12">
        <f t="shared" si="294"/>
        <v>5.0414634001089809E-2</v>
      </c>
    </row>
    <row r="1090" spans="1:7" x14ac:dyDescent="0.3">
      <c r="A1090" s="11" t="s">
        <v>1061</v>
      </c>
      <c r="B1090" s="7">
        <v>19780</v>
      </c>
      <c r="C1090" s="7">
        <v>23.678999999999998</v>
      </c>
      <c r="D1090" s="2">
        <f t="shared" si="286"/>
        <v>3.5999999999997812E-2</v>
      </c>
      <c r="E1090" s="8">
        <f t="shared" si="292"/>
        <v>23.623497267080829</v>
      </c>
      <c r="F1090" s="6">
        <f t="shared" si="293"/>
        <v>3.0911901081916538E-2</v>
      </c>
      <c r="G1090" s="12">
        <f t="shared" si="294"/>
        <v>5.5502732919169517E-2</v>
      </c>
    </row>
    <row r="1091" spans="1:7" x14ac:dyDescent="0.3">
      <c r="A1091" s="11" t="s">
        <v>1062</v>
      </c>
      <c r="B1091" s="7">
        <v>19800</v>
      </c>
      <c r="C1091" s="7">
        <v>23.696000000000002</v>
      </c>
      <c r="D1091" s="2">
        <f t="shared" si="286"/>
        <v>1.7000000000003013E-2</v>
      </c>
      <c r="E1091" s="8">
        <f t="shared" si="292"/>
        <v>23.654409168162747</v>
      </c>
      <c r="F1091" s="6">
        <f t="shared" si="293"/>
        <v>3.0911901081916538E-2</v>
      </c>
      <c r="G1091" s="12">
        <f t="shared" si="294"/>
        <v>4.1590831837254427E-2</v>
      </c>
    </row>
    <row r="1092" spans="1:7" x14ac:dyDescent="0.3">
      <c r="A1092" s="11" t="s">
        <v>1063</v>
      </c>
      <c r="B1092" s="7">
        <v>19820</v>
      </c>
      <c r="C1092" s="7">
        <v>23.76</v>
      </c>
      <c r="D1092" s="2">
        <f t="shared" si="286"/>
        <v>6.4000000000000057E-2</v>
      </c>
      <c r="E1092" s="8">
        <f t="shared" si="292"/>
        <v>23.685321069244665</v>
      </c>
      <c r="F1092" s="6">
        <f t="shared" si="293"/>
        <v>3.0911901081916538E-2</v>
      </c>
      <c r="G1092" s="12">
        <f t="shared" si="294"/>
        <v>7.4678930755336381E-2</v>
      </c>
    </row>
    <row r="1093" spans="1:7" x14ac:dyDescent="0.3">
      <c r="A1093" s="11" t="s">
        <v>1064</v>
      </c>
      <c r="B1093" s="7">
        <v>19840</v>
      </c>
      <c r="C1093" s="7">
        <v>23.751000000000001</v>
      </c>
      <c r="D1093" s="2">
        <f t="shared" si="286"/>
        <v>-9.0000000000003411E-3</v>
      </c>
      <c r="E1093" s="8">
        <f t="shared" si="292"/>
        <v>23.716232970326583</v>
      </c>
      <c r="F1093" s="6">
        <f t="shared" si="293"/>
        <v>3.0911901081916538E-2</v>
      </c>
      <c r="G1093" s="12">
        <f t="shared" si="294"/>
        <v>3.4767029673417937E-2</v>
      </c>
    </row>
    <row r="1094" spans="1:7" x14ac:dyDescent="0.3">
      <c r="A1094" s="11" t="s">
        <v>1065</v>
      </c>
      <c r="B1094" s="7">
        <v>19860</v>
      </c>
      <c r="C1094" s="7">
        <v>23.779</v>
      </c>
      <c r="D1094" s="2">
        <f t="shared" si="286"/>
        <v>2.7999999999998693E-2</v>
      </c>
      <c r="E1094" s="8">
        <f t="shared" si="292"/>
        <v>23.747144871408501</v>
      </c>
      <c r="F1094" s="6">
        <f t="shared" si="293"/>
        <v>3.0911901081916538E-2</v>
      </c>
      <c r="G1094" s="12">
        <f t="shared" si="294"/>
        <v>3.1855128591498527E-2</v>
      </c>
    </row>
    <row r="1095" spans="1:7" x14ac:dyDescent="0.3">
      <c r="A1095" s="11" t="s">
        <v>1066</v>
      </c>
      <c r="B1095" s="7">
        <v>19880</v>
      </c>
      <c r="C1095" s="7">
        <v>23.79</v>
      </c>
      <c r="D1095" s="2">
        <f t="shared" si="286"/>
        <v>1.0999999999999233E-2</v>
      </c>
      <c r="E1095" s="8">
        <f t="shared" si="292"/>
        <v>23.778056772490419</v>
      </c>
      <c r="F1095" s="6">
        <f t="shared" si="293"/>
        <v>3.0911901081916538E-2</v>
      </c>
      <c r="G1095" s="12">
        <f t="shared" si="294"/>
        <v>1.1943227509579657E-2</v>
      </c>
    </row>
    <row r="1096" spans="1:7" x14ac:dyDescent="0.3">
      <c r="A1096" s="11" t="s">
        <v>1067</v>
      </c>
      <c r="B1096" s="7">
        <v>19900</v>
      </c>
      <c r="C1096" s="7">
        <v>23.812000000000001</v>
      </c>
      <c r="D1096" s="2">
        <f t="shared" si="286"/>
        <v>2.2000000000002018E-2</v>
      </c>
      <c r="E1096" s="8">
        <f t="shared" si="292"/>
        <v>23.808968673572338</v>
      </c>
      <c r="F1096" s="6">
        <f t="shared" si="293"/>
        <v>3.0911901081916538E-2</v>
      </c>
      <c r="G1096" s="12">
        <f t="shared" si="294"/>
        <v>3.0313264276635721E-3</v>
      </c>
    </row>
    <row r="1097" spans="1:7" x14ac:dyDescent="0.3">
      <c r="A1097" s="11" t="s">
        <v>1068</v>
      </c>
      <c r="B1097" s="7">
        <v>19920</v>
      </c>
      <c r="C1097" s="7">
        <v>23.806999999999999</v>
      </c>
      <c r="D1097" s="2">
        <f t="shared" si="286"/>
        <v>-5.000000000002558E-3</v>
      </c>
      <c r="E1097" s="8">
        <f t="shared" si="292"/>
        <v>23.839880574654256</v>
      </c>
      <c r="F1097" s="6">
        <f t="shared" si="293"/>
        <v>3.0911901081916538E-2</v>
      </c>
      <c r="G1097" s="12">
        <f t="shared" si="294"/>
        <v>-3.2880574654257089E-2</v>
      </c>
    </row>
    <row r="1098" spans="1:7" x14ac:dyDescent="0.3">
      <c r="A1098" s="11" t="s">
        <v>1069</v>
      </c>
      <c r="B1098" s="7">
        <v>19940</v>
      </c>
      <c r="C1098" s="7">
        <v>23.795999999999999</v>
      </c>
      <c r="D1098" s="2">
        <f t="shared" si="286"/>
        <v>-1.0999999999999233E-2</v>
      </c>
      <c r="E1098" s="8">
        <f t="shared" si="292"/>
        <v>23.870792475736174</v>
      </c>
      <c r="F1098" s="6">
        <f t="shared" si="293"/>
        <v>3.0911901081916538E-2</v>
      </c>
      <c r="G1098" s="12">
        <f t="shared" si="294"/>
        <v>-7.4792475736174424E-2</v>
      </c>
    </row>
    <row r="1099" spans="1:7" x14ac:dyDescent="0.3">
      <c r="A1099" s="11" t="s">
        <v>1070</v>
      </c>
      <c r="B1099" s="7">
        <v>19960</v>
      </c>
      <c r="C1099" s="7">
        <v>23.803999999999998</v>
      </c>
      <c r="D1099" s="2">
        <f t="shared" si="286"/>
        <v>7.9999999999991189E-3</v>
      </c>
      <c r="E1099" s="8">
        <f t="shared" si="292"/>
        <v>23.901704376818092</v>
      </c>
      <c r="F1099" s="6">
        <f t="shared" si="293"/>
        <v>3.0911901081916538E-2</v>
      </c>
      <c r="G1099" s="12">
        <f t="shared" si="294"/>
        <v>-9.7704376818093408E-2</v>
      </c>
    </row>
    <row r="1100" spans="1:7" x14ac:dyDescent="0.3">
      <c r="A1100" s="11" t="s">
        <v>1071</v>
      </c>
      <c r="B1100" s="7">
        <v>19980</v>
      </c>
      <c r="C1100" s="7">
        <v>23.832999999999998</v>
      </c>
      <c r="D1100" s="2">
        <f t="shared" si="286"/>
        <v>2.8999999999999915E-2</v>
      </c>
      <c r="E1100" s="8">
        <f t="shared" si="292"/>
        <v>23.93261627790001</v>
      </c>
      <c r="F1100" s="6">
        <f t="shared" si="293"/>
        <v>3.0911901081916538E-2</v>
      </c>
      <c r="G1100" s="12">
        <f t="shared" si="294"/>
        <v>-9.9616277900011596E-2</v>
      </c>
    </row>
    <row r="1101" spans="1:7" x14ac:dyDescent="0.3">
      <c r="A1101" s="13" t="s">
        <v>1072</v>
      </c>
      <c r="B1101" s="24"/>
      <c r="C1101" s="25"/>
      <c r="D1101" s="25"/>
      <c r="E1101" s="25"/>
      <c r="F1101" s="25"/>
      <c r="G1101" s="26"/>
    </row>
    <row r="1102" spans="1:7" x14ac:dyDescent="0.3">
      <c r="A1102" s="11" t="s">
        <v>1073</v>
      </c>
      <c r="B1102" s="7">
        <v>20000</v>
      </c>
      <c r="C1102" s="7">
        <v>23.876000000000001</v>
      </c>
      <c r="D1102" s="2">
        <f>C1102-C1100</f>
        <v>4.3000000000002814E-2</v>
      </c>
      <c r="E1102" s="8">
        <f>E1100+F1100</f>
        <v>23.963528178981928</v>
      </c>
      <c r="F1102" s="6">
        <f>F1100</f>
        <v>3.0911901081916538E-2</v>
      </c>
      <c r="G1102" s="12">
        <f t="shared" si="294"/>
        <v>-8.7528178981926885E-2</v>
      </c>
    </row>
    <row r="1103" spans="1:7" x14ac:dyDescent="0.3">
      <c r="A1103" s="11" t="s">
        <v>1074</v>
      </c>
      <c r="B1103" s="7">
        <v>20020</v>
      </c>
      <c r="C1103" s="7">
        <v>23.968</v>
      </c>
      <c r="D1103" s="2">
        <f t="shared" si="286"/>
        <v>9.1999999999998749E-2</v>
      </c>
      <c r="E1103" s="8">
        <f t="shared" si="292"/>
        <v>23.994440080063846</v>
      </c>
      <c r="F1103" s="6">
        <f t="shared" si="293"/>
        <v>3.0911901081916538E-2</v>
      </c>
      <c r="G1103" s="12">
        <f t="shared" si="294"/>
        <v>-2.6440080063846239E-2</v>
      </c>
    </row>
    <row r="1104" spans="1:7" x14ac:dyDescent="0.3">
      <c r="A1104" s="11" t="s">
        <v>1075</v>
      </c>
      <c r="B1104" s="7">
        <v>20040</v>
      </c>
      <c r="C1104" s="7">
        <v>24.021000000000001</v>
      </c>
      <c r="D1104" s="2">
        <f t="shared" si="286"/>
        <v>5.3000000000000824E-2</v>
      </c>
      <c r="E1104" s="8">
        <f t="shared" si="292"/>
        <v>24.025351981145764</v>
      </c>
      <c r="F1104" s="6">
        <f t="shared" si="293"/>
        <v>3.0911901081916538E-2</v>
      </c>
      <c r="G1104" s="12">
        <f t="shared" si="294"/>
        <v>-4.3519811457635171E-3</v>
      </c>
    </row>
    <row r="1105" spans="1:18" x14ac:dyDescent="0.3">
      <c r="A1105" s="11" t="s">
        <v>1076</v>
      </c>
      <c r="B1105" s="7">
        <v>20060</v>
      </c>
      <c r="C1105" s="7">
        <v>24.056000000000001</v>
      </c>
      <c r="D1105" s="2">
        <f t="shared" si="286"/>
        <v>3.5000000000000142E-2</v>
      </c>
      <c r="E1105" s="8">
        <f t="shared" ref="E1105" si="295">E1104+F1104</f>
        <v>24.056263882227682</v>
      </c>
      <c r="F1105" s="6">
        <f t="shared" ref="F1105:F1117" si="296">F1104</f>
        <v>3.0911901081916538E-2</v>
      </c>
      <c r="G1105" s="12">
        <f t="shared" ref="G1105:G1117" si="297">C1105-E1105</f>
        <v>-2.6388222768147784E-4</v>
      </c>
    </row>
    <row r="1106" spans="1:18" x14ac:dyDescent="0.3">
      <c r="A1106" s="21"/>
      <c r="B1106" s="22"/>
      <c r="C1106" s="22"/>
      <c r="D1106" s="22"/>
      <c r="E1106" s="22"/>
      <c r="F1106" s="22"/>
      <c r="G1106" s="23"/>
      <c r="H1106" s="4" t="s">
        <v>3304</v>
      </c>
      <c r="J1106" s="4"/>
      <c r="O1106" s="3">
        <f>1/O1107</f>
        <v>9.8425196850393699E-4</v>
      </c>
      <c r="P1106" s="3">
        <f>O1106*20</f>
        <v>1.968503937007874E-2</v>
      </c>
      <c r="Q1106" s="3" t="s">
        <v>3200</v>
      </c>
      <c r="R1106" s="3">
        <v>1055</v>
      </c>
    </row>
    <row r="1107" spans="1:18" x14ac:dyDescent="0.3">
      <c r="A1107" s="11" t="s">
        <v>1077</v>
      </c>
      <c r="B1107" s="7">
        <v>20080</v>
      </c>
      <c r="C1107" s="7">
        <v>24.06</v>
      </c>
      <c r="D1107" s="2">
        <f>C1107-C1105</f>
        <v>3.9999999999977831E-3</v>
      </c>
      <c r="E1107" s="8">
        <f>E1105-F1107</f>
        <v>24.036578842857605</v>
      </c>
      <c r="F1107" s="6">
        <f>P1106</f>
        <v>1.968503937007874E-2</v>
      </c>
      <c r="G1107" s="12">
        <f>C1107-E1107</f>
        <v>2.3421157142394122E-2</v>
      </c>
      <c r="H1107" s="3">
        <f>B1105</f>
        <v>20060</v>
      </c>
      <c r="I1107" s="3">
        <f>B1149</f>
        <v>20920</v>
      </c>
      <c r="J1107" s="3">
        <f>I1107-H1107</f>
        <v>860</v>
      </c>
      <c r="K1107" s="5">
        <f>E1105</f>
        <v>24.056263882227682</v>
      </c>
      <c r="L1107" s="3">
        <f>C1149</f>
        <v>23.21</v>
      </c>
      <c r="M1107" s="5">
        <f>L1107-K1107</f>
        <v>-0.84626388222768156</v>
      </c>
      <c r="N1107" s="3">
        <f>J1107/M1107</f>
        <v>-1016.2314829461466</v>
      </c>
      <c r="O1107" s="3">
        <v>1016</v>
      </c>
    </row>
    <row r="1108" spans="1:18" x14ac:dyDescent="0.3">
      <c r="A1108" s="11" t="s">
        <v>1078</v>
      </c>
      <c r="B1108" s="7">
        <v>20100</v>
      </c>
      <c r="C1108" s="7">
        <v>24.05</v>
      </c>
      <c r="D1108" s="2">
        <f t="shared" si="286"/>
        <v>-9.9999999999980105E-3</v>
      </c>
      <c r="E1108" s="8">
        <f>E1107-F1107</f>
        <v>24.016893803487527</v>
      </c>
      <c r="F1108" s="6">
        <f t="shared" ref="F1108" si="298">F1107</f>
        <v>1.968503937007874E-2</v>
      </c>
      <c r="G1108" s="12">
        <f t="shared" ref="G1108" si="299">C1108-E1108</f>
        <v>3.3106196512473929E-2</v>
      </c>
    </row>
    <row r="1109" spans="1:18" x14ac:dyDescent="0.3">
      <c r="A1109" s="11" t="s">
        <v>1079</v>
      </c>
      <c r="B1109" s="7">
        <v>20120</v>
      </c>
      <c r="C1109" s="7">
        <v>24.038</v>
      </c>
      <c r="D1109" s="2">
        <f t="shared" si="286"/>
        <v>-1.2000000000000455E-2</v>
      </c>
      <c r="E1109" s="8">
        <f t="shared" ref="E1109:E1149" si="300">E1108-F1108</f>
        <v>23.997208764117449</v>
      </c>
      <c r="F1109" s="6">
        <f t="shared" si="296"/>
        <v>1.968503937007874E-2</v>
      </c>
      <c r="G1109" s="12">
        <f t="shared" si="297"/>
        <v>4.0791235882551291E-2</v>
      </c>
    </row>
    <row r="1110" spans="1:18" x14ac:dyDescent="0.3">
      <c r="A1110" s="11" t="s">
        <v>1080</v>
      </c>
      <c r="B1110" s="7">
        <v>20140</v>
      </c>
      <c r="C1110" s="7">
        <v>24.030999999999999</v>
      </c>
      <c r="D1110" s="2">
        <f t="shared" si="286"/>
        <v>-7.0000000000014495E-3</v>
      </c>
      <c r="E1110" s="8">
        <f t="shared" si="300"/>
        <v>23.977523724747371</v>
      </c>
      <c r="F1110" s="6">
        <f t="shared" si="296"/>
        <v>1.968503937007874E-2</v>
      </c>
      <c r="G1110" s="12">
        <f t="shared" si="297"/>
        <v>5.3476275252627659E-2</v>
      </c>
    </row>
    <row r="1111" spans="1:18" x14ac:dyDescent="0.3">
      <c r="A1111" s="11" t="s">
        <v>1081</v>
      </c>
      <c r="B1111" s="7">
        <v>20160</v>
      </c>
      <c r="C1111" s="7">
        <v>24.015000000000001</v>
      </c>
      <c r="D1111" s="2">
        <f t="shared" si="286"/>
        <v>-1.5999999999998238E-2</v>
      </c>
      <c r="E1111" s="8">
        <f t="shared" si="300"/>
        <v>23.957838685377293</v>
      </c>
      <c r="F1111" s="6">
        <f t="shared" si="296"/>
        <v>1.968503937007874E-2</v>
      </c>
      <c r="G1111" s="12">
        <f t="shared" si="297"/>
        <v>5.7161314622707238E-2</v>
      </c>
    </row>
    <row r="1112" spans="1:18" x14ac:dyDescent="0.3">
      <c r="A1112" s="11" t="s">
        <v>1082</v>
      </c>
      <c r="B1112" s="7">
        <v>20180</v>
      </c>
      <c r="C1112" s="7">
        <v>23.992999999999999</v>
      </c>
      <c r="D1112" s="2">
        <f t="shared" si="286"/>
        <v>-2.2000000000002018E-2</v>
      </c>
      <c r="E1112" s="8">
        <f t="shared" si="300"/>
        <v>23.938153646007216</v>
      </c>
      <c r="F1112" s="6">
        <f t="shared" si="296"/>
        <v>1.968503937007874E-2</v>
      </c>
      <c r="G1112" s="12">
        <f t="shared" si="297"/>
        <v>5.4846353992783037E-2</v>
      </c>
    </row>
    <row r="1113" spans="1:18" x14ac:dyDescent="0.3">
      <c r="A1113" s="11" t="s">
        <v>1083</v>
      </c>
      <c r="B1113" s="7">
        <v>20200</v>
      </c>
      <c r="C1113" s="7">
        <v>23.948</v>
      </c>
      <c r="D1113" s="2">
        <f t="shared" si="286"/>
        <v>-4.4999999999998153E-2</v>
      </c>
      <c r="E1113" s="8">
        <f t="shared" si="300"/>
        <v>23.918468606637138</v>
      </c>
      <c r="F1113" s="6">
        <f t="shared" si="296"/>
        <v>1.968503937007874E-2</v>
      </c>
      <c r="G1113" s="12">
        <f t="shared" si="297"/>
        <v>2.9531393362862701E-2</v>
      </c>
    </row>
    <row r="1114" spans="1:18" x14ac:dyDescent="0.3">
      <c r="A1114" s="11" t="s">
        <v>1084</v>
      </c>
      <c r="B1114" s="7">
        <v>20220</v>
      </c>
      <c r="C1114" s="7">
        <v>23.893999999999998</v>
      </c>
      <c r="D1114" s="2">
        <f t="shared" si="286"/>
        <v>-5.4000000000002046E-2</v>
      </c>
      <c r="E1114" s="8">
        <f t="shared" si="300"/>
        <v>23.89878356726706</v>
      </c>
      <c r="F1114" s="6">
        <f t="shared" si="296"/>
        <v>1.968503937007874E-2</v>
      </c>
      <c r="G1114" s="12">
        <f t="shared" si="297"/>
        <v>-4.7835672670615281E-3</v>
      </c>
    </row>
    <row r="1115" spans="1:18" x14ac:dyDescent="0.3">
      <c r="A1115" s="11" t="s">
        <v>1085</v>
      </c>
      <c r="B1115" s="7">
        <v>20240</v>
      </c>
      <c r="C1115" s="7">
        <v>23.850999999999999</v>
      </c>
      <c r="D1115" s="2">
        <f t="shared" si="286"/>
        <v>-4.2999999999999261E-2</v>
      </c>
      <c r="E1115" s="8">
        <f t="shared" si="300"/>
        <v>23.879098527896982</v>
      </c>
      <c r="F1115" s="6">
        <f t="shared" si="296"/>
        <v>1.968503937007874E-2</v>
      </c>
      <c r="G1115" s="12">
        <f t="shared" si="297"/>
        <v>-2.8098527896982972E-2</v>
      </c>
    </row>
    <row r="1116" spans="1:18" x14ac:dyDescent="0.3">
      <c r="A1116" s="11" t="s">
        <v>1086</v>
      </c>
      <c r="B1116" s="7">
        <v>20260</v>
      </c>
      <c r="C1116" s="7">
        <v>23.83</v>
      </c>
      <c r="D1116" s="2">
        <f t="shared" si="286"/>
        <v>-2.1000000000000796E-2</v>
      </c>
      <c r="E1116" s="8">
        <f t="shared" si="300"/>
        <v>23.859413488526904</v>
      </c>
      <c r="F1116" s="6">
        <f t="shared" si="296"/>
        <v>1.968503937007874E-2</v>
      </c>
      <c r="G1116" s="12">
        <f t="shared" si="297"/>
        <v>-2.9413488526905951E-2</v>
      </c>
    </row>
    <row r="1117" spans="1:18" x14ac:dyDescent="0.3">
      <c r="A1117" s="11" t="s">
        <v>1087</v>
      </c>
      <c r="B1117" s="7">
        <v>20280</v>
      </c>
      <c r="C1117" s="7">
        <v>23.795999999999999</v>
      </c>
      <c r="D1117" s="2">
        <f t="shared" si="286"/>
        <v>-3.399999999999892E-2</v>
      </c>
      <c r="E1117" s="8">
        <f t="shared" si="300"/>
        <v>23.839728449156826</v>
      </c>
      <c r="F1117" s="6">
        <f t="shared" si="296"/>
        <v>1.968503937007874E-2</v>
      </c>
      <c r="G1117" s="12">
        <f t="shared" si="297"/>
        <v>-4.3728449156827054E-2</v>
      </c>
    </row>
    <row r="1118" spans="1:18" x14ac:dyDescent="0.3">
      <c r="A1118" s="11" t="s">
        <v>1088</v>
      </c>
      <c r="B1118" s="7">
        <v>20300</v>
      </c>
      <c r="C1118" s="7">
        <v>23.751000000000001</v>
      </c>
      <c r="D1118" s="2">
        <f t="shared" si="286"/>
        <v>-4.4999999999998153E-2</v>
      </c>
      <c r="E1118" s="8">
        <f t="shared" si="300"/>
        <v>23.820043409786749</v>
      </c>
      <c r="F1118" s="6">
        <f t="shared" ref="F1118:F1136" si="301">F1117</f>
        <v>1.968503937007874E-2</v>
      </c>
      <c r="G1118" s="12">
        <f t="shared" ref="G1118:G1136" si="302">C1118-E1118</f>
        <v>-6.9043409786747389E-2</v>
      </c>
    </row>
    <row r="1119" spans="1:18" x14ac:dyDescent="0.3">
      <c r="A1119" s="11" t="s">
        <v>1089</v>
      </c>
      <c r="B1119" s="7">
        <v>20320</v>
      </c>
      <c r="C1119" s="7">
        <v>23.713999999999999</v>
      </c>
      <c r="D1119" s="2">
        <f t="shared" si="286"/>
        <v>-3.7000000000002586E-2</v>
      </c>
      <c r="E1119" s="8">
        <f t="shared" si="300"/>
        <v>23.800358370416671</v>
      </c>
      <c r="F1119" s="6">
        <f t="shared" si="301"/>
        <v>1.968503937007874E-2</v>
      </c>
      <c r="G1119" s="12">
        <f t="shared" si="302"/>
        <v>-8.6358370416672159E-2</v>
      </c>
    </row>
    <row r="1120" spans="1:18" x14ac:dyDescent="0.3">
      <c r="A1120" s="11" t="s">
        <v>1090</v>
      </c>
      <c r="B1120" s="7">
        <v>20340</v>
      </c>
      <c r="C1120" s="7">
        <v>23.683</v>
      </c>
      <c r="D1120" s="2">
        <f t="shared" si="286"/>
        <v>-3.0999999999998806E-2</v>
      </c>
      <c r="E1120" s="8">
        <f t="shared" si="300"/>
        <v>23.780673331046593</v>
      </c>
      <c r="F1120" s="6">
        <f t="shared" si="301"/>
        <v>1.968503937007874E-2</v>
      </c>
      <c r="G1120" s="12">
        <f t="shared" si="302"/>
        <v>-9.7673331046593148E-2</v>
      </c>
    </row>
    <row r="1121" spans="1:7" x14ac:dyDescent="0.3">
      <c r="A1121" s="11" t="s">
        <v>1091</v>
      </c>
      <c r="B1121" s="7">
        <v>20360</v>
      </c>
      <c r="C1121" s="7">
        <v>23.646000000000001</v>
      </c>
      <c r="D1121" s="2">
        <f t="shared" si="286"/>
        <v>-3.6999999999999034E-2</v>
      </c>
      <c r="E1121" s="8">
        <f t="shared" si="300"/>
        <v>23.760988291676515</v>
      </c>
      <c r="F1121" s="6">
        <f t="shared" si="301"/>
        <v>1.968503937007874E-2</v>
      </c>
      <c r="G1121" s="12">
        <f t="shared" si="302"/>
        <v>-0.11498829167651436</v>
      </c>
    </row>
    <row r="1122" spans="1:7" x14ac:dyDescent="0.3">
      <c r="A1122" s="11" t="s">
        <v>1092</v>
      </c>
      <c r="B1122" s="7">
        <v>20380</v>
      </c>
      <c r="C1122" s="7">
        <v>23.579000000000001</v>
      </c>
      <c r="D1122" s="2">
        <f t="shared" si="286"/>
        <v>-6.7000000000000171E-2</v>
      </c>
      <c r="E1122" s="8">
        <f t="shared" si="300"/>
        <v>23.741303252306437</v>
      </c>
      <c r="F1122" s="6">
        <f t="shared" si="301"/>
        <v>1.968503937007874E-2</v>
      </c>
      <c r="G1122" s="12">
        <f t="shared" si="302"/>
        <v>-0.16230325230643672</v>
      </c>
    </row>
    <row r="1123" spans="1:7" x14ac:dyDescent="0.3">
      <c r="A1123" s="11" t="s">
        <v>1093</v>
      </c>
      <c r="B1123" s="7">
        <v>20400</v>
      </c>
      <c r="C1123" s="7">
        <v>23.535</v>
      </c>
      <c r="D1123" s="2">
        <f t="shared" si="286"/>
        <v>-4.4000000000000483E-2</v>
      </c>
      <c r="E1123" s="8">
        <f t="shared" si="300"/>
        <v>23.72161821293636</v>
      </c>
      <c r="F1123" s="6">
        <f t="shared" si="301"/>
        <v>1.968503937007874E-2</v>
      </c>
      <c r="G1123" s="12">
        <f t="shared" si="302"/>
        <v>-0.18661821293635938</v>
      </c>
    </row>
    <row r="1124" spans="1:7" x14ac:dyDescent="0.3">
      <c r="A1124" s="11" t="s">
        <v>1094</v>
      </c>
      <c r="B1124" s="7">
        <v>20420</v>
      </c>
      <c r="C1124" s="7">
        <v>23.504000000000001</v>
      </c>
      <c r="D1124" s="2">
        <f t="shared" si="286"/>
        <v>-3.0999999999998806E-2</v>
      </c>
      <c r="E1124" s="8">
        <f t="shared" si="300"/>
        <v>23.701933173566282</v>
      </c>
      <c r="F1124" s="6">
        <f t="shared" si="301"/>
        <v>1.968503937007874E-2</v>
      </c>
      <c r="G1124" s="12">
        <f t="shared" si="302"/>
        <v>-0.19793317356628037</v>
      </c>
    </row>
    <row r="1125" spans="1:7" x14ac:dyDescent="0.3">
      <c r="A1125" s="11" t="s">
        <v>1095</v>
      </c>
      <c r="B1125" s="7">
        <v>20440</v>
      </c>
      <c r="C1125" s="7">
        <v>23.463000000000001</v>
      </c>
      <c r="D1125" s="2">
        <f t="shared" si="286"/>
        <v>-4.1000000000000369E-2</v>
      </c>
      <c r="E1125" s="8">
        <f t="shared" si="300"/>
        <v>23.682248134196204</v>
      </c>
      <c r="F1125" s="6">
        <f t="shared" si="301"/>
        <v>1.968503937007874E-2</v>
      </c>
      <c r="G1125" s="12">
        <f t="shared" si="302"/>
        <v>-0.21924813419620293</v>
      </c>
    </row>
    <row r="1126" spans="1:7" x14ac:dyDescent="0.3">
      <c r="A1126" s="11" t="s">
        <v>1096</v>
      </c>
      <c r="B1126" s="7">
        <v>20460</v>
      </c>
      <c r="C1126" s="7">
        <v>23.437999999999999</v>
      </c>
      <c r="D1126" s="2">
        <f t="shared" si="286"/>
        <v>-2.5000000000002132E-2</v>
      </c>
      <c r="E1126" s="8">
        <f t="shared" si="300"/>
        <v>23.662563094826126</v>
      </c>
      <c r="F1126" s="6">
        <f t="shared" si="301"/>
        <v>1.968503937007874E-2</v>
      </c>
      <c r="G1126" s="12">
        <f t="shared" si="302"/>
        <v>-0.22456309482612724</v>
      </c>
    </row>
    <row r="1127" spans="1:7" x14ac:dyDescent="0.3">
      <c r="A1127" s="11" t="s">
        <v>1097</v>
      </c>
      <c r="B1127" s="7">
        <v>20480</v>
      </c>
      <c r="C1127" s="7">
        <v>23.413</v>
      </c>
      <c r="D1127" s="2">
        <f t="shared" si="286"/>
        <v>-2.4999999999998579E-2</v>
      </c>
      <c r="E1127" s="8">
        <f t="shared" si="300"/>
        <v>23.642878055456048</v>
      </c>
      <c r="F1127" s="6">
        <f t="shared" si="301"/>
        <v>1.968503937007874E-2</v>
      </c>
      <c r="G1127" s="12">
        <f t="shared" si="302"/>
        <v>-0.229878055456048</v>
      </c>
    </row>
    <row r="1128" spans="1:7" x14ac:dyDescent="0.3">
      <c r="A1128" s="11" t="s">
        <v>1098</v>
      </c>
      <c r="B1128" s="7">
        <v>20500</v>
      </c>
      <c r="C1128" s="7">
        <v>23.39</v>
      </c>
      <c r="D1128" s="2">
        <f t="shared" si="286"/>
        <v>-2.2999999999999687E-2</v>
      </c>
      <c r="E1128" s="8">
        <f t="shared" si="300"/>
        <v>23.62319301608597</v>
      </c>
      <c r="F1128" s="6">
        <f t="shared" si="301"/>
        <v>1.968503937007874E-2</v>
      </c>
      <c r="G1128" s="12">
        <f t="shared" si="302"/>
        <v>-0.23319301608596987</v>
      </c>
    </row>
    <row r="1129" spans="1:7" x14ac:dyDescent="0.3">
      <c r="A1129" s="11" t="s">
        <v>1099</v>
      </c>
      <c r="B1129" s="7">
        <v>20520</v>
      </c>
      <c r="C1129" s="7">
        <v>23.38</v>
      </c>
      <c r="D1129" s="2">
        <f t="shared" ref="D1129:D1201" si="303">C1129-C1128</f>
        <v>-1.0000000000001563E-2</v>
      </c>
      <c r="E1129" s="8">
        <f t="shared" si="300"/>
        <v>23.603507976715893</v>
      </c>
      <c r="F1129" s="6">
        <f t="shared" si="301"/>
        <v>1.968503937007874E-2</v>
      </c>
      <c r="G1129" s="12">
        <f t="shared" si="302"/>
        <v>-0.22350797671589362</v>
      </c>
    </row>
    <row r="1130" spans="1:7" x14ac:dyDescent="0.3">
      <c r="A1130" s="11" t="s">
        <v>1100</v>
      </c>
      <c r="B1130" s="7">
        <v>20540</v>
      </c>
      <c r="C1130" s="7">
        <v>23.373000000000001</v>
      </c>
      <c r="D1130" s="2">
        <f t="shared" si="303"/>
        <v>-6.9999999999978968E-3</v>
      </c>
      <c r="E1130" s="8">
        <f t="shared" si="300"/>
        <v>23.583822937345815</v>
      </c>
      <c r="F1130" s="6">
        <f t="shared" si="301"/>
        <v>1.968503937007874E-2</v>
      </c>
      <c r="G1130" s="12">
        <f t="shared" si="302"/>
        <v>-0.2108229373458137</v>
      </c>
    </row>
    <row r="1131" spans="1:7" x14ac:dyDescent="0.3">
      <c r="A1131" s="11" t="s">
        <v>1101</v>
      </c>
      <c r="B1131" s="7">
        <v>20560</v>
      </c>
      <c r="C1131" s="7">
        <v>23.36</v>
      </c>
      <c r="D1131" s="2">
        <f t="shared" si="303"/>
        <v>-1.3000000000001677E-2</v>
      </c>
      <c r="E1131" s="8">
        <f t="shared" si="300"/>
        <v>23.564137897975737</v>
      </c>
      <c r="F1131" s="6">
        <f t="shared" si="301"/>
        <v>1.968503937007874E-2</v>
      </c>
      <c r="G1131" s="12">
        <f t="shared" si="302"/>
        <v>-0.20413789797573756</v>
      </c>
    </row>
    <row r="1132" spans="1:7" x14ac:dyDescent="0.3">
      <c r="A1132" s="11" t="s">
        <v>1102</v>
      </c>
      <c r="B1132" s="7">
        <v>20580</v>
      </c>
      <c r="C1132" s="7">
        <v>23.344999999999999</v>
      </c>
      <c r="D1132" s="2">
        <f t="shared" si="303"/>
        <v>-1.5000000000000568E-2</v>
      </c>
      <c r="E1132" s="8">
        <f t="shared" si="300"/>
        <v>23.544452858605659</v>
      </c>
      <c r="F1132" s="6">
        <f t="shared" si="301"/>
        <v>1.968503937007874E-2</v>
      </c>
      <c r="G1132" s="12">
        <f t="shared" si="302"/>
        <v>-0.19945285860566031</v>
      </c>
    </row>
    <row r="1133" spans="1:7" x14ac:dyDescent="0.3">
      <c r="A1133" s="11" t="s">
        <v>1103</v>
      </c>
      <c r="B1133" s="7">
        <v>20600</v>
      </c>
      <c r="C1133" s="7">
        <v>23.323</v>
      </c>
      <c r="D1133" s="2">
        <f t="shared" si="303"/>
        <v>-2.1999999999998465E-2</v>
      </c>
      <c r="E1133" s="8">
        <f t="shared" si="300"/>
        <v>23.524767819235581</v>
      </c>
      <c r="F1133" s="6">
        <f t="shared" si="301"/>
        <v>1.968503937007874E-2</v>
      </c>
      <c r="G1133" s="12">
        <f t="shared" si="302"/>
        <v>-0.20176781923558096</v>
      </c>
    </row>
    <row r="1134" spans="1:7" x14ac:dyDescent="0.3">
      <c r="A1134" s="11" t="s">
        <v>1104</v>
      </c>
      <c r="B1134" s="7">
        <v>20620</v>
      </c>
      <c r="C1134" s="7">
        <v>23.309000000000001</v>
      </c>
      <c r="D1134" s="2">
        <f t="shared" si="303"/>
        <v>-1.3999999999999346E-2</v>
      </c>
      <c r="E1134" s="8">
        <f t="shared" si="300"/>
        <v>23.505082779865504</v>
      </c>
      <c r="F1134" s="6">
        <f t="shared" si="301"/>
        <v>1.968503937007874E-2</v>
      </c>
      <c r="G1134" s="12">
        <f t="shared" si="302"/>
        <v>-0.19608277986550249</v>
      </c>
    </row>
    <row r="1135" spans="1:7" x14ac:dyDescent="0.3">
      <c r="A1135" s="11" t="s">
        <v>1105</v>
      </c>
      <c r="B1135" s="7">
        <v>20640</v>
      </c>
      <c r="C1135" s="7">
        <v>23.292999999999999</v>
      </c>
      <c r="D1135" s="2">
        <f t="shared" si="303"/>
        <v>-1.6000000000001791E-2</v>
      </c>
      <c r="E1135" s="8">
        <f t="shared" si="300"/>
        <v>23.485397740495426</v>
      </c>
      <c r="F1135" s="6">
        <f t="shared" si="301"/>
        <v>1.968503937007874E-2</v>
      </c>
      <c r="G1135" s="12">
        <f t="shared" si="302"/>
        <v>-0.19239774049542646</v>
      </c>
    </row>
    <row r="1136" spans="1:7" x14ac:dyDescent="0.3">
      <c r="A1136" s="11" t="s">
        <v>1106</v>
      </c>
      <c r="B1136" s="7">
        <v>20660</v>
      </c>
      <c r="C1136" s="7">
        <v>23.271999999999998</v>
      </c>
      <c r="D1136" s="2">
        <f t="shared" si="303"/>
        <v>-2.1000000000000796E-2</v>
      </c>
      <c r="E1136" s="8">
        <f t="shared" si="300"/>
        <v>23.465712701125348</v>
      </c>
      <c r="F1136" s="6">
        <f t="shared" si="301"/>
        <v>1.968503937007874E-2</v>
      </c>
      <c r="G1136" s="12">
        <f t="shared" si="302"/>
        <v>-0.19371270112534944</v>
      </c>
    </row>
    <row r="1137" spans="1:18" x14ac:dyDescent="0.3">
      <c r="A1137" s="11" t="s">
        <v>1107</v>
      </c>
      <c r="B1137" s="7">
        <v>20680</v>
      </c>
      <c r="C1137" s="7">
        <v>23.248999999999999</v>
      </c>
      <c r="D1137" s="2">
        <f t="shared" si="303"/>
        <v>-2.2999999999999687E-2</v>
      </c>
      <c r="E1137" s="8">
        <f t="shared" si="300"/>
        <v>23.44602766175527</v>
      </c>
      <c r="F1137" s="6">
        <f t="shared" ref="F1137:F1149" si="304">F1136</f>
        <v>1.968503937007874E-2</v>
      </c>
      <c r="G1137" s="12">
        <f t="shared" ref="G1137:G1148" si="305">C1137-E1137</f>
        <v>-0.19702766175527131</v>
      </c>
    </row>
    <row r="1138" spans="1:18" x14ac:dyDescent="0.3">
      <c r="A1138" s="11" t="s">
        <v>1108</v>
      </c>
      <c r="B1138" s="7">
        <v>20700</v>
      </c>
      <c r="C1138" s="7">
        <v>23.242999999999999</v>
      </c>
      <c r="D1138" s="2">
        <f t="shared" si="303"/>
        <v>-6.0000000000002274E-3</v>
      </c>
      <c r="E1138" s="8">
        <f t="shared" si="300"/>
        <v>23.426342622385192</v>
      </c>
      <c r="F1138" s="6">
        <f t="shared" si="304"/>
        <v>1.968503937007874E-2</v>
      </c>
      <c r="G1138" s="12">
        <f t="shared" si="305"/>
        <v>-0.18334262238519372</v>
      </c>
    </row>
    <row r="1139" spans="1:18" x14ac:dyDescent="0.3">
      <c r="A1139" s="11" t="s">
        <v>1109</v>
      </c>
      <c r="B1139" s="7">
        <v>20720</v>
      </c>
      <c r="C1139" s="7">
        <v>23.245000000000001</v>
      </c>
      <c r="D1139" s="2">
        <f t="shared" si="303"/>
        <v>2.0000000000024443E-3</v>
      </c>
      <c r="E1139" s="8">
        <f t="shared" si="300"/>
        <v>23.406657583015114</v>
      </c>
      <c r="F1139" s="6">
        <f t="shared" si="304"/>
        <v>1.968503937007874E-2</v>
      </c>
      <c r="G1139" s="12">
        <f t="shared" si="305"/>
        <v>-0.16165758301511346</v>
      </c>
    </row>
    <row r="1140" spans="1:18" x14ac:dyDescent="0.3">
      <c r="A1140" s="11" t="s">
        <v>1110</v>
      </c>
      <c r="B1140" s="7">
        <v>20740</v>
      </c>
      <c r="C1140" s="7">
        <v>23.222999999999999</v>
      </c>
      <c r="D1140" s="2">
        <f t="shared" si="303"/>
        <v>-2.2000000000002018E-2</v>
      </c>
      <c r="E1140" s="8">
        <f t="shared" si="300"/>
        <v>23.386972543645037</v>
      </c>
      <c r="F1140" s="6">
        <f t="shared" si="304"/>
        <v>1.968503937007874E-2</v>
      </c>
      <c r="G1140" s="12">
        <f t="shared" si="305"/>
        <v>-0.16397254364503766</v>
      </c>
    </row>
    <row r="1141" spans="1:18" x14ac:dyDescent="0.3">
      <c r="A1141" s="11" t="s">
        <v>1111</v>
      </c>
      <c r="B1141" s="7">
        <v>20760</v>
      </c>
      <c r="C1141" s="7">
        <v>23.207000000000001</v>
      </c>
      <c r="D1141" s="2">
        <f t="shared" si="303"/>
        <v>-1.5999999999998238E-2</v>
      </c>
      <c r="E1141" s="8">
        <f t="shared" si="300"/>
        <v>23.367287504274959</v>
      </c>
      <c r="F1141" s="6">
        <f t="shared" si="304"/>
        <v>1.968503937007874E-2</v>
      </c>
      <c r="G1141" s="12">
        <f t="shared" si="305"/>
        <v>-0.16028750427495808</v>
      </c>
    </row>
    <row r="1142" spans="1:18" x14ac:dyDescent="0.3">
      <c r="A1142" s="11" t="s">
        <v>1112</v>
      </c>
      <c r="B1142" s="7">
        <v>20780</v>
      </c>
      <c r="C1142" s="7">
        <v>23.215</v>
      </c>
      <c r="D1142" s="2">
        <f t="shared" si="303"/>
        <v>7.9999999999991189E-3</v>
      </c>
      <c r="E1142" s="8">
        <f t="shared" si="300"/>
        <v>23.347602464904881</v>
      </c>
      <c r="F1142" s="6">
        <f t="shared" si="304"/>
        <v>1.968503937007874E-2</v>
      </c>
      <c r="G1142" s="12">
        <f t="shared" si="305"/>
        <v>-0.13260246490488115</v>
      </c>
    </row>
    <row r="1143" spans="1:18" x14ac:dyDescent="0.3">
      <c r="A1143" s="11" t="s">
        <v>1113</v>
      </c>
      <c r="B1143" s="7">
        <v>20800</v>
      </c>
      <c r="C1143" s="7">
        <v>23.202999999999999</v>
      </c>
      <c r="D1143" s="2">
        <f>C1143-C1142</f>
        <v>-1.2000000000000455E-2</v>
      </c>
      <c r="E1143" s="8">
        <f t="shared" si="300"/>
        <v>23.327917425534803</v>
      </c>
      <c r="F1143" s="6">
        <f>F1142</f>
        <v>1.968503937007874E-2</v>
      </c>
      <c r="G1143" s="12">
        <f>C1143-E1143</f>
        <v>-0.12491742553480378</v>
      </c>
    </row>
    <row r="1144" spans="1:18" x14ac:dyDescent="0.3">
      <c r="A1144" s="11" t="s">
        <v>1114</v>
      </c>
      <c r="B1144" s="7">
        <v>20820</v>
      </c>
      <c r="C1144" s="7">
        <v>23.190999999999999</v>
      </c>
      <c r="D1144" s="2">
        <f t="shared" si="303"/>
        <v>-1.2000000000000455E-2</v>
      </c>
      <c r="E1144" s="8">
        <f t="shared" si="300"/>
        <v>23.308232386164725</v>
      </c>
      <c r="F1144" s="6">
        <f t="shared" ref="F1144" si="306">F1143</f>
        <v>1.968503937007874E-2</v>
      </c>
      <c r="G1144" s="12">
        <f t="shared" ref="G1144" si="307">C1144-E1144</f>
        <v>-0.11723238616472642</v>
      </c>
    </row>
    <row r="1145" spans="1:18" x14ac:dyDescent="0.3">
      <c r="A1145" s="11" t="s">
        <v>1115</v>
      </c>
      <c r="B1145" s="7">
        <v>20840</v>
      </c>
      <c r="C1145" s="7">
        <v>23.183</v>
      </c>
      <c r="D1145" s="2">
        <f t="shared" si="303"/>
        <v>-7.9999999999991189E-3</v>
      </c>
      <c r="E1145" s="8">
        <f t="shared" si="300"/>
        <v>23.288547346794648</v>
      </c>
      <c r="F1145" s="6">
        <f t="shared" si="304"/>
        <v>1.968503937007874E-2</v>
      </c>
      <c r="G1145" s="12">
        <f t="shared" si="305"/>
        <v>-0.10554734679464772</v>
      </c>
    </row>
    <row r="1146" spans="1:18" x14ac:dyDescent="0.3">
      <c r="A1146" s="11" t="s">
        <v>1116</v>
      </c>
      <c r="B1146" s="7">
        <v>20860</v>
      </c>
      <c r="C1146" s="7">
        <v>23.178000000000001</v>
      </c>
      <c r="D1146" s="2">
        <f t="shared" si="303"/>
        <v>-4.9999999999990052E-3</v>
      </c>
      <c r="E1146" s="8">
        <f t="shared" si="300"/>
        <v>23.26886230742457</v>
      </c>
      <c r="F1146" s="6">
        <f t="shared" si="304"/>
        <v>1.968503937007874E-2</v>
      </c>
      <c r="G1146" s="12">
        <f t="shared" si="305"/>
        <v>-9.0862307424568911E-2</v>
      </c>
    </row>
    <row r="1147" spans="1:18" x14ac:dyDescent="0.3">
      <c r="A1147" s="11" t="s">
        <v>1117</v>
      </c>
      <c r="B1147" s="7">
        <v>20880</v>
      </c>
      <c r="C1147" s="7">
        <v>23.181999999999999</v>
      </c>
      <c r="D1147" s="2">
        <f t="shared" si="303"/>
        <v>3.9999999999977831E-3</v>
      </c>
      <c r="E1147" s="8">
        <f t="shared" si="300"/>
        <v>23.249177268054492</v>
      </c>
      <c r="F1147" s="6">
        <f t="shared" si="304"/>
        <v>1.968503937007874E-2</v>
      </c>
      <c r="G1147" s="12">
        <f t="shared" si="305"/>
        <v>-6.7177268054493311E-2</v>
      </c>
    </row>
    <row r="1148" spans="1:18" x14ac:dyDescent="0.3">
      <c r="A1148" s="11" t="s">
        <v>1118</v>
      </c>
      <c r="B1148" s="7">
        <v>20900</v>
      </c>
      <c r="C1148" s="7">
        <v>23.164999999999999</v>
      </c>
      <c r="D1148" s="2">
        <f>C1148-C1147</f>
        <v>-1.699999999999946E-2</v>
      </c>
      <c r="E1148" s="8">
        <f t="shared" si="300"/>
        <v>23.229492228684414</v>
      </c>
      <c r="F1148" s="6">
        <f t="shared" si="304"/>
        <v>1.968503937007874E-2</v>
      </c>
      <c r="G1148" s="12">
        <f t="shared" si="305"/>
        <v>-6.4492228684414954E-2</v>
      </c>
    </row>
    <row r="1149" spans="1:18" x14ac:dyDescent="0.3">
      <c r="A1149" s="11" t="s">
        <v>1119</v>
      </c>
      <c r="B1149" s="7">
        <v>20920</v>
      </c>
      <c r="C1149" s="7">
        <v>23.21</v>
      </c>
      <c r="D1149" s="2">
        <f>C1149-C1148</f>
        <v>4.5000000000001705E-2</v>
      </c>
      <c r="E1149" s="8">
        <f t="shared" si="300"/>
        <v>23.209807189314336</v>
      </c>
      <c r="F1149" s="6">
        <f t="shared" si="304"/>
        <v>1.968503937007874E-2</v>
      </c>
      <c r="G1149" s="12">
        <f>C1149-E1149</f>
        <v>1.9281068566456838E-4</v>
      </c>
    </row>
    <row r="1150" spans="1:18" x14ac:dyDescent="0.3">
      <c r="A1150" s="11"/>
      <c r="B1150" s="7"/>
      <c r="C1150" s="7"/>
      <c r="D1150" s="2"/>
      <c r="E1150" s="8"/>
      <c r="F1150" s="6"/>
      <c r="G1150" s="12"/>
      <c r="H1150" s="4" t="s">
        <v>3480</v>
      </c>
      <c r="J1150" s="4"/>
      <c r="O1150" s="3">
        <f>1/O1151</f>
        <v>8.6805555555555551E-4</v>
      </c>
      <c r="P1150" s="3">
        <f>O1150*20</f>
        <v>1.7361111111111112E-2</v>
      </c>
      <c r="Q1150" s="3" t="s">
        <v>3200</v>
      </c>
      <c r="R1150" s="3">
        <v>1152</v>
      </c>
    </row>
    <row r="1151" spans="1:18" x14ac:dyDescent="0.3">
      <c r="A1151" s="11" t="s">
        <v>1120</v>
      </c>
      <c r="B1151" s="7">
        <v>20940</v>
      </c>
      <c r="C1151" s="7">
        <v>23.28</v>
      </c>
      <c r="D1151" s="2">
        <f>C1151-C1149</f>
        <v>7.0000000000000284E-2</v>
      </c>
      <c r="E1151" s="8">
        <f>E1149+F1151</f>
        <v>23.227168300425447</v>
      </c>
      <c r="F1151" s="6">
        <f>P1150</f>
        <v>1.7361111111111112E-2</v>
      </c>
      <c r="G1151" s="12">
        <f>C1151-E1151</f>
        <v>5.2831699574554136E-2</v>
      </c>
      <c r="H1151" s="3">
        <f>B1149</f>
        <v>20920</v>
      </c>
      <c r="I1151" s="3">
        <f>B1162</f>
        <v>21100</v>
      </c>
      <c r="J1151" s="3">
        <f>I1151-H1151</f>
        <v>180</v>
      </c>
      <c r="K1151" s="5">
        <f>E1149</f>
        <v>23.209807189314336</v>
      </c>
      <c r="L1151" s="3">
        <f>C1162</f>
        <v>23.366</v>
      </c>
      <c r="M1151" s="5">
        <f>L1151-K1151</f>
        <v>0.15619281068566337</v>
      </c>
      <c r="N1151" s="3">
        <f>J1151/M1151</f>
        <v>1152.4217997603512</v>
      </c>
      <c r="O1151" s="3">
        <v>1152</v>
      </c>
    </row>
    <row r="1152" spans="1:18" x14ac:dyDescent="0.3">
      <c r="A1152" s="11" t="s">
        <v>1121</v>
      </c>
      <c r="B1152" s="7">
        <v>20960</v>
      </c>
      <c r="C1152" s="7">
        <v>23.356000000000002</v>
      </c>
      <c r="D1152" s="2">
        <f>C1152-C1151</f>
        <v>7.6000000000000512E-2</v>
      </c>
      <c r="E1152" s="8">
        <f>E1151+F1152</f>
        <v>23.244529411536558</v>
      </c>
      <c r="F1152" s="6">
        <f>F1151</f>
        <v>1.7361111111111112E-2</v>
      </c>
      <c r="G1152" s="12">
        <f t="shared" ref="G1152:G1162" si="308">C1152-E1152</f>
        <v>0.11147058846344393</v>
      </c>
      <c r="K1152" s="5"/>
      <c r="M1152" s="5"/>
    </row>
    <row r="1153" spans="1:18" x14ac:dyDescent="0.3">
      <c r="A1153" s="11" t="s">
        <v>3369</v>
      </c>
      <c r="B1153" s="70" t="s">
        <v>3370</v>
      </c>
      <c r="C1153" s="7"/>
      <c r="D1153" s="2"/>
      <c r="E1153" s="8"/>
      <c r="F1153" s="6"/>
      <c r="G1153" s="12"/>
      <c r="K1153" s="5"/>
      <c r="M1153" s="5"/>
    </row>
    <row r="1154" spans="1:18" x14ac:dyDescent="0.3">
      <c r="A1154" s="11" t="s">
        <v>1122</v>
      </c>
      <c r="B1154" s="7">
        <v>20980</v>
      </c>
      <c r="C1154" s="7">
        <v>23.45</v>
      </c>
      <c r="D1154" s="2">
        <f>C1154-C1152</f>
        <v>9.3999999999997641E-2</v>
      </c>
      <c r="E1154" s="8">
        <f>E1152+F1152</f>
        <v>23.261890522647668</v>
      </c>
      <c r="F1154" s="6">
        <f>F1152</f>
        <v>1.7361111111111112E-2</v>
      </c>
      <c r="G1154" s="12">
        <f t="shared" si="308"/>
        <v>0.18810947735233086</v>
      </c>
    </row>
    <row r="1155" spans="1:18" x14ac:dyDescent="0.3">
      <c r="A1155" s="13" t="s">
        <v>1123</v>
      </c>
      <c r="B1155" s="24"/>
      <c r="C1155" s="25"/>
      <c r="D1155" s="25"/>
      <c r="E1155" s="25"/>
      <c r="F1155" s="25"/>
      <c r="G1155" s="26"/>
    </row>
    <row r="1156" spans="1:18" x14ac:dyDescent="0.3">
      <c r="A1156" s="11" t="s">
        <v>1124</v>
      </c>
      <c r="B1156" s="7">
        <v>21000</v>
      </c>
      <c r="C1156" s="7">
        <v>23.538</v>
      </c>
      <c r="D1156" s="2">
        <f>C1156-C1154</f>
        <v>8.8000000000000966E-2</v>
      </c>
      <c r="E1156" s="8">
        <f>E1154+F1154</f>
        <v>23.279251633758779</v>
      </c>
      <c r="F1156" s="6">
        <f>F1154</f>
        <v>1.7361111111111112E-2</v>
      </c>
      <c r="G1156" s="12">
        <f t="shared" si="308"/>
        <v>0.25874836624122111</v>
      </c>
    </row>
    <row r="1157" spans="1:18" x14ac:dyDescent="0.3">
      <c r="A1157" s="11" t="s">
        <v>1125</v>
      </c>
      <c r="B1157" s="7">
        <v>21020</v>
      </c>
      <c r="C1157" s="7">
        <v>23.617000000000001</v>
      </c>
      <c r="D1157" s="2">
        <f t="shared" si="303"/>
        <v>7.9000000000000625E-2</v>
      </c>
      <c r="E1157" s="8">
        <f>E1156+F1156</f>
        <v>23.29661274486989</v>
      </c>
      <c r="F1157" s="6">
        <f>F1156</f>
        <v>1.7361111111111112E-2</v>
      </c>
      <c r="G1157" s="12">
        <f t="shared" si="308"/>
        <v>0.32038725513011101</v>
      </c>
    </row>
    <row r="1158" spans="1:18" x14ac:dyDescent="0.3">
      <c r="A1158" s="11" t="s">
        <v>1126</v>
      </c>
      <c r="B1158" s="7">
        <v>21040</v>
      </c>
      <c r="C1158" s="7">
        <v>23.681000000000001</v>
      </c>
      <c r="D1158" s="2">
        <f t="shared" si="303"/>
        <v>6.4000000000000057E-2</v>
      </c>
      <c r="E1158" s="8">
        <f t="shared" ref="E1158:E1159" si="309">E1157+F1157</f>
        <v>23.313973855981001</v>
      </c>
      <c r="F1158" s="6">
        <f t="shared" ref="F1158:F1162" si="310">F1157</f>
        <v>1.7361111111111112E-2</v>
      </c>
      <c r="G1158" s="12">
        <f t="shared" si="308"/>
        <v>0.36702614401900036</v>
      </c>
    </row>
    <row r="1159" spans="1:18" x14ac:dyDescent="0.3">
      <c r="A1159" s="11" t="s">
        <v>1127</v>
      </c>
      <c r="B1159" s="7">
        <v>21060</v>
      </c>
      <c r="C1159" s="7">
        <v>23.667999999999999</v>
      </c>
      <c r="D1159" s="2">
        <f>C1159-C1158</f>
        <v>-1.3000000000001677E-2</v>
      </c>
      <c r="E1159" s="8">
        <f t="shared" si="309"/>
        <v>23.331334967092111</v>
      </c>
      <c r="F1159" s="6">
        <f>F1158</f>
        <v>1.7361111111111112E-2</v>
      </c>
      <c r="G1159" s="12">
        <f>C1159-E1159</f>
        <v>0.33666503290788796</v>
      </c>
      <c r="K1159" s="5"/>
      <c r="M1159" s="5"/>
    </row>
    <row r="1160" spans="1:18" x14ac:dyDescent="0.3">
      <c r="A1160" s="11" t="s">
        <v>3371</v>
      </c>
      <c r="B1160" s="70" t="s">
        <v>3372</v>
      </c>
      <c r="C1160" s="7"/>
      <c r="D1160" s="2"/>
      <c r="E1160" s="8"/>
      <c r="F1160" s="6"/>
      <c r="G1160" s="12"/>
      <c r="K1160" s="5"/>
      <c r="M1160" s="5"/>
    </row>
    <row r="1161" spans="1:18" x14ac:dyDescent="0.3">
      <c r="A1161" s="11" t="s">
        <v>1128</v>
      </c>
      <c r="B1161" s="7">
        <v>21080</v>
      </c>
      <c r="C1161" s="7">
        <v>23.545999999999999</v>
      </c>
      <c r="D1161" s="2">
        <f>C1161-C1159</f>
        <v>-0.12199999999999989</v>
      </c>
      <c r="E1161" s="8">
        <f>E1159+F1159</f>
        <v>23.348696078203222</v>
      </c>
      <c r="F1161" s="6">
        <f t="shared" ref="F1161" si="311">F1159</f>
        <v>1.7361111111111112E-2</v>
      </c>
      <c r="G1161" s="12">
        <f t="shared" ref="G1161" si="312">C1161-E1161</f>
        <v>0.19730392179677736</v>
      </c>
    </row>
    <row r="1162" spans="1:18" x14ac:dyDescent="0.3">
      <c r="A1162" s="11" t="s">
        <v>1129</v>
      </c>
      <c r="B1162" s="7">
        <v>21100</v>
      </c>
      <c r="C1162" s="7">
        <v>23.366</v>
      </c>
      <c r="D1162" s="2">
        <f t="shared" si="303"/>
        <v>-0.17999999999999972</v>
      </c>
      <c r="E1162" s="8">
        <f>E1161+F1161</f>
        <v>23.366057189314333</v>
      </c>
      <c r="F1162" s="6">
        <f t="shared" si="310"/>
        <v>1.7361111111111112E-2</v>
      </c>
      <c r="G1162" s="12">
        <f t="shared" si="308"/>
        <v>-5.7189314333072616E-5</v>
      </c>
    </row>
    <row r="1163" spans="1:18" x14ac:dyDescent="0.3">
      <c r="A1163" s="11"/>
      <c r="B1163" s="7"/>
      <c r="C1163" s="7"/>
      <c r="D1163" s="2"/>
      <c r="E1163" s="8"/>
      <c r="F1163" s="6"/>
      <c r="G1163" s="12"/>
      <c r="H1163" s="4" t="s">
        <v>3481</v>
      </c>
      <c r="J1163" s="4"/>
      <c r="O1163" s="3">
        <f>1/O1164</f>
        <v>3.5842293906810036E-3</v>
      </c>
      <c r="P1163" s="3">
        <f>O1163*20</f>
        <v>7.1684587813620068E-2</v>
      </c>
      <c r="Q1163" s="3" t="s">
        <v>3200</v>
      </c>
      <c r="R1163" s="3">
        <v>279</v>
      </c>
    </row>
    <row r="1164" spans="1:18" x14ac:dyDescent="0.3">
      <c r="A1164" s="11" t="s">
        <v>1130</v>
      </c>
      <c r="B1164" s="7">
        <v>21120</v>
      </c>
      <c r="C1164" s="7">
        <v>23.196999999999999</v>
      </c>
      <c r="D1164" s="2">
        <f>C1164-C1162</f>
        <v>-0.16900000000000048</v>
      </c>
      <c r="E1164" s="8">
        <f>E1162-F1164</f>
        <v>23.294372601500712</v>
      </c>
      <c r="F1164" s="6">
        <f>P1163</f>
        <v>7.1684587813620068E-2</v>
      </c>
      <c r="G1164" s="12">
        <f>C1164-E1164</f>
        <v>-9.7372601500712364E-2</v>
      </c>
      <c r="H1164" s="3">
        <f>B1162</f>
        <v>21100</v>
      </c>
      <c r="I1164" s="3">
        <f>B1177</f>
        <v>21380</v>
      </c>
      <c r="J1164" s="3">
        <f>I1164-H1164</f>
        <v>280</v>
      </c>
      <c r="K1164" s="5">
        <f>E1162</f>
        <v>23.366057189314333</v>
      </c>
      <c r="L1164" s="3">
        <f>C1177</f>
        <v>22.364000000000001</v>
      </c>
      <c r="M1164" s="5">
        <f>L1164-K1164</f>
        <v>-1.002057189314332</v>
      </c>
      <c r="N1164" s="3">
        <f>J1164/M1164</f>
        <v>-279.42516952709349</v>
      </c>
      <c r="O1164" s="3">
        <v>279</v>
      </c>
    </row>
    <row r="1165" spans="1:18" x14ac:dyDescent="0.3">
      <c r="A1165" s="11" t="s">
        <v>1131</v>
      </c>
      <c r="B1165" s="7">
        <v>21140</v>
      </c>
      <c r="C1165" s="7">
        <v>23.062000000000001</v>
      </c>
      <c r="D1165" s="2">
        <f t="shared" si="303"/>
        <v>-0.13499999999999801</v>
      </c>
      <c r="E1165" s="8">
        <f>E1164-F1165</f>
        <v>23.22268801368709</v>
      </c>
      <c r="F1165" s="6">
        <f>F1164</f>
        <v>7.1684587813620068E-2</v>
      </c>
      <c r="G1165" s="12">
        <f t="shared" ref="G1165" si="313">C1165-E1165</f>
        <v>-0.16068801368708918</v>
      </c>
      <c r="K1165" s="5"/>
      <c r="M1165" s="5"/>
    </row>
    <row r="1166" spans="1:18" x14ac:dyDescent="0.3">
      <c r="A1166" s="11" t="s">
        <v>1132</v>
      </c>
      <c r="B1166" s="7">
        <v>21160</v>
      </c>
      <c r="C1166" s="7">
        <v>22.957999999999998</v>
      </c>
      <c r="D1166" s="2">
        <f t="shared" si="303"/>
        <v>-0.10400000000000276</v>
      </c>
      <c r="E1166" s="8">
        <f t="shared" ref="E1166:E1195" si="314">E1165-F1165</f>
        <v>23.151003425873469</v>
      </c>
      <c r="F1166" s="6">
        <f t="shared" ref="F1166:F1185" si="315">F1165</f>
        <v>7.1684587813620068E-2</v>
      </c>
      <c r="G1166" s="12">
        <f t="shared" ref="G1166:G1185" si="316">C1166-E1166</f>
        <v>-0.19300342587347075</v>
      </c>
    </row>
    <row r="1167" spans="1:18" x14ac:dyDescent="0.3">
      <c r="A1167" s="11" t="s">
        <v>1133</v>
      </c>
      <c r="B1167" s="7">
        <v>21180</v>
      </c>
      <c r="C1167" s="7">
        <v>22.885999999999999</v>
      </c>
      <c r="D1167" s="2">
        <f t="shared" si="303"/>
        <v>-7.1999999999999176E-2</v>
      </c>
      <c r="E1167" s="8">
        <f t="shared" si="314"/>
        <v>23.079318838059848</v>
      </c>
      <c r="F1167" s="6">
        <f t="shared" si="315"/>
        <v>7.1684587813620068E-2</v>
      </c>
      <c r="G1167" s="12">
        <f t="shared" si="316"/>
        <v>-0.19331883805984873</v>
      </c>
    </row>
    <row r="1168" spans="1:18" x14ac:dyDescent="0.3">
      <c r="A1168" s="11" t="s">
        <v>1134</v>
      </c>
      <c r="B1168" s="7">
        <v>21200</v>
      </c>
      <c r="C1168" s="7">
        <v>22.826000000000001</v>
      </c>
      <c r="D1168" s="2">
        <f t="shared" si="303"/>
        <v>-5.9999999999998721E-2</v>
      </c>
      <c r="E1168" s="8">
        <f t="shared" si="314"/>
        <v>23.007634250246227</v>
      </c>
      <c r="F1168" s="6">
        <f t="shared" si="315"/>
        <v>7.1684587813620068E-2</v>
      </c>
      <c r="G1168" s="12">
        <f t="shared" si="316"/>
        <v>-0.18163425024622626</v>
      </c>
    </row>
    <row r="1169" spans="1:18" x14ac:dyDescent="0.3">
      <c r="A1169" s="11" t="s">
        <v>1135</v>
      </c>
      <c r="B1169" s="7">
        <v>21220</v>
      </c>
      <c r="C1169" s="7">
        <v>22.777999999999999</v>
      </c>
      <c r="D1169" s="2">
        <f>C1169-C1168</f>
        <v>-4.8000000000001819E-2</v>
      </c>
      <c r="E1169" s="8">
        <f t="shared" si="314"/>
        <v>22.935949662432606</v>
      </c>
      <c r="F1169" s="6">
        <f>F1168</f>
        <v>7.1684587813620068E-2</v>
      </c>
      <c r="G1169" s="12">
        <f>C1169-E1169</f>
        <v>-0.15794966243260689</v>
      </c>
      <c r="K1169" s="5"/>
      <c r="M1169" s="5"/>
    </row>
    <row r="1170" spans="1:18" x14ac:dyDescent="0.3">
      <c r="A1170" s="11" t="s">
        <v>1136</v>
      </c>
      <c r="B1170" s="7">
        <v>21240</v>
      </c>
      <c r="C1170" s="7">
        <v>22.710999999999999</v>
      </c>
      <c r="D1170" s="2">
        <f>C1170-C1169</f>
        <v>-6.7000000000000171E-2</v>
      </c>
      <c r="E1170" s="8">
        <f>E1169-F1169</f>
        <v>22.864265074618984</v>
      </c>
      <c r="F1170" s="6">
        <f>F1169</f>
        <v>7.1684587813620068E-2</v>
      </c>
      <c r="G1170" s="12">
        <f t="shared" ref="G1170" si="317">C1170-E1170</f>
        <v>-0.15326507461898586</v>
      </c>
    </row>
    <row r="1171" spans="1:18" x14ac:dyDescent="0.3">
      <c r="A1171" s="11" t="s">
        <v>1137</v>
      </c>
      <c r="B1171" s="7">
        <v>21260</v>
      </c>
      <c r="C1171" s="7">
        <v>22.655999999999999</v>
      </c>
      <c r="D1171" s="2">
        <f t="shared" si="303"/>
        <v>-5.4999999999999716E-2</v>
      </c>
      <c r="E1171" s="8">
        <f t="shared" si="314"/>
        <v>22.792580486805363</v>
      </c>
      <c r="F1171" s="6">
        <f t="shared" si="315"/>
        <v>7.1684587813620068E-2</v>
      </c>
      <c r="G1171" s="12">
        <f t="shared" si="316"/>
        <v>-0.13658048680536439</v>
      </c>
    </row>
    <row r="1172" spans="1:18" x14ac:dyDescent="0.3">
      <c r="A1172" s="11" t="s">
        <v>1138</v>
      </c>
      <c r="B1172" s="7">
        <v>21280</v>
      </c>
      <c r="C1172" s="7">
        <v>22.587</v>
      </c>
      <c r="D1172" s="2">
        <f t="shared" si="303"/>
        <v>-6.8999999999999062E-2</v>
      </c>
      <c r="E1172" s="8">
        <f t="shared" si="314"/>
        <v>22.720895898991742</v>
      </c>
      <c r="F1172" s="6">
        <f t="shared" si="315"/>
        <v>7.1684587813620068E-2</v>
      </c>
      <c r="G1172" s="12">
        <f t="shared" si="316"/>
        <v>-0.13389589899174226</v>
      </c>
    </row>
    <row r="1173" spans="1:18" x14ac:dyDescent="0.3">
      <c r="A1173" s="11" t="s">
        <v>1139</v>
      </c>
      <c r="B1173" s="7">
        <v>21300</v>
      </c>
      <c r="C1173" s="7">
        <v>22.532</v>
      </c>
      <c r="D1173" s="2">
        <f t="shared" si="303"/>
        <v>-5.4999999999999716E-2</v>
      </c>
      <c r="E1173" s="8">
        <f t="shared" si="314"/>
        <v>22.649211311178121</v>
      </c>
      <c r="F1173" s="6">
        <f t="shared" si="315"/>
        <v>7.1684587813620068E-2</v>
      </c>
      <c r="G1173" s="12">
        <f t="shared" si="316"/>
        <v>-0.11721131117812078</v>
      </c>
    </row>
    <row r="1174" spans="1:18" x14ac:dyDescent="0.3">
      <c r="A1174" s="11" t="s">
        <v>1140</v>
      </c>
      <c r="B1174" s="7">
        <v>21320</v>
      </c>
      <c r="C1174" s="7">
        <v>22.478000000000002</v>
      </c>
      <c r="D1174" s="2">
        <f t="shared" si="303"/>
        <v>-5.3999999999998494E-2</v>
      </c>
      <c r="E1174" s="8">
        <f t="shared" si="314"/>
        <v>22.5775267233645</v>
      </c>
      <c r="F1174" s="6">
        <f t="shared" si="315"/>
        <v>7.1684587813620068E-2</v>
      </c>
      <c r="G1174" s="12">
        <f t="shared" si="316"/>
        <v>-9.9526723364498082E-2</v>
      </c>
    </row>
    <row r="1175" spans="1:18" x14ac:dyDescent="0.3">
      <c r="A1175" s="11" t="s">
        <v>1141</v>
      </c>
      <c r="B1175" s="7">
        <v>21340</v>
      </c>
      <c r="C1175" s="7">
        <v>22.437999999999999</v>
      </c>
      <c r="D1175" s="2">
        <f t="shared" si="303"/>
        <v>-4.00000000000027E-2</v>
      </c>
      <c r="E1175" s="8">
        <f t="shared" si="314"/>
        <v>22.505842135550878</v>
      </c>
      <c r="F1175" s="6">
        <f t="shared" si="315"/>
        <v>7.1684587813620068E-2</v>
      </c>
      <c r="G1175" s="12">
        <f t="shared" si="316"/>
        <v>-6.784213555087959E-2</v>
      </c>
    </row>
    <row r="1176" spans="1:18" x14ac:dyDescent="0.3">
      <c r="A1176" s="11" t="s">
        <v>1142</v>
      </c>
      <c r="B1176" s="7">
        <v>21360</v>
      </c>
      <c r="C1176" s="7">
        <v>22.405000000000001</v>
      </c>
      <c r="D1176" s="2">
        <f t="shared" si="303"/>
        <v>-3.2999999999997698E-2</v>
      </c>
      <c r="E1176" s="8">
        <f t="shared" si="314"/>
        <v>22.434157547737257</v>
      </c>
      <c r="F1176" s="6">
        <f t="shared" si="315"/>
        <v>7.1684587813620068E-2</v>
      </c>
      <c r="G1176" s="12">
        <f t="shared" si="316"/>
        <v>-2.9157547737256095E-2</v>
      </c>
    </row>
    <row r="1177" spans="1:18" x14ac:dyDescent="0.3">
      <c r="A1177" s="11" t="s">
        <v>1143</v>
      </c>
      <c r="B1177" s="7">
        <v>21380</v>
      </c>
      <c r="C1177" s="7">
        <v>22.364000000000001</v>
      </c>
      <c r="D1177" s="2">
        <f t="shared" si="303"/>
        <v>-4.1000000000000369E-2</v>
      </c>
      <c r="E1177" s="8">
        <f t="shared" si="314"/>
        <v>22.362472959923636</v>
      </c>
      <c r="F1177" s="6">
        <f t="shared" si="315"/>
        <v>7.1684587813620068E-2</v>
      </c>
      <c r="G1177" s="12">
        <f t="shared" si="316"/>
        <v>1.5270400763647274E-3</v>
      </c>
    </row>
    <row r="1178" spans="1:18" x14ac:dyDescent="0.3">
      <c r="A1178" s="11"/>
      <c r="B1178" s="7"/>
      <c r="C1178" s="7"/>
      <c r="D1178" s="2"/>
      <c r="E1178" s="8"/>
      <c r="F1178" s="6"/>
      <c r="G1178" s="12"/>
      <c r="H1178" s="4" t="s">
        <v>3482</v>
      </c>
      <c r="J1178" s="4"/>
      <c r="O1178" s="3">
        <f>1/O1179</f>
        <v>7.4019245003700959E-4</v>
      </c>
      <c r="P1178" s="3">
        <f>O1178*20</f>
        <v>1.4803849000740192E-2</v>
      </c>
      <c r="Q1178" s="3" t="s">
        <v>3200</v>
      </c>
      <c r="R1178" s="3">
        <v>1351</v>
      </c>
    </row>
    <row r="1179" spans="1:18" x14ac:dyDescent="0.3">
      <c r="A1179" s="11" t="s">
        <v>1144</v>
      </c>
      <c r="B1179" s="7">
        <v>21400</v>
      </c>
      <c r="C1179" s="7">
        <v>22.353000000000002</v>
      </c>
      <c r="D1179" s="2">
        <f>C1179-C1177</f>
        <v>-1.0999999999999233E-2</v>
      </c>
      <c r="E1179" s="8">
        <f>E1177-F1179</f>
        <v>22.347669110922897</v>
      </c>
      <c r="F1179" s="6">
        <f>P1178</f>
        <v>1.4803849000740192E-2</v>
      </c>
      <c r="G1179" s="12">
        <f>C1179-E1179</f>
        <v>5.3308890771042172E-3</v>
      </c>
      <c r="H1179" s="3">
        <f>B1177</f>
        <v>21380</v>
      </c>
      <c r="I1179" s="3">
        <f>B1198</f>
        <v>21740</v>
      </c>
      <c r="J1179" s="3">
        <f>I1179-H1179</f>
        <v>360</v>
      </c>
      <c r="K1179" s="5">
        <f>E1177</f>
        <v>22.362472959923636</v>
      </c>
      <c r="L1179" s="3">
        <f>C1198</f>
        <v>22.096</v>
      </c>
      <c r="M1179" s="5">
        <f>L1179-K1179</f>
        <v>-0.26647295992363595</v>
      </c>
      <c r="N1179" s="3">
        <f>J1179/M1179</f>
        <v>-1350.9813532418689</v>
      </c>
      <c r="O1179" s="3">
        <v>1351</v>
      </c>
    </row>
    <row r="1180" spans="1:18" x14ac:dyDescent="0.3">
      <c r="A1180" s="11" t="s">
        <v>1145</v>
      </c>
      <c r="B1180" s="7">
        <v>21420</v>
      </c>
      <c r="C1180" s="7">
        <v>22.367000000000001</v>
      </c>
      <c r="D1180" s="2">
        <f t="shared" si="303"/>
        <v>1.3999999999999346E-2</v>
      </c>
      <c r="E1180" s="8">
        <f>E1179-F1180</f>
        <v>22.332865261922159</v>
      </c>
      <c r="F1180" s="6">
        <f>F1179</f>
        <v>1.4803849000740192E-2</v>
      </c>
      <c r="G1180" s="12">
        <f t="shared" ref="G1180" si="318">C1180-E1180</f>
        <v>3.4134738077842286E-2</v>
      </c>
      <c r="K1180" s="5"/>
      <c r="M1180" s="5"/>
    </row>
    <row r="1181" spans="1:18" x14ac:dyDescent="0.3">
      <c r="A1181" s="11" t="s">
        <v>1146</v>
      </c>
      <c r="B1181" s="7">
        <v>21440</v>
      </c>
      <c r="C1181" s="7">
        <v>22.422999999999998</v>
      </c>
      <c r="D1181" s="2">
        <f>C1181-C1180</f>
        <v>5.5999999999997385E-2</v>
      </c>
      <c r="E1181" s="8">
        <f t="shared" si="314"/>
        <v>22.31806141292142</v>
      </c>
      <c r="F1181" s="6">
        <f>F1180</f>
        <v>1.4803849000740192E-2</v>
      </c>
      <c r="G1181" s="12">
        <f>C1181-E1181</f>
        <v>0.10493858707857839</v>
      </c>
      <c r="K1181" s="5"/>
      <c r="M1181" s="5"/>
    </row>
    <row r="1182" spans="1:18" x14ac:dyDescent="0.3">
      <c r="A1182" s="11" t="s">
        <v>1147</v>
      </c>
      <c r="B1182" s="7">
        <v>21460</v>
      </c>
      <c r="C1182" s="7">
        <v>22.452000000000002</v>
      </c>
      <c r="D1182" s="2">
        <f t="shared" si="303"/>
        <v>2.9000000000003467E-2</v>
      </c>
      <c r="E1182" s="8">
        <f t="shared" si="314"/>
        <v>22.303257563920681</v>
      </c>
      <c r="F1182" s="6">
        <f t="shared" ref="F1182" si="319">F1181</f>
        <v>1.4803849000740192E-2</v>
      </c>
      <c r="G1182" s="12">
        <f t="shared" ref="G1182" si="320">C1182-E1182</f>
        <v>0.14874243607932058</v>
      </c>
    </row>
    <row r="1183" spans="1:18" x14ac:dyDescent="0.3">
      <c r="A1183" s="11" t="s">
        <v>1148</v>
      </c>
      <c r="B1183" s="7">
        <v>21480</v>
      </c>
      <c r="C1183" s="7">
        <v>22.422000000000001</v>
      </c>
      <c r="D1183" s="2">
        <f t="shared" si="303"/>
        <v>-3.0000000000001137E-2</v>
      </c>
      <c r="E1183" s="8">
        <f t="shared" si="314"/>
        <v>22.288453714919942</v>
      </c>
      <c r="F1183" s="6">
        <f t="shared" si="315"/>
        <v>1.4803849000740192E-2</v>
      </c>
      <c r="G1183" s="12">
        <f t="shared" si="316"/>
        <v>0.13354628508005817</v>
      </c>
    </row>
    <row r="1184" spans="1:18" x14ac:dyDescent="0.3">
      <c r="A1184" s="11" t="s">
        <v>1149</v>
      </c>
      <c r="B1184" s="7">
        <v>21500</v>
      </c>
      <c r="C1184" s="7">
        <v>22.32</v>
      </c>
      <c r="D1184" s="2">
        <f t="shared" si="303"/>
        <v>-0.10200000000000031</v>
      </c>
      <c r="E1184" s="8">
        <f t="shared" si="314"/>
        <v>22.273649865919204</v>
      </c>
      <c r="F1184" s="6">
        <f t="shared" si="315"/>
        <v>1.4803849000740192E-2</v>
      </c>
      <c r="G1184" s="12">
        <f t="shared" si="316"/>
        <v>4.6350134080796579E-2</v>
      </c>
    </row>
    <row r="1185" spans="1:18" x14ac:dyDescent="0.3">
      <c r="A1185" s="11" t="s">
        <v>1150</v>
      </c>
      <c r="B1185" s="7">
        <v>21520</v>
      </c>
      <c r="C1185" s="7">
        <v>22.224</v>
      </c>
      <c r="D1185" s="2">
        <f t="shared" si="303"/>
        <v>-9.6000000000000085E-2</v>
      </c>
      <c r="E1185" s="8">
        <f t="shared" si="314"/>
        <v>22.258846016918465</v>
      </c>
      <c r="F1185" s="6">
        <f t="shared" si="315"/>
        <v>1.4803849000740192E-2</v>
      </c>
      <c r="G1185" s="12">
        <f t="shared" si="316"/>
        <v>-3.4846016918464784E-2</v>
      </c>
    </row>
    <row r="1186" spans="1:18" x14ac:dyDescent="0.3">
      <c r="A1186" s="11" t="s">
        <v>1151</v>
      </c>
      <c r="B1186" s="7">
        <v>21540</v>
      </c>
      <c r="C1186" s="7">
        <v>22.154</v>
      </c>
      <c r="D1186" s="2">
        <f t="shared" si="303"/>
        <v>-7.0000000000000284E-2</v>
      </c>
      <c r="E1186" s="8">
        <f t="shared" si="314"/>
        <v>22.244042167917726</v>
      </c>
      <c r="F1186" s="6">
        <f t="shared" ref="F1186:F1195" si="321">F1185</f>
        <v>1.4803849000740192E-2</v>
      </c>
      <c r="G1186" s="12">
        <f t="shared" ref="G1186:G1198" si="322">C1186-E1186</f>
        <v>-9.0042167917726346E-2</v>
      </c>
    </row>
    <row r="1187" spans="1:18" x14ac:dyDescent="0.3">
      <c r="A1187" s="11" t="s">
        <v>1152</v>
      </c>
      <c r="B1187" s="7">
        <v>21560</v>
      </c>
      <c r="C1187" s="7">
        <v>22.117000000000001</v>
      </c>
      <c r="D1187" s="2">
        <f t="shared" si="303"/>
        <v>-3.6999999999999034E-2</v>
      </c>
      <c r="E1187" s="8">
        <f t="shared" si="314"/>
        <v>22.229238318916988</v>
      </c>
      <c r="F1187" s="6">
        <f t="shared" si="321"/>
        <v>1.4803849000740192E-2</v>
      </c>
      <c r="G1187" s="12">
        <f t="shared" si="322"/>
        <v>-0.11223831891698666</v>
      </c>
    </row>
    <row r="1188" spans="1:18" x14ac:dyDescent="0.3">
      <c r="A1188" s="11" t="s">
        <v>1153</v>
      </c>
      <c r="B1188" s="7">
        <v>21580</v>
      </c>
      <c r="C1188" s="7">
        <v>22.103000000000002</v>
      </c>
      <c r="D1188" s="2">
        <f t="shared" si="303"/>
        <v>-1.3999999999999346E-2</v>
      </c>
      <c r="E1188" s="8">
        <f t="shared" si="314"/>
        <v>22.214434469916249</v>
      </c>
      <c r="F1188" s="6">
        <f t="shared" si="321"/>
        <v>1.4803849000740192E-2</v>
      </c>
      <c r="G1188" s="12">
        <f t="shared" si="322"/>
        <v>-0.11143446991624728</v>
      </c>
    </row>
    <row r="1189" spans="1:18" x14ac:dyDescent="0.3">
      <c r="A1189" s="11" t="s">
        <v>1154</v>
      </c>
      <c r="B1189" s="7">
        <v>21600</v>
      </c>
      <c r="C1189" s="7">
        <v>22.102</v>
      </c>
      <c r="D1189" s="2">
        <f t="shared" si="303"/>
        <v>-1.0000000000012221E-3</v>
      </c>
      <c r="E1189" s="8">
        <f t="shared" si="314"/>
        <v>22.19963062091551</v>
      </c>
      <c r="F1189" s="6">
        <f t="shared" si="321"/>
        <v>1.4803849000740192E-2</v>
      </c>
      <c r="G1189" s="12">
        <f t="shared" si="322"/>
        <v>-9.763062091550978E-2</v>
      </c>
    </row>
    <row r="1190" spans="1:18" x14ac:dyDescent="0.3">
      <c r="A1190" s="11" t="s">
        <v>3373</v>
      </c>
      <c r="B1190" s="70" t="s">
        <v>3374</v>
      </c>
      <c r="C1190" s="7"/>
      <c r="D1190" s="2"/>
      <c r="E1190" s="8"/>
      <c r="F1190" s="6"/>
      <c r="G1190" s="12"/>
    </row>
    <row r="1191" spans="1:18" x14ac:dyDescent="0.3">
      <c r="A1191" s="11" t="s">
        <v>1155</v>
      </c>
      <c r="B1191" s="7">
        <v>21620</v>
      </c>
      <c r="C1191" s="7">
        <v>22.102</v>
      </c>
      <c r="D1191" s="2">
        <f>C1191-C1189</f>
        <v>0</v>
      </c>
      <c r="E1191" s="8">
        <f>E1189-F1189</f>
        <v>22.184826771914771</v>
      </c>
      <c r="F1191" s="6">
        <f>F1189</f>
        <v>1.4803849000740192E-2</v>
      </c>
      <c r="G1191" s="12">
        <f t="shared" si="322"/>
        <v>-8.2826771914771058E-2</v>
      </c>
    </row>
    <row r="1192" spans="1:18" x14ac:dyDescent="0.3">
      <c r="A1192" s="11" t="s">
        <v>1156</v>
      </c>
      <c r="B1192" s="7">
        <v>21640</v>
      </c>
      <c r="C1192" s="7">
        <v>22.109000000000002</v>
      </c>
      <c r="D1192" s="2">
        <f t="shared" si="303"/>
        <v>7.0000000000014495E-3</v>
      </c>
      <c r="E1192" s="8">
        <f t="shared" si="314"/>
        <v>22.170022922914033</v>
      </c>
      <c r="F1192" s="6">
        <f t="shared" si="321"/>
        <v>1.4803849000740192E-2</v>
      </c>
      <c r="G1192" s="12">
        <f t="shared" si="322"/>
        <v>-6.1022922914030886E-2</v>
      </c>
    </row>
    <row r="1193" spans="1:18" x14ac:dyDescent="0.3">
      <c r="A1193" s="11" t="s">
        <v>1157</v>
      </c>
      <c r="B1193" s="7">
        <v>21660</v>
      </c>
      <c r="C1193" s="7">
        <v>22.109000000000002</v>
      </c>
      <c r="D1193" s="2">
        <f t="shared" si="303"/>
        <v>0</v>
      </c>
      <c r="E1193" s="8">
        <f t="shared" si="314"/>
        <v>22.155219073913294</v>
      </c>
      <c r="F1193" s="6">
        <f t="shared" si="321"/>
        <v>1.4803849000740192E-2</v>
      </c>
      <c r="G1193" s="12">
        <f t="shared" si="322"/>
        <v>-4.6219073913292164E-2</v>
      </c>
    </row>
    <row r="1194" spans="1:18" x14ac:dyDescent="0.3">
      <c r="A1194" s="11" t="s">
        <v>1158</v>
      </c>
      <c r="B1194" s="7">
        <v>21680</v>
      </c>
      <c r="C1194" s="7">
        <v>22.111000000000001</v>
      </c>
      <c r="D1194" s="2">
        <f t="shared" si="303"/>
        <v>1.9999999999988916E-3</v>
      </c>
      <c r="E1194" s="8">
        <f t="shared" si="314"/>
        <v>22.140415224912555</v>
      </c>
      <c r="F1194" s="6">
        <f t="shared" si="321"/>
        <v>1.4803849000740192E-2</v>
      </c>
      <c r="G1194" s="12">
        <f t="shared" si="322"/>
        <v>-2.941522491255455E-2</v>
      </c>
    </row>
    <row r="1195" spans="1:18" x14ac:dyDescent="0.3">
      <c r="A1195" s="11" t="s">
        <v>1159</v>
      </c>
      <c r="B1195" s="7">
        <v>21700</v>
      </c>
      <c r="C1195" s="7">
        <v>22.114000000000001</v>
      </c>
      <c r="D1195" s="2">
        <f t="shared" si="303"/>
        <v>3.0000000000001137E-3</v>
      </c>
      <c r="E1195" s="8">
        <f t="shared" si="314"/>
        <v>22.125611375911816</v>
      </c>
      <c r="F1195" s="6">
        <f t="shared" si="321"/>
        <v>1.4803849000740192E-2</v>
      </c>
      <c r="G1195" s="12">
        <f t="shared" si="322"/>
        <v>-1.1611375911815713E-2</v>
      </c>
    </row>
    <row r="1196" spans="1:18" x14ac:dyDescent="0.3">
      <c r="A1196" s="11" t="s">
        <v>3376</v>
      </c>
      <c r="B1196" s="70" t="s">
        <v>3375</v>
      </c>
      <c r="C1196" s="7"/>
      <c r="D1196" s="2"/>
      <c r="E1196" s="8"/>
      <c r="F1196" s="6"/>
      <c r="G1196" s="12"/>
    </row>
    <row r="1197" spans="1:18" x14ac:dyDescent="0.3">
      <c r="A1197" s="11" t="s">
        <v>1160</v>
      </c>
      <c r="B1197" s="7">
        <v>21720</v>
      </c>
      <c r="C1197" s="7">
        <v>22.108000000000001</v>
      </c>
      <c r="D1197" s="2">
        <f>C1197-C1195</f>
        <v>-6.0000000000002274E-3</v>
      </c>
      <c r="E1197" s="8">
        <f>E1195-F1195</f>
        <v>22.110807526911078</v>
      </c>
      <c r="F1197" s="6">
        <f>F1195</f>
        <v>1.4803849000740192E-2</v>
      </c>
      <c r="G1197" s="12">
        <f t="shared" si="322"/>
        <v>-2.8075269110772183E-3</v>
      </c>
    </row>
    <row r="1198" spans="1:18" x14ac:dyDescent="0.3">
      <c r="A1198" s="11" t="s">
        <v>1161</v>
      </c>
      <c r="B1198" s="7">
        <v>21740</v>
      </c>
      <c r="C1198" s="7">
        <v>22.096</v>
      </c>
      <c r="D1198" s="2">
        <f>C1198-C1197</f>
        <v>-1.2000000000000455E-2</v>
      </c>
      <c r="E1198" s="8">
        <f>E1197-F1198</f>
        <v>22.096003677910339</v>
      </c>
      <c r="F1198" s="6">
        <f>F1197</f>
        <v>1.4803849000740192E-2</v>
      </c>
      <c r="G1198" s="12">
        <f t="shared" si="322"/>
        <v>-3.6779103389505963E-6</v>
      </c>
    </row>
    <row r="1199" spans="1:18" x14ac:dyDescent="0.3">
      <c r="A1199" s="11"/>
      <c r="B1199" s="7"/>
      <c r="C1199" s="7"/>
      <c r="D1199" s="2"/>
      <c r="E1199" s="8"/>
      <c r="F1199" s="6"/>
      <c r="G1199" s="12"/>
      <c r="H1199" s="4" t="s">
        <v>3163</v>
      </c>
      <c r="J1199" s="4"/>
      <c r="O1199" s="3">
        <f>1/O1200</f>
        <v>7.8182415211170711E-6</v>
      </c>
      <c r="P1199" s="3">
        <f>O1199*20</f>
        <v>1.5636483042234141E-4</v>
      </c>
      <c r="Q1199" s="3" t="s">
        <v>3163</v>
      </c>
      <c r="R1199" s="3">
        <v>127906</v>
      </c>
    </row>
    <row r="1200" spans="1:18" x14ac:dyDescent="0.3">
      <c r="A1200" s="11" t="s">
        <v>1162</v>
      </c>
      <c r="B1200" s="7">
        <v>21760</v>
      </c>
      <c r="C1200" s="7">
        <v>22.088999999999999</v>
      </c>
      <c r="D1200" s="2">
        <f>C1200-C1198</f>
        <v>-7.0000000000014495E-3</v>
      </c>
      <c r="E1200" s="8">
        <f>E1198-F1200</f>
        <v>22.095847313079918</v>
      </c>
      <c r="F1200" s="6">
        <f>P1199</f>
        <v>1.5636483042234141E-4</v>
      </c>
      <c r="G1200" s="12">
        <f>C1200-E1200</f>
        <v>-6.8473130799198145E-3</v>
      </c>
      <c r="H1200" s="3">
        <f>B1198</f>
        <v>21740</v>
      </c>
      <c r="I1200" s="3">
        <f>B1232</f>
        <v>22380</v>
      </c>
      <c r="J1200" s="3">
        <f>I1200-H1200</f>
        <v>640</v>
      </c>
      <c r="K1200" s="5">
        <f>E1198</f>
        <v>22.096003677910339</v>
      </c>
      <c r="L1200" s="3">
        <f>C1232</f>
        <v>22.091000000000001</v>
      </c>
      <c r="M1200" s="5">
        <f>L1200-K1200</f>
        <v>-5.0036779103379558E-3</v>
      </c>
      <c r="N1200" s="3">
        <f>J1200/M1200</f>
        <v>-127905.91470280578</v>
      </c>
      <c r="O1200" s="3">
        <v>127906</v>
      </c>
    </row>
    <row r="1201" spans="1:7" x14ac:dyDescent="0.3">
      <c r="A1201" s="11" t="s">
        <v>1163</v>
      </c>
      <c r="B1201" s="7">
        <v>21780</v>
      </c>
      <c r="C1201" s="7">
        <v>22.064</v>
      </c>
      <c r="D1201" s="2">
        <f t="shared" si="303"/>
        <v>-2.4999999999998579E-2</v>
      </c>
      <c r="E1201" s="8">
        <f>E1200-F1200</f>
        <v>22.095690948249498</v>
      </c>
      <c r="F1201" s="6">
        <f t="shared" ref="F1201:F1270" si="323">F1200</f>
        <v>1.5636483042234141E-4</v>
      </c>
      <c r="G1201" s="12">
        <f t="shared" ref="G1201" si="324">C1201-E1201</f>
        <v>-3.1690948249497808E-2</v>
      </c>
    </row>
    <row r="1202" spans="1:7" x14ac:dyDescent="0.3">
      <c r="A1202" s="11" t="s">
        <v>1164</v>
      </c>
      <c r="B1202" s="7">
        <v>21800</v>
      </c>
      <c r="C1202" s="7">
        <v>22.056000000000001</v>
      </c>
      <c r="D1202" s="2">
        <f t="shared" ref="D1202:D1272" si="325">C1202-C1201</f>
        <v>-7.9999999999991189E-3</v>
      </c>
      <c r="E1202" s="8">
        <f t="shared" ref="E1202:E1206" si="326">E1201-F1201</f>
        <v>22.095534583419077</v>
      </c>
      <c r="F1202" s="6">
        <f t="shared" si="323"/>
        <v>1.5636483042234141E-4</v>
      </c>
      <c r="G1202" s="12">
        <f t="shared" ref="G1202:G1206" si="327">C1202-E1202</f>
        <v>-3.9534583419076341E-2</v>
      </c>
    </row>
    <row r="1203" spans="1:7" x14ac:dyDescent="0.3">
      <c r="A1203" s="11" t="s">
        <v>1165</v>
      </c>
      <c r="B1203" s="7">
        <v>21820</v>
      </c>
      <c r="C1203" s="7">
        <v>22.056999999999999</v>
      </c>
      <c r="D1203" s="2">
        <f t="shared" si="325"/>
        <v>9.9999999999766942E-4</v>
      </c>
      <c r="E1203" s="8">
        <f t="shared" si="326"/>
        <v>22.095378218588657</v>
      </c>
      <c r="F1203" s="6">
        <f t="shared" si="323"/>
        <v>1.5636483042234141E-4</v>
      </c>
      <c r="G1203" s="12">
        <f t="shared" si="327"/>
        <v>-3.8378218588658086E-2</v>
      </c>
    </row>
    <row r="1204" spans="1:7" x14ac:dyDescent="0.3">
      <c r="A1204" s="11" t="s">
        <v>1166</v>
      </c>
      <c r="B1204" s="7">
        <v>21840</v>
      </c>
      <c r="C1204" s="7">
        <v>22.047999999999998</v>
      </c>
      <c r="D1204" s="2">
        <f t="shared" si="325"/>
        <v>-9.0000000000003411E-3</v>
      </c>
      <c r="E1204" s="8">
        <f t="shared" si="326"/>
        <v>22.095221853758236</v>
      </c>
      <c r="F1204" s="6">
        <f t="shared" si="323"/>
        <v>1.5636483042234141E-4</v>
      </c>
      <c r="G1204" s="12">
        <f t="shared" si="327"/>
        <v>-4.7221853758237842E-2</v>
      </c>
    </row>
    <row r="1205" spans="1:7" x14ac:dyDescent="0.3">
      <c r="A1205" s="11" t="s">
        <v>1167</v>
      </c>
      <c r="B1205" s="7">
        <v>21860</v>
      </c>
      <c r="C1205" s="7">
        <v>22.056999999999999</v>
      </c>
      <c r="D1205" s="2">
        <f t="shared" si="325"/>
        <v>9.0000000000003411E-3</v>
      </c>
      <c r="E1205" s="8">
        <f t="shared" si="326"/>
        <v>22.095065488927816</v>
      </c>
      <c r="F1205" s="6">
        <f t="shared" si="323"/>
        <v>1.5636483042234141E-4</v>
      </c>
      <c r="G1205" s="12">
        <f t="shared" si="327"/>
        <v>-3.8065488927816915E-2</v>
      </c>
    </row>
    <row r="1206" spans="1:7" x14ac:dyDescent="0.3">
      <c r="A1206" s="11" t="s">
        <v>1168</v>
      </c>
      <c r="B1206" s="7">
        <v>21880</v>
      </c>
      <c r="C1206" s="7">
        <v>22.055</v>
      </c>
      <c r="D1206" s="2">
        <f t="shared" si="325"/>
        <v>-1.9999999999988916E-3</v>
      </c>
      <c r="E1206" s="8">
        <f t="shared" si="326"/>
        <v>22.094909124097395</v>
      </c>
      <c r="F1206" s="6">
        <f t="shared" si="323"/>
        <v>1.5636483042234141E-4</v>
      </c>
      <c r="G1206" s="12">
        <f t="shared" si="327"/>
        <v>-3.9909124097395221E-2</v>
      </c>
    </row>
    <row r="1207" spans="1:7" x14ac:dyDescent="0.3">
      <c r="A1207" s="11" t="s">
        <v>1169</v>
      </c>
      <c r="B1207" s="7">
        <v>21900</v>
      </c>
      <c r="C1207" s="7">
        <v>22.065999999999999</v>
      </c>
      <c r="D1207" s="2">
        <f t="shared" si="325"/>
        <v>1.0999999999999233E-2</v>
      </c>
      <c r="E1207" s="8">
        <f t="shared" ref="E1207:E1221" si="328">E1206-F1206</f>
        <v>22.094752759266974</v>
      </c>
      <c r="F1207" s="6">
        <f t="shared" si="323"/>
        <v>1.5636483042234141E-4</v>
      </c>
      <c r="G1207" s="12">
        <f t="shared" ref="G1207:G1221" si="329">C1207-E1207</f>
        <v>-2.8752759266975403E-2</v>
      </c>
    </row>
    <row r="1208" spans="1:7" x14ac:dyDescent="0.3">
      <c r="A1208" s="11" t="s">
        <v>1170</v>
      </c>
      <c r="B1208" s="7">
        <v>21920</v>
      </c>
      <c r="C1208" s="7">
        <v>22.099</v>
      </c>
      <c r="D1208" s="2">
        <f t="shared" si="325"/>
        <v>3.3000000000001251E-2</v>
      </c>
      <c r="E1208" s="8">
        <f t="shared" si="328"/>
        <v>22.094596394436554</v>
      </c>
      <c r="F1208" s="6">
        <f t="shared" si="323"/>
        <v>1.5636483042234141E-4</v>
      </c>
      <c r="G1208" s="12">
        <f t="shared" si="329"/>
        <v>4.4036055634464333E-3</v>
      </c>
    </row>
    <row r="1209" spans="1:7" x14ac:dyDescent="0.3">
      <c r="A1209" s="11" t="s">
        <v>1171</v>
      </c>
      <c r="B1209" s="7">
        <v>21940</v>
      </c>
      <c r="C1209" s="7">
        <v>22.126999999999999</v>
      </c>
      <c r="D1209" s="2">
        <f t="shared" si="325"/>
        <v>2.7999999999998693E-2</v>
      </c>
      <c r="E1209" s="8">
        <f t="shared" si="328"/>
        <v>22.094440029606133</v>
      </c>
      <c r="F1209" s="6">
        <f t="shared" si="323"/>
        <v>1.5636483042234141E-4</v>
      </c>
      <c r="G1209" s="12">
        <f t="shared" si="329"/>
        <v>3.2559970393865711E-2</v>
      </c>
    </row>
    <row r="1210" spans="1:7" x14ac:dyDescent="0.3">
      <c r="A1210" s="11" t="s">
        <v>1172</v>
      </c>
      <c r="B1210" s="7">
        <v>21960</v>
      </c>
      <c r="C1210" s="7">
        <v>22.158000000000001</v>
      </c>
      <c r="D1210" s="2">
        <f t="shared" si="325"/>
        <v>3.1000000000002359E-2</v>
      </c>
      <c r="E1210" s="8">
        <f t="shared" si="328"/>
        <v>22.094283664775713</v>
      </c>
      <c r="F1210" s="6">
        <f t="shared" si="323"/>
        <v>1.5636483042234141E-4</v>
      </c>
      <c r="G1210" s="12">
        <f t="shared" si="329"/>
        <v>6.3716335224288656E-2</v>
      </c>
    </row>
    <row r="1211" spans="1:7" x14ac:dyDescent="0.3">
      <c r="A1211" s="11" t="s">
        <v>1173</v>
      </c>
      <c r="B1211" s="7">
        <v>21980</v>
      </c>
      <c r="C1211" s="7">
        <v>22.172000000000001</v>
      </c>
      <c r="D1211" s="2">
        <f t="shared" si="325"/>
        <v>1.3999999999999346E-2</v>
      </c>
      <c r="E1211" s="8">
        <f t="shared" si="328"/>
        <v>22.094127299945292</v>
      </c>
      <c r="F1211" s="6">
        <f t="shared" si="323"/>
        <v>1.5636483042234141E-4</v>
      </c>
      <c r="G1211" s="12">
        <f t="shared" si="329"/>
        <v>7.7872700054708588E-2</v>
      </c>
    </row>
    <row r="1212" spans="1:7" x14ac:dyDescent="0.3">
      <c r="A1212" s="13" t="s">
        <v>1174</v>
      </c>
      <c r="B1212" s="24"/>
      <c r="C1212" s="25"/>
      <c r="D1212" s="25"/>
      <c r="E1212" s="25"/>
      <c r="F1212" s="25"/>
      <c r="G1212" s="26"/>
    </row>
    <row r="1213" spans="1:7" x14ac:dyDescent="0.3">
      <c r="A1213" s="11" t="s">
        <v>1175</v>
      </c>
      <c r="B1213" s="7">
        <v>22000</v>
      </c>
      <c r="C1213" s="7">
        <v>22.175999999999998</v>
      </c>
      <c r="D1213" s="2">
        <f>C1213-C1211</f>
        <v>3.9999999999977831E-3</v>
      </c>
      <c r="E1213" s="8">
        <f>E1211-F1211</f>
        <v>22.093970935114871</v>
      </c>
      <c r="F1213" s="6">
        <f>F1211</f>
        <v>1.5636483042234141E-4</v>
      </c>
      <c r="G1213" s="12">
        <f t="shared" si="329"/>
        <v>8.2029064885126957E-2</v>
      </c>
    </row>
    <row r="1214" spans="1:7" x14ac:dyDescent="0.3">
      <c r="A1214" s="11" t="s">
        <v>1176</v>
      </c>
      <c r="B1214" s="7">
        <v>22020</v>
      </c>
      <c r="C1214" s="7">
        <v>22.172000000000001</v>
      </c>
      <c r="D1214" s="2">
        <f t="shared" si="325"/>
        <v>-3.9999999999977831E-3</v>
      </c>
      <c r="E1214" s="8">
        <f t="shared" si="328"/>
        <v>22.093814570284451</v>
      </c>
      <c r="F1214" s="6">
        <f t="shared" si="323"/>
        <v>1.5636483042234141E-4</v>
      </c>
      <c r="G1214" s="12">
        <f t="shared" si="329"/>
        <v>7.8185429715549759E-2</v>
      </c>
    </row>
    <row r="1215" spans="1:7" x14ac:dyDescent="0.3">
      <c r="A1215" s="11" t="s">
        <v>1177</v>
      </c>
      <c r="B1215" s="7">
        <v>22040</v>
      </c>
      <c r="C1215" s="7">
        <v>22.178000000000001</v>
      </c>
      <c r="D1215" s="2">
        <f t="shared" si="325"/>
        <v>6.0000000000002274E-3</v>
      </c>
      <c r="E1215" s="8">
        <f t="shared" si="328"/>
        <v>22.09365820545403</v>
      </c>
      <c r="F1215" s="6">
        <f t="shared" si="323"/>
        <v>1.5636483042234141E-4</v>
      </c>
      <c r="G1215" s="12">
        <f t="shared" si="329"/>
        <v>8.4341794545970572E-2</v>
      </c>
    </row>
    <row r="1216" spans="1:7" x14ac:dyDescent="0.3">
      <c r="A1216" s="11" t="s">
        <v>1178</v>
      </c>
      <c r="B1216" s="7">
        <v>22060</v>
      </c>
      <c r="C1216" s="7">
        <v>22.166</v>
      </c>
      <c r="D1216" s="2">
        <f t="shared" si="325"/>
        <v>-1.2000000000000455E-2</v>
      </c>
      <c r="E1216" s="8">
        <f t="shared" si="328"/>
        <v>22.09350184062361</v>
      </c>
      <c r="F1216" s="6">
        <f t="shared" si="323"/>
        <v>1.5636483042234141E-4</v>
      </c>
      <c r="G1216" s="12">
        <f t="shared" si="329"/>
        <v>7.2498159376390703E-2</v>
      </c>
    </row>
    <row r="1217" spans="1:7" x14ac:dyDescent="0.3">
      <c r="A1217" s="11" t="s">
        <v>1179</v>
      </c>
      <c r="B1217" s="7">
        <v>22080</v>
      </c>
      <c r="C1217" s="7">
        <v>22.140999999999998</v>
      </c>
      <c r="D1217" s="2">
        <f t="shared" si="325"/>
        <v>-2.5000000000002132E-2</v>
      </c>
      <c r="E1217" s="8">
        <f t="shared" si="328"/>
        <v>22.093345475793189</v>
      </c>
      <c r="F1217" s="6">
        <f t="shared" si="323"/>
        <v>1.5636483042234141E-4</v>
      </c>
      <c r="G1217" s="12">
        <f t="shared" si="329"/>
        <v>4.7654524206809157E-2</v>
      </c>
    </row>
    <row r="1218" spans="1:7" x14ac:dyDescent="0.3">
      <c r="A1218" s="11" t="s">
        <v>1180</v>
      </c>
      <c r="B1218" s="7">
        <v>22100</v>
      </c>
      <c r="C1218" s="7">
        <v>22.113</v>
      </c>
      <c r="D1218" s="2">
        <f t="shared" si="325"/>
        <v>-2.7999999999998693E-2</v>
      </c>
      <c r="E1218" s="8">
        <f t="shared" si="328"/>
        <v>22.093189110962768</v>
      </c>
      <c r="F1218" s="6">
        <f t="shared" si="323"/>
        <v>1.5636483042234141E-4</v>
      </c>
      <c r="G1218" s="12">
        <f t="shared" si="329"/>
        <v>1.981088903723105E-2</v>
      </c>
    </row>
    <row r="1219" spans="1:7" x14ac:dyDescent="0.3">
      <c r="A1219" s="11" t="s">
        <v>1181</v>
      </c>
      <c r="B1219" s="7">
        <v>22120</v>
      </c>
      <c r="C1219" s="7">
        <v>22.085999999999999</v>
      </c>
      <c r="D1219" s="2">
        <f t="shared" si="325"/>
        <v>-2.7000000000001023E-2</v>
      </c>
      <c r="E1219" s="8">
        <f t="shared" si="328"/>
        <v>22.093032746132348</v>
      </c>
      <c r="F1219" s="6">
        <f t="shared" si="323"/>
        <v>1.5636483042234141E-4</v>
      </c>
      <c r="G1219" s="12">
        <f t="shared" si="329"/>
        <v>-7.0327461323493878E-3</v>
      </c>
    </row>
    <row r="1220" spans="1:7" x14ac:dyDescent="0.3">
      <c r="A1220" s="11" t="s">
        <v>1182</v>
      </c>
      <c r="B1220" s="7">
        <v>22140</v>
      </c>
      <c r="C1220" s="7">
        <v>22.053000000000001</v>
      </c>
      <c r="D1220" s="2">
        <f t="shared" si="325"/>
        <v>-3.2999999999997698E-2</v>
      </c>
      <c r="E1220" s="8">
        <f t="shared" si="328"/>
        <v>22.092876381301927</v>
      </c>
      <c r="F1220" s="6">
        <f t="shared" si="323"/>
        <v>1.5636483042234141E-4</v>
      </c>
      <c r="G1220" s="12">
        <f t="shared" si="329"/>
        <v>-3.98763813019265E-2</v>
      </c>
    </row>
    <row r="1221" spans="1:7" x14ac:dyDescent="0.3">
      <c r="A1221" s="11" t="s">
        <v>1183</v>
      </c>
      <c r="B1221" s="7">
        <v>22160</v>
      </c>
      <c r="C1221" s="7">
        <v>22.041</v>
      </c>
      <c r="D1221" s="2">
        <f t="shared" si="325"/>
        <v>-1.2000000000000455E-2</v>
      </c>
      <c r="E1221" s="8">
        <f t="shared" si="328"/>
        <v>22.092720016471507</v>
      </c>
      <c r="F1221" s="6">
        <f t="shared" si="323"/>
        <v>1.5636483042234141E-4</v>
      </c>
      <c r="G1221" s="12">
        <f t="shared" si="329"/>
        <v>-5.1720016471506369E-2</v>
      </c>
    </row>
    <row r="1222" spans="1:7" x14ac:dyDescent="0.3">
      <c r="A1222" s="11" t="s">
        <v>1184</v>
      </c>
      <c r="B1222" s="7">
        <v>22180</v>
      </c>
      <c r="C1222" s="7">
        <v>22.036000000000001</v>
      </c>
      <c r="D1222" s="2">
        <f t="shared" si="325"/>
        <v>-4.9999999999990052E-3</v>
      </c>
      <c r="E1222" s="8">
        <f t="shared" ref="E1222:E1229" si="330">E1221-F1221</f>
        <v>22.092563651641086</v>
      </c>
      <c r="F1222" s="6">
        <f t="shared" si="323"/>
        <v>1.5636483042234141E-4</v>
      </c>
      <c r="G1222" s="12">
        <f t="shared" ref="G1222:G1229" si="331">C1222-E1222</f>
        <v>-5.6563651641084789E-2</v>
      </c>
    </row>
    <row r="1223" spans="1:7" x14ac:dyDescent="0.3">
      <c r="A1223" s="11" t="s">
        <v>1185</v>
      </c>
      <c r="B1223" s="7">
        <v>22200</v>
      </c>
      <c r="C1223" s="7">
        <v>22.036000000000001</v>
      </c>
      <c r="D1223" s="2">
        <f t="shared" si="325"/>
        <v>0</v>
      </c>
      <c r="E1223" s="8">
        <f t="shared" si="330"/>
        <v>22.092407286810666</v>
      </c>
      <c r="F1223" s="6">
        <f t="shared" si="323"/>
        <v>1.5636483042234141E-4</v>
      </c>
      <c r="G1223" s="12">
        <f t="shared" si="331"/>
        <v>-5.6407286810664203E-2</v>
      </c>
    </row>
    <row r="1224" spans="1:7" x14ac:dyDescent="0.3">
      <c r="A1224" s="11" t="s">
        <v>1186</v>
      </c>
      <c r="B1224" s="7">
        <v>22220</v>
      </c>
      <c r="C1224" s="7">
        <v>22.065000000000001</v>
      </c>
      <c r="D1224" s="2">
        <f t="shared" si="325"/>
        <v>2.8999999999999915E-2</v>
      </c>
      <c r="E1224" s="8">
        <f t="shared" si="330"/>
        <v>22.092250921980245</v>
      </c>
      <c r="F1224" s="6">
        <f t="shared" si="323"/>
        <v>1.5636483042234141E-4</v>
      </c>
      <c r="G1224" s="12">
        <f t="shared" si="331"/>
        <v>-2.7250921980243703E-2</v>
      </c>
    </row>
    <row r="1225" spans="1:7" x14ac:dyDescent="0.3">
      <c r="A1225" s="11" t="s">
        <v>1187</v>
      </c>
      <c r="B1225" s="7">
        <v>22240</v>
      </c>
      <c r="C1225" s="7">
        <v>22.059000000000001</v>
      </c>
      <c r="D1225" s="2">
        <f t="shared" si="325"/>
        <v>-6.0000000000002274E-3</v>
      </c>
      <c r="E1225" s="8">
        <f t="shared" si="330"/>
        <v>22.092094557149824</v>
      </c>
      <c r="F1225" s="6">
        <f t="shared" si="323"/>
        <v>1.5636483042234141E-4</v>
      </c>
      <c r="G1225" s="12">
        <f t="shared" si="331"/>
        <v>-3.3094557149823345E-2</v>
      </c>
    </row>
    <row r="1226" spans="1:7" x14ac:dyDescent="0.3">
      <c r="A1226" s="11" t="s">
        <v>1188</v>
      </c>
      <c r="B1226" s="7">
        <v>22260</v>
      </c>
      <c r="C1226" s="7">
        <v>22.064</v>
      </c>
      <c r="D1226" s="2">
        <f t="shared" si="325"/>
        <v>4.9999999999990052E-3</v>
      </c>
      <c r="E1226" s="8">
        <f t="shared" si="330"/>
        <v>22.091938192319404</v>
      </c>
      <c r="F1226" s="6">
        <f t="shared" si="323"/>
        <v>1.5636483042234141E-4</v>
      </c>
      <c r="G1226" s="12">
        <f t="shared" si="331"/>
        <v>-2.7938192319403754E-2</v>
      </c>
    </row>
    <row r="1227" spans="1:7" x14ac:dyDescent="0.3">
      <c r="A1227" s="11" t="s">
        <v>1189</v>
      </c>
      <c r="B1227" s="7">
        <v>22280</v>
      </c>
      <c r="C1227" s="7">
        <v>22.068999999999999</v>
      </c>
      <c r="D1227" s="2">
        <f t="shared" si="325"/>
        <v>4.9999999999990052E-3</v>
      </c>
      <c r="E1227" s="8">
        <f t="shared" si="330"/>
        <v>22.091781827488983</v>
      </c>
      <c r="F1227" s="6">
        <f t="shared" si="323"/>
        <v>1.5636483042234141E-4</v>
      </c>
      <c r="G1227" s="12">
        <f t="shared" si="331"/>
        <v>-2.2781827488984163E-2</v>
      </c>
    </row>
    <row r="1228" spans="1:7" x14ac:dyDescent="0.3">
      <c r="A1228" s="11" t="s">
        <v>1190</v>
      </c>
      <c r="B1228" s="7">
        <v>22300</v>
      </c>
      <c r="C1228" s="7">
        <v>22.087</v>
      </c>
      <c r="D1228" s="2">
        <f t="shared" si="325"/>
        <v>1.8000000000000682E-2</v>
      </c>
      <c r="E1228" s="8">
        <f t="shared" si="330"/>
        <v>22.091625462658563</v>
      </c>
      <c r="F1228" s="6">
        <f t="shared" si="323"/>
        <v>1.5636483042234141E-4</v>
      </c>
      <c r="G1228" s="12">
        <f t="shared" si="331"/>
        <v>-4.6254626585628955E-3</v>
      </c>
    </row>
    <row r="1229" spans="1:7" x14ac:dyDescent="0.3">
      <c r="A1229" s="11" t="s">
        <v>1191</v>
      </c>
      <c r="B1229" s="7">
        <v>22320</v>
      </c>
      <c r="C1229" s="7">
        <v>22.094999999999999</v>
      </c>
      <c r="D1229" s="2">
        <f t="shared" si="325"/>
        <v>7.9999999999991189E-3</v>
      </c>
      <c r="E1229" s="8">
        <f t="shared" si="330"/>
        <v>22.091469097828142</v>
      </c>
      <c r="F1229" s="6">
        <f t="shared" si="323"/>
        <v>1.5636483042234141E-4</v>
      </c>
      <c r="G1229" s="12">
        <f t="shared" si="331"/>
        <v>3.530902171856809E-3</v>
      </c>
    </row>
    <row r="1230" spans="1:7" x14ac:dyDescent="0.3">
      <c r="A1230" s="11" t="s">
        <v>1192</v>
      </c>
      <c r="B1230" s="7">
        <v>22340</v>
      </c>
      <c r="C1230" s="7">
        <v>22.09</v>
      </c>
      <c r="D1230" s="2">
        <f t="shared" si="325"/>
        <v>-4.9999999999990052E-3</v>
      </c>
      <c r="E1230" s="8">
        <f t="shared" ref="E1230:E1232" si="332">E1229-F1229</f>
        <v>22.091312732997721</v>
      </c>
      <c r="F1230" s="6">
        <f t="shared" si="323"/>
        <v>1.5636483042234141E-4</v>
      </c>
      <c r="G1230" s="12">
        <f t="shared" ref="G1230:G1240" si="333">C1230-E1230</f>
        <v>-1.3127329977216107E-3</v>
      </c>
    </row>
    <row r="1231" spans="1:7" x14ac:dyDescent="0.3">
      <c r="A1231" s="11" t="s">
        <v>1193</v>
      </c>
      <c r="B1231" s="7">
        <v>22360</v>
      </c>
      <c r="C1231" s="7">
        <v>22.077999999999999</v>
      </c>
      <c r="D1231" s="2">
        <f t="shared" si="325"/>
        <v>-1.2000000000000455E-2</v>
      </c>
      <c r="E1231" s="8">
        <f t="shared" si="332"/>
        <v>22.091156368167301</v>
      </c>
      <c r="F1231" s="6">
        <f t="shared" si="323"/>
        <v>1.5636483042234141E-4</v>
      </c>
      <c r="G1231" s="12">
        <f t="shared" si="333"/>
        <v>-1.315636816730148E-2</v>
      </c>
    </row>
    <row r="1232" spans="1:7" x14ac:dyDescent="0.3">
      <c r="A1232" s="11" t="s">
        <v>1194</v>
      </c>
      <c r="B1232" s="7">
        <v>22380</v>
      </c>
      <c r="C1232" s="7">
        <v>22.091000000000001</v>
      </c>
      <c r="D1232" s="2">
        <f t="shared" si="325"/>
        <v>1.3000000000001677E-2</v>
      </c>
      <c r="E1232" s="8">
        <f t="shared" si="332"/>
        <v>22.09100000333688</v>
      </c>
      <c r="F1232" s="6">
        <f t="shared" si="323"/>
        <v>1.5636483042234141E-4</v>
      </c>
      <c r="G1232" s="12">
        <f t="shared" si="333"/>
        <v>-3.3368792173860129E-9</v>
      </c>
    </row>
    <row r="1233" spans="1:18" x14ac:dyDescent="0.3">
      <c r="A1233" s="21"/>
      <c r="B1233" s="22"/>
      <c r="C1233" s="22"/>
      <c r="D1233" s="22"/>
      <c r="E1233" s="22"/>
      <c r="F1233" s="22"/>
      <c r="G1233" s="23"/>
      <c r="H1233" s="4" t="s">
        <v>20</v>
      </c>
      <c r="J1233" s="4"/>
      <c r="O1233" s="3">
        <f>1/O1234</f>
        <v>6.1087354917532073E-4</v>
      </c>
      <c r="P1233" s="3">
        <f>O1233*20</f>
        <v>1.2217470983506415E-2</v>
      </c>
      <c r="Q1233" s="3" t="s">
        <v>3202</v>
      </c>
      <c r="R1233" s="3">
        <v>1637</v>
      </c>
    </row>
    <row r="1234" spans="1:18" x14ac:dyDescent="0.3">
      <c r="A1234" s="11" t="s">
        <v>1195</v>
      </c>
      <c r="B1234" s="7">
        <v>22400</v>
      </c>
      <c r="C1234" s="7">
        <v>22.100999999999999</v>
      </c>
      <c r="D1234" s="2">
        <f>C1234-C1232</f>
        <v>9.9999999999980105E-3</v>
      </c>
      <c r="E1234" s="8">
        <f>E1232+F1234</f>
        <v>22.103217474320388</v>
      </c>
      <c r="F1234" s="6">
        <f>P1233</f>
        <v>1.2217470983506415E-2</v>
      </c>
      <c r="G1234" s="12">
        <f>C1234-E1234</f>
        <v>-2.2174743203891012E-3</v>
      </c>
      <c r="H1234" s="3">
        <f>B1232</f>
        <v>22380</v>
      </c>
      <c r="I1234" s="3">
        <f>B1288</f>
        <v>23380</v>
      </c>
      <c r="J1234" s="3">
        <f>I1234-H1234</f>
        <v>1000</v>
      </c>
      <c r="K1234" s="5">
        <f>E1232</f>
        <v>22.09100000333688</v>
      </c>
      <c r="L1234" s="3">
        <f>C1288</f>
        <v>22.702000000000002</v>
      </c>
      <c r="M1234" s="5">
        <f>L1234-K1234</f>
        <v>0.61099999666312144</v>
      </c>
      <c r="N1234" s="3">
        <f>J1234/M1234</f>
        <v>1636.6612200676591</v>
      </c>
      <c r="O1234" s="3">
        <v>1637</v>
      </c>
    </row>
    <row r="1235" spans="1:18" x14ac:dyDescent="0.3">
      <c r="A1235" s="11" t="s">
        <v>1196</v>
      </c>
      <c r="B1235" s="7">
        <v>22420</v>
      </c>
      <c r="C1235" s="7">
        <v>22.117000000000001</v>
      </c>
      <c r="D1235" s="2">
        <f t="shared" si="325"/>
        <v>1.6000000000001791E-2</v>
      </c>
      <c r="E1235" s="8">
        <f>E1234+F1234</f>
        <v>22.115434945303896</v>
      </c>
      <c r="F1235" s="6">
        <f t="shared" si="323"/>
        <v>1.2217470983506415E-2</v>
      </c>
      <c r="G1235" s="12">
        <f t="shared" ref="G1235" si="334">C1235-E1235</f>
        <v>1.5650546961047951E-3</v>
      </c>
    </row>
    <row r="1236" spans="1:18" x14ac:dyDescent="0.3">
      <c r="A1236" s="11" t="s">
        <v>1197</v>
      </c>
      <c r="B1236" s="7">
        <v>22440</v>
      </c>
      <c r="C1236" s="7">
        <v>22.167000000000002</v>
      </c>
      <c r="D1236" s="2">
        <f t="shared" si="325"/>
        <v>5.0000000000000711E-2</v>
      </c>
      <c r="E1236" s="8">
        <f t="shared" ref="E1236:E1273" si="335">E1235+F1235</f>
        <v>22.127652416287404</v>
      </c>
      <c r="F1236" s="6">
        <f t="shared" si="323"/>
        <v>1.2217470983506415E-2</v>
      </c>
      <c r="G1236" s="12">
        <f t="shared" si="333"/>
        <v>3.9347583712597611E-2</v>
      </c>
    </row>
    <row r="1237" spans="1:18" x14ac:dyDescent="0.3">
      <c r="A1237" s="11" t="s">
        <v>1198</v>
      </c>
      <c r="B1237" s="7">
        <v>22460</v>
      </c>
      <c r="C1237" s="7">
        <v>22.178999999999998</v>
      </c>
      <c r="D1237" s="2">
        <f t="shared" si="325"/>
        <v>1.1999999999996902E-2</v>
      </c>
      <c r="E1237" s="8">
        <f t="shared" si="335"/>
        <v>22.139869887270912</v>
      </c>
      <c r="F1237" s="6">
        <f t="shared" si="323"/>
        <v>1.2217470983506415E-2</v>
      </c>
      <c r="G1237" s="12">
        <f t="shared" si="333"/>
        <v>3.9130112729086619E-2</v>
      </c>
    </row>
    <row r="1238" spans="1:18" x14ac:dyDescent="0.3">
      <c r="A1238" s="11" t="s">
        <v>1199</v>
      </c>
      <c r="B1238" s="7">
        <v>22480</v>
      </c>
      <c r="C1238" s="7">
        <v>22.198</v>
      </c>
      <c r="D1238" s="2">
        <f t="shared" si="325"/>
        <v>1.9000000000001904E-2</v>
      </c>
      <c r="E1238" s="8">
        <f t="shared" si="335"/>
        <v>22.15208735825442</v>
      </c>
      <c r="F1238" s="6">
        <f t="shared" si="323"/>
        <v>1.2217470983506415E-2</v>
      </c>
      <c r="G1238" s="12">
        <f t="shared" si="333"/>
        <v>4.5912641745580629E-2</v>
      </c>
    </row>
    <row r="1239" spans="1:18" x14ac:dyDescent="0.3">
      <c r="A1239" s="11" t="s">
        <v>1200</v>
      </c>
      <c r="B1239" s="7">
        <v>22500</v>
      </c>
      <c r="C1239" s="7">
        <v>22.225999999999999</v>
      </c>
      <c r="D1239" s="2">
        <f t="shared" si="325"/>
        <v>2.7999999999998693E-2</v>
      </c>
      <c r="E1239" s="8">
        <f t="shared" si="335"/>
        <v>22.164304829237928</v>
      </c>
      <c r="F1239" s="6">
        <f t="shared" si="323"/>
        <v>1.2217470983506415E-2</v>
      </c>
      <c r="G1239" s="12">
        <f t="shared" si="333"/>
        <v>6.1695170762071427E-2</v>
      </c>
    </row>
    <row r="1240" spans="1:18" x14ac:dyDescent="0.3">
      <c r="A1240" s="11" t="s">
        <v>1201</v>
      </c>
      <c r="B1240" s="7">
        <v>22520</v>
      </c>
      <c r="C1240" s="7">
        <v>22.234999999999999</v>
      </c>
      <c r="D1240" s="2">
        <f t="shared" si="325"/>
        <v>9.0000000000003411E-3</v>
      </c>
      <c r="E1240" s="8">
        <f t="shared" si="335"/>
        <v>22.176522300221436</v>
      </c>
      <c r="F1240" s="6">
        <f t="shared" si="323"/>
        <v>1.2217470983506415E-2</v>
      </c>
      <c r="G1240" s="12">
        <f t="shared" si="333"/>
        <v>5.8477699778563874E-2</v>
      </c>
    </row>
    <row r="1241" spans="1:18" x14ac:dyDescent="0.3">
      <c r="A1241" s="11" t="s">
        <v>1202</v>
      </c>
      <c r="B1241" s="7">
        <v>22540</v>
      </c>
      <c r="C1241" s="7">
        <v>22.231000000000002</v>
      </c>
      <c r="D1241" s="2">
        <f t="shared" si="325"/>
        <v>-3.9999999999977831E-3</v>
      </c>
      <c r="E1241" s="8">
        <f t="shared" si="335"/>
        <v>22.188739771204943</v>
      </c>
      <c r="F1241" s="6">
        <f t="shared" si="323"/>
        <v>1.2217470983506415E-2</v>
      </c>
      <c r="G1241" s="12">
        <f t="shared" ref="G1241:G1253" si="336">C1241-E1241</f>
        <v>4.2260228795058197E-2</v>
      </c>
    </row>
    <row r="1242" spans="1:18" x14ac:dyDescent="0.3">
      <c r="A1242" s="11" t="s">
        <v>1203</v>
      </c>
      <c r="B1242" s="7">
        <v>22560</v>
      </c>
      <c r="C1242" s="7">
        <v>22.209</v>
      </c>
      <c r="D1242" s="2">
        <f t="shared" si="325"/>
        <v>-2.2000000000002018E-2</v>
      </c>
      <c r="E1242" s="8">
        <f t="shared" si="335"/>
        <v>22.200957242188451</v>
      </c>
      <c r="F1242" s="6">
        <f t="shared" si="323"/>
        <v>1.2217470983506415E-2</v>
      </c>
      <c r="G1242" s="12">
        <f t="shared" si="336"/>
        <v>8.0427578115482845E-3</v>
      </c>
    </row>
    <row r="1243" spans="1:18" x14ac:dyDescent="0.3">
      <c r="A1243" s="11" t="s">
        <v>1204</v>
      </c>
      <c r="B1243" s="7">
        <v>22580</v>
      </c>
      <c r="C1243" s="7">
        <v>22.193999999999999</v>
      </c>
      <c r="D1243" s="2">
        <f t="shared" si="325"/>
        <v>-1.5000000000000568E-2</v>
      </c>
      <c r="E1243" s="8">
        <f t="shared" si="335"/>
        <v>22.213174713171959</v>
      </c>
      <c r="F1243" s="6">
        <f t="shared" si="323"/>
        <v>1.2217470983506415E-2</v>
      </c>
      <c r="G1243" s="12">
        <f t="shared" si="336"/>
        <v>-1.9174713171960178E-2</v>
      </c>
    </row>
    <row r="1244" spans="1:18" x14ac:dyDescent="0.3">
      <c r="A1244" s="11" t="s">
        <v>1205</v>
      </c>
      <c r="B1244" s="7">
        <v>22600</v>
      </c>
      <c r="C1244" s="7">
        <v>22.187000000000001</v>
      </c>
      <c r="D1244" s="2">
        <f t="shared" si="325"/>
        <v>-6.9999999999978968E-3</v>
      </c>
      <c r="E1244" s="8">
        <f t="shared" si="335"/>
        <v>22.225392184155467</v>
      </c>
      <c r="F1244" s="6">
        <f t="shared" si="323"/>
        <v>1.2217470983506415E-2</v>
      </c>
      <c r="G1244" s="12">
        <f t="shared" si="336"/>
        <v>-3.8392184155465969E-2</v>
      </c>
    </row>
    <row r="1245" spans="1:18" x14ac:dyDescent="0.3">
      <c r="A1245" s="11" t="s">
        <v>1206</v>
      </c>
      <c r="B1245" s="7">
        <v>22620</v>
      </c>
      <c r="C1245" s="7">
        <v>22.190999999999999</v>
      </c>
      <c r="D1245" s="2">
        <f t="shared" si="325"/>
        <v>3.9999999999977831E-3</v>
      </c>
      <c r="E1245" s="8">
        <f t="shared" si="335"/>
        <v>22.237609655138975</v>
      </c>
      <c r="F1245" s="6">
        <f t="shared" si="323"/>
        <v>1.2217470983506415E-2</v>
      </c>
      <c r="G1245" s="12">
        <f t="shared" si="336"/>
        <v>-4.660965513897608E-2</v>
      </c>
    </row>
    <row r="1246" spans="1:18" x14ac:dyDescent="0.3">
      <c r="A1246" s="11" t="s">
        <v>3377</v>
      </c>
      <c r="B1246" s="70" t="s">
        <v>3378</v>
      </c>
      <c r="C1246" s="7"/>
      <c r="D1246" s="2"/>
      <c r="E1246" s="8"/>
      <c r="F1246" s="6"/>
      <c r="G1246" s="12"/>
    </row>
    <row r="1247" spans="1:18" x14ac:dyDescent="0.3">
      <c r="A1247" s="11" t="s">
        <v>3379</v>
      </c>
      <c r="B1247" s="70" t="s">
        <v>3380</v>
      </c>
      <c r="C1247" s="7"/>
      <c r="D1247" s="2"/>
      <c r="E1247" s="8"/>
      <c r="F1247" s="6"/>
      <c r="G1247" s="12"/>
    </row>
    <row r="1248" spans="1:18" x14ac:dyDescent="0.3">
      <c r="A1248" s="11" t="s">
        <v>1207</v>
      </c>
      <c r="B1248" s="7">
        <v>22640</v>
      </c>
      <c r="C1248" s="7">
        <v>22.206</v>
      </c>
      <c r="D1248" s="2">
        <f>C1248-C1245</f>
        <v>1.5000000000000568E-2</v>
      </c>
      <c r="E1248" s="8">
        <f>E1245+F1245</f>
        <v>22.249827126122483</v>
      </c>
      <c r="F1248" s="6">
        <f>F1245</f>
        <v>1.2217470983506415E-2</v>
      </c>
      <c r="G1248" s="12">
        <f t="shared" si="336"/>
        <v>-4.3827126122483406E-2</v>
      </c>
    </row>
    <row r="1249" spans="1:7" x14ac:dyDescent="0.3">
      <c r="A1249" s="11" t="s">
        <v>1208</v>
      </c>
      <c r="B1249" s="7">
        <v>22660</v>
      </c>
      <c r="C1249" s="7">
        <v>22.228999999999999</v>
      </c>
      <c r="D1249" s="2">
        <f t="shared" si="325"/>
        <v>2.2999999999999687E-2</v>
      </c>
      <c r="E1249" s="8">
        <f t="shared" si="335"/>
        <v>22.262044597105991</v>
      </c>
      <c r="F1249" s="6">
        <f t="shared" si="323"/>
        <v>1.2217470983506415E-2</v>
      </c>
      <c r="G1249" s="12">
        <f t="shared" si="336"/>
        <v>-3.3044597105991613E-2</v>
      </c>
    </row>
    <row r="1250" spans="1:7" x14ac:dyDescent="0.3">
      <c r="A1250" s="11" t="s">
        <v>1209</v>
      </c>
      <c r="B1250" s="7">
        <v>22680</v>
      </c>
      <c r="C1250" s="7">
        <v>22.25</v>
      </c>
      <c r="D1250" s="2">
        <f t="shared" si="325"/>
        <v>2.1000000000000796E-2</v>
      </c>
      <c r="E1250" s="8">
        <f t="shared" si="335"/>
        <v>22.274262068089499</v>
      </c>
      <c r="F1250" s="6">
        <f t="shared" si="323"/>
        <v>1.2217470983506415E-2</v>
      </c>
      <c r="G1250" s="12">
        <f t="shared" si="336"/>
        <v>-2.4262068089498712E-2</v>
      </c>
    </row>
    <row r="1251" spans="1:7" x14ac:dyDescent="0.3">
      <c r="A1251" s="11" t="s">
        <v>1210</v>
      </c>
      <c r="B1251" s="7">
        <v>22700</v>
      </c>
      <c r="C1251" s="7">
        <v>22.259</v>
      </c>
      <c r="D1251" s="2">
        <f t="shared" si="325"/>
        <v>9.0000000000003411E-3</v>
      </c>
      <c r="E1251" s="8">
        <f t="shared" si="335"/>
        <v>22.286479539073007</v>
      </c>
      <c r="F1251" s="6">
        <f t="shared" si="323"/>
        <v>1.2217470983506415E-2</v>
      </c>
      <c r="G1251" s="12">
        <f t="shared" si="336"/>
        <v>-2.7479539073006265E-2</v>
      </c>
    </row>
    <row r="1252" spans="1:7" x14ac:dyDescent="0.3">
      <c r="A1252" s="11" t="s">
        <v>1211</v>
      </c>
      <c r="B1252" s="7">
        <v>22720</v>
      </c>
      <c r="C1252" s="7">
        <v>22.241</v>
      </c>
      <c r="D1252" s="2">
        <f t="shared" si="325"/>
        <v>-1.8000000000000682E-2</v>
      </c>
      <c r="E1252" s="8">
        <f t="shared" si="335"/>
        <v>22.298697010056515</v>
      </c>
      <c r="F1252" s="6">
        <f t="shared" si="323"/>
        <v>1.2217470983506415E-2</v>
      </c>
      <c r="G1252" s="12">
        <f t="shared" si="336"/>
        <v>-5.7697010056514841E-2</v>
      </c>
    </row>
    <row r="1253" spans="1:7" x14ac:dyDescent="0.3">
      <c r="A1253" s="11" t="s">
        <v>1212</v>
      </c>
      <c r="B1253" s="7">
        <v>22740</v>
      </c>
      <c r="C1253" s="7">
        <v>22.225999999999999</v>
      </c>
      <c r="D1253" s="2">
        <f t="shared" si="325"/>
        <v>-1.5000000000000568E-2</v>
      </c>
      <c r="E1253" s="8">
        <f t="shared" si="335"/>
        <v>22.310914481040022</v>
      </c>
      <c r="F1253" s="6">
        <f t="shared" si="323"/>
        <v>1.2217470983506415E-2</v>
      </c>
      <c r="G1253" s="12">
        <f t="shared" si="336"/>
        <v>-8.4914481040023304E-2</v>
      </c>
    </row>
    <row r="1254" spans="1:7" x14ac:dyDescent="0.3">
      <c r="A1254" s="11" t="s">
        <v>1213</v>
      </c>
      <c r="B1254" s="7">
        <v>22760</v>
      </c>
      <c r="C1254" s="7">
        <v>22.234000000000002</v>
      </c>
      <c r="D1254" s="2">
        <f t="shared" si="325"/>
        <v>8.0000000000026716E-3</v>
      </c>
      <c r="E1254" s="8">
        <f t="shared" si="335"/>
        <v>22.32313195202353</v>
      </c>
      <c r="F1254" s="6">
        <f t="shared" si="323"/>
        <v>1.2217470983506415E-2</v>
      </c>
      <c r="G1254" s="12">
        <f t="shared" ref="G1254:G1273" si="337">C1254-E1254</f>
        <v>-8.9131952023528527E-2</v>
      </c>
    </row>
    <row r="1255" spans="1:7" x14ac:dyDescent="0.3">
      <c r="A1255" s="11" t="s">
        <v>1214</v>
      </c>
      <c r="B1255" s="7">
        <v>22780</v>
      </c>
      <c r="C1255" s="7">
        <v>22.285</v>
      </c>
      <c r="D1255" s="2">
        <f t="shared" si="325"/>
        <v>5.099999999999838E-2</v>
      </c>
      <c r="E1255" s="8">
        <f t="shared" si="335"/>
        <v>22.335349423007038</v>
      </c>
      <c r="F1255" s="6">
        <f t="shared" si="323"/>
        <v>1.2217470983506415E-2</v>
      </c>
      <c r="G1255" s="12">
        <f t="shared" si="337"/>
        <v>-5.0349423007038041E-2</v>
      </c>
    </row>
    <row r="1256" spans="1:7" x14ac:dyDescent="0.3">
      <c r="A1256" s="11" t="s">
        <v>1215</v>
      </c>
      <c r="B1256" s="7">
        <v>22800</v>
      </c>
      <c r="C1256" s="7">
        <v>22.295999999999999</v>
      </c>
      <c r="D1256" s="2">
        <f t="shared" si="325"/>
        <v>1.0999999999999233E-2</v>
      </c>
      <c r="E1256" s="8">
        <f t="shared" si="335"/>
        <v>22.347566893990546</v>
      </c>
      <c r="F1256" s="6">
        <f t="shared" si="323"/>
        <v>1.2217470983506415E-2</v>
      </c>
      <c r="G1256" s="12">
        <f t="shared" si="337"/>
        <v>-5.1566893990546703E-2</v>
      </c>
    </row>
    <row r="1257" spans="1:7" x14ac:dyDescent="0.3">
      <c r="A1257" s="11" t="s">
        <v>1216</v>
      </c>
      <c r="B1257" s="7">
        <v>22820</v>
      </c>
      <c r="C1257" s="7">
        <v>22.303000000000001</v>
      </c>
      <c r="D1257" s="2">
        <f t="shared" si="325"/>
        <v>7.0000000000014495E-3</v>
      </c>
      <c r="E1257" s="8">
        <f t="shared" si="335"/>
        <v>22.359784364974054</v>
      </c>
      <c r="F1257" s="6">
        <f t="shared" si="323"/>
        <v>1.2217470983506415E-2</v>
      </c>
      <c r="G1257" s="12">
        <f t="shared" si="337"/>
        <v>-5.6784364974053148E-2</v>
      </c>
    </row>
    <row r="1258" spans="1:7" x14ac:dyDescent="0.3">
      <c r="A1258" s="11" t="s">
        <v>1217</v>
      </c>
      <c r="B1258" s="7">
        <v>22840</v>
      </c>
      <c r="C1258" s="7">
        <v>22.321000000000002</v>
      </c>
      <c r="D1258" s="2">
        <f t="shared" si="325"/>
        <v>1.8000000000000682E-2</v>
      </c>
      <c r="E1258" s="8">
        <f t="shared" si="335"/>
        <v>22.372001835957562</v>
      </c>
      <c r="F1258" s="6">
        <f t="shared" si="323"/>
        <v>1.2217470983506415E-2</v>
      </c>
      <c r="G1258" s="12">
        <f t="shared" si="337"/>
        <v>-5.100183595756036E-2</v>
      </c>
    </row>
    <row r="1259" spans="1:7" x14ac:dyDescent="0.3">
      <c r="A1259" s="11" t="s">
        <v>1218</v>
      </c>
      <c r="B1259" s="7">
        <v>22860</v>
      </c>
      <c r="C1259" s="7">
        <v>22.312000000000001</v>
      </c>
      <c r="D1259" s="2">
        <f t="shared" si="325"/>
        <v>-9.0000000000003411E-3</v>
      </c>
      <c r="E1259" s="8">
        <f t="shared" si="335"/>
        <v>22.38421930694107</v>
      </c>
      <c r="F1259" s="6">
        <f t="shared" si="323"/>
        <v>1.2217470983506415E-2</v>
      </c>
      <c r="G1259" s="12">
        <f t="shared" si="337"/>
        <v>-7.2219306941068595E-2</v>
      </c>
    </row>
    <row r="1260" spans="1:7" x14ac:dyDescent="0.3">
      <c r="A1260" s="11" t="s">
        <v>1219</v>
      </c>
      <c r="B1260" s="7">
        <v>22880</v>
      </c>
      <c r="C1260" s="7">
        <v>22.337</v>
      </c>
      <c r="D1260" s="2">
        <f t="shared" si="325"/>
        <v>2.4999999999998579E-2</v>
      </c>
      <c r="E1260" s="8">
        <f t="shared" si="335"/>
        <v>22.396436777924578</v>
      </c>
      <c r="F1260" s="6">
        <f t="shared" si="323"/>
        <v>1.2217470983506415E-2</v>
      </c>
      <c r="G1260" s="12">
        <f t="shared" si="337"/>
        <v>-5.943677792457791E-2</v>
      </c>
    </row>
    <row r="1261" spans="1:7" x14ac:dyDescent="0.3">
      <c r="A1261" s="11" t="s">
        <v>3381</v>
      </c>
      <c r="B1261" s="70" t="s">
        <v>3382</v>
      </c>
      <c r="C1261" s="7"/>
      <c r="D1261" s="2"/>
      <c r="E1261" s="8"/>
      <c r="F1261" s="6"/>
      <c r="G1261" s="12"/>
    </row>
    <row r="1262" spans="1:7" x14ac:dyDescent="0.3">
      <c r="A1262" s="11" t="s">
        <v>3383</v>
      </c>
      <c r="B1262" s="70" t="s">
        <v>3382</v>
      </c>
      <c r="C1262" s="7"/>
      <c r="D1262" s="2"/>
      <c r="E1262" s="8"/>
      <c r="F1262" s="6"/>
      <c r="G1262" s="12"/>
    </row>
    <row r="1263" spans="1:7" x14ac:dyDescent="0.3">
      <c r="A1263" s="11" t="s">
        <v>1220</v>
      </c>
      <c r="B1263" s="7">
        <v>22900</v>
      </c>
      <c r="C1263" s="7">
        <v>22.367999999999999</v>
      </c>
      <c r="D1263" s="2">
        <f>C1263-C1260</f>
        <v>3.0999999999998806E-2</v>
      </c>
      <c r="E1263" s="8">
        <f>E1260+F1260</f>
        <v>22.408654248908086</v>
      </c>
      <c r="F1263" s="6">
        <f>F1260</f>
        <v>1.2217470983506415E-2</v>
      </c>
      <c r="G1263" s="12">
        <f t="shared" si="337"/>
        <v>-4.0654248908086998E-2</v>
      </c>
    </row>
    <row r="1264" spans="1:7" x14ac:dyDescent="0.3">
      <c r="A1264" s="11" t="s">
        <v>1221</v>
      </c>
      <c r="B1264" s="7">
        <v>22920</v>
      </c>
      <c r="C1264" s="7">
        <v>22.390999999999998</v>
      </c>
      <c r="D1264" s="2">
        <f t="shared" si="325"/>
        <v>2.2999999999999687E-2</v>
      </c>
      <c r="E1264" s="8">
        <f t="shared" si="335"/>
        <v>22.420871719891593</v>
      </c>
      <c r="F1264" s="6">
        <f t="shared" si="323"/>
        <v>1.2217470983506415E-2</v>
      </c>
      <c r="G1264" s="12">
        <f t="shared" si="337"/>
        <v>-2.9871719891595205E-2</v>
      </c>
    </row>
    <row r="1265" spans="1:7" x14ac:dyDescent="0.3">
      <c r="A1265" s="11" t="s">
        <v>1222</v>
      </c>
      <c r="B1265" s="7">
        <v>22940</v>
      </c>
      <c r="C1265" s="7">
        <v>22.411999999999999</v>
      </c>
      <c r="D1265" s="2">
        <f t="shared" si="325"/>
        <v>2.1000000000000796E-2</v>
      </c>
      <c r="E1265" s="8">
        <f t="shared" si="335"/>
        <v>22.433089190875101</v>
      </c>
      <c r="F1265" s="6">
        <f t="shared" si="323"/>
        <v>1.2217470983506415E-2</v>
      </c>
      <c r="G1265" s="12">
        <f t="shared" si="337"/>
        <v>-2.1089190875102304E-2</v>
      </c>
    </row>
    <row r="1266" spans="1:7" x14ac:dyDescent="0.3">
      <c r="A1266" s="11" t="s">
        <v>1223</v>
      </c>
      <c r="B1266" s="7">
        <v>22960</v>
      </c>
      <c r="C1266" s="7">
        <v>22.402000000000001</v>
      </c>
      <c r="D1266" s="2">
        <f t="shared" si="325"/>
        <v>-9.9999999999980105E-3</v>
      </c>
      <c r="E1266" s="8">
        <f t="shared" si="335"/>
        <v>22.445306661858609</v>
      </c>
      <c r="F1266" s="6">
        <f t="shared" si="323"/>
        <v>1.2217470983506415E-2</v>
      </c>
      <c r="G1266" s="12">
        <f t="shared" si="337"/>
        <v>-4.3306661858608209E-2</v>
      </c>
    </row>
    <row r="1267" spans="1:7" x14ac:dyDescent="0.3">
      <c r="A1267" s="11" t="s">
        <v>1224</v>
      </c>
      <c r="B1267" s="7">
        <v>22980</v>
      </c>
      <c r="C1267" s="7">
        <v>22.404</v>
      </c>
      <c r="D1267" s="2">
        <f t="shared" si="325"/>
        <v>1.9999999999988916E-3</v>
      </c>
      <c r="E1267" s="8">
        <f t="shared" si="335"/>
        <v>22.457524132842117</v>
      </c>
      <c r="F1267" s="6">
        <f t="shared" si="323"/>
        <v>1.2217470983506415E-2</v>
      </c>
      <c r="G1267" s="12">
        <f t="shared" si="337"/>
        <v>-5.3524132842117211E-2</v>
      </c>
    </row>
    <row r="1268" spans="1:7" x14ac:dyDescent="0.3">
      <c r="A1268" s="13" t="s">
        <v>1225</v>
      </c>
      <c r="B1268" s="24"/>
      <c r="C1268" s="25"/>
      <c r="D1268" s="25"/>
      <c r="E1268" s="25"/>
      <c r="F1268" s="25"/>
      <c r="G1268" s="26"/>
    </row>
    <row r="1269" spans="1:7" x14ac:dyDescent="0.3">
      <c r="A1269" s="11" t="s">
        <v>1226</v>
      </c>
      <c r="B1269" s="7">
        <v>23000</v>
      </c>
      <c r="C1269" s="7">
        <v>22.395</v>
      </c>
      <c r="D1269" s="2">
        <f>C1269-C1267</f>
        <v>-9.0000000000003411E-3</v>
      </c>
      <c r="E1269" s="8">
        <f>E1267+F1267</f>
        <v>22.469741603825625</v>
      </c>
      <c r="F1269" s="6">
        <f>F1267</f>
        <v>1.2217470983506415E-2</v>
      </c>
      <c r="G1269" s="12">
        <f t="shared" si="337"/>
        <v>-7.4741603825625447E-2</v>
      </c>
    </row>
    <row r="1270" spans="1:7" x14ac:dyDescent="0.3">
      <c r="A1270" s="11" t="s">
        <v>1227</v>
      </c>
      <c r="B1270" s="7">
        <v>23020</v>
      </c>
      <c r="C1270" s="7">
        <v>22.395</v>
      </c>
      <c r="D1270" s="2">
        <f t="shared" si="325"/>
        <v>0</v>
      </c>
      <c r="E1270" s="8">
        <f t="shared" si="335"/>
        <v>22.481959074809133</v>
      </c>
      <c r="F1270" s="6">
        <f t="shared" si="323"/>
        <v>1.2217470983506415E-2</v>
      </c>
      <c r="G1270" s="12">
        <f t="shared" si="337"/>
        <v>-8.6959074809133341E-2</v>
      </c>
    </row>
    <row r="1271" spans="1:7" x14ac:dyDescent="0.3">
      <c r="A1271" s="11" t="s">
        <v>1228</v>
      </c>
      <c r="B1271" s="7">
        <v>23040</v>
      </c>
      <c r="C1271" s="7">
        <v>22.390999999999998</v>
      </c>
      <c r="D1271" s="2">
        <f t="shared" si="325"/>
        <v>-4.0000000000013358E-3</v>
      </c>
      <c r="E1271" s="8">
        <f t="shared" si="335"/>
        <v>22.494176545792641</v>
      </c>
      <c r="F1271" s="6">
        <f t="shared" ref="F1271:F1341" si="338">F1270</f>
        <v>1.2217470983506415E-2</v>
      </c>
      <c r="G1271" s="12">
        <f t="shared" si="337"/>
        <v>-0.10317654579264257</v>
      </c>
    </row>
    <row r="1272" spans="1:7" x14ac:dyDescent="0.3">
      <c r="A1272" s="11" t="s">
        <v>1229</v>
      </c>
      <c r="B1272" s="7">
        <v>23060</v>
      </c>
      <c r="C1272" s="7">
        <v>22.4</v>
      </c>
      <c r="D1272" s="2">
        <f t="shared" si="325"/>
        <v>9.0000000000003411E-3</v>
      </c>
      <c r="E1272" s="8">
        <f t="shared" si="335"/>
        <v>22.506394016776149</v>
      </c>
      <c r="F1272" s="6">
        <f t="shared" si="338"/>
        <v>1.2217470983506415E-2</v>
      </c>
      <c r="G1272" s="12">
        <f t="shared" si="337"/>
        <v>-0.10639401677615012</v>
      </c>
    </row>
    <row r="1273" spans="1:7" x14ac:dyDescent="0.3">
      <c r="A1273" s="11" t="s">
        <v>1230</v>
      </c>
      <c r="B1273" s="7">
        <v>23080</v>
      </c>
      <c r="C1273" s="7">
        <v>22.420999999999999</v>
      </c>
      <c r="D1273" s="2">
        <f t="shared" ref="D1273:D1345" si="339">C1273-C1272</f>
        <v>2.1000000000000796E-2</v>
      </c>
      <c r="E1273" s="8">
        <f t="shared" si="335"/>
        <v>22.518611487759657</v>
      </c>
      <c r="F1273" s="6">
        <f t="shared" si="338"/>
        <v>1.2217470983506415E-2</v>
      </c>
      <c r="G1273" s="12">
        <f t="shared" si="337"/>
        <v>-9.7611487759657223E-2</v>
      </c>
    </row>
    <row r="1274" spans="1:7" x14ac:dyDescent="0.3">
      <c r="A1274" s="11" t="s">
        <v>1231</v>
      </c>
      <c r="B1274" s="7">
        <v>23100</v>
      </c>
      <c r="C1274" s="7">
        <v>22.419</v>
      </c>
      <c r="D1274" s="2">
        <f t="shared" si="339"/>
        <v>-1.9999999999988916E-3</v>
      </c>
      <c r="E1274" s="8">
        <f t="shared" ref="E1274:E1295" si="340">E1273+F1273</f>
        <v>22.530828958743164</v>
      </c>
      <c r="F1274" s="6">
        <f t="shared" si="338"/>
        <v>1.2217470983506415E-2</v>
      </c>
      <c r="G1274" s="12">
        <f t="shared" ref="G1274:G1295" si="341">C1274-E1274</f>
        <v>-0.11182895874316401</v>
      </c>
    </row>
    <row r="1275" spans="1:7" x14ac:dyDescent="0.3">
      <c r="A1275" s="11" t="s">
        <v>1232</v>
      </c>
      <c r="B1275" s="7">
        <v>23120</v>
      </c>
      <c r="C1275" s="7">
        <v>22.436</v>
      </c>
      <c r="D1275" s="2">
        <f t="shared" si="339"/>
        <v>1.699999999999946E-2</v>
      </c>
      <c r="E1275" s="8">
        <f t="shared" si="340"/>
        <v>22.543046429726672</v>
      </c>
      <c r="F1275" s="6">
        <f t="shared" si="338"/>
        <v>1.2217470983506415E-2</v>
      </c>
      <c r="G1275" s="12">
        <f t="shared" si="341"/>
        <v>-0.10704642972667244</v>
      </c>
    </row>
    <row r="1276" spans="1:7" x14ac:dyDescent="0.3">
      <c r="A1276" s="11" t="s">
        <v>1233</v>
      </c>
      <c r="B1276" s="7">
        <v>23140</v>
      </c>
      <c r="C1276" s="7">
        <v>22.45</v>
      </c>
      <c r="D1276" s="2">
        <f t="shared" si="339"/>
        <v>1.3999999999999346E-2</v>
      </c>
      <c r="E1276" s="8">
        <f t="shared" si="340"/>
        <v>22.55526390071018</v>
      </c>
      <c r="F1276" s="6">
        <f t="shared" si="338"/>
        <v>1.2217470983506415E-2</v>
      </c>
      <c r="G1276" s="12">
        <f t="shared" si="341"/>
        <v>-0.10526390071018099</v>
      </c>
    </row>
    <row r="1277" spans="1:7" x14ac:dyDescent="0.3">
      <c r="A1277" s="11" t="s">
        <v>1234</v>
      </c>
      <c r="B1277" s="7">
        <v>23160</v>
      </c>
      <c r="C1277" s="7">
        <v>22.47</v>
      </c>
      <c r="D1277" s="2">
        <f t="shared" si="339"/>
        <v>1.9999999999999574E-2</v>
      </c>
      <c r="E1277" s="8">
        <f t="shared" si="340"/>
        <v>22.567481371693688</v>
      </c>
      <c r="F1277" s="6">
        <f t="shared" si="338"/>
        <v>1.2217470983506415E-2</v>
      </c>
      <c r="G1277" s="12">
        <f t="shared" si="341"/>
        <v>-9.7481371693689312E-2</v>
      </c>
    </row>
    <row r="1278" spans="1:7" x14ac:dyDescent="0.3">
      <c r="A1278" s="11" t="s">
        <v>1235</v>
      </c>
      <c r="B1278" s="7">
        <v>23180</v>
      </c>
      <c r="C1278" s="7">
        <v>22.486999999999998</v>
      </c>
      <c r="D1278" s="2">
        <f t="shared" si="339"/>
        <v>1.699999999999946E-2</v>
      </c>
      <c r="E1278" s="8">
        <f t="shared" si="340"/>
        <v>22.579698842677196</v>
      </c>
      <c r="F1278" s="6">
        <f t="shared" si="338"/>
        <v>1.2217470983506415E-2</v>
      </c>
      <c r="G1278" s="12">
        <f t="shared" si="341"/>
        <v>-9.2698842677197746E-2</v>
      </c>
    </row>
    <row r="1279" spans="1:7" x14ac:dyDescent="0.3">
      <c r="A1279" s="11" t="s">
        <v>1236</v>
      </c>
      <c r="B1279" s="7">
        <v>23200</v>
      </c>
      <c r="C1279" s="7">
        <v>22.52</v>
      </c>
      <c r="D1279" s="2">
        <f t="shared" si="339"/>
        <v>3.3000000000001251E-2</v>
      </c>
      <c r="E1279" s="8">
        <f t="shared" si="340"/>
        <v>22.591916313660704</v>
      </c>
      <c r="F1279" s="6">
        <f t="shared" si="338"/>
        <v>1.2217470983506415E-2</v>
      </c>
      <c r="G1279" s="12">
        <f t="shared" si="341"/>
        <v>-7.191631366070439E-2</v>
      </c>
    </row>
    <row r="1280" spans="1:7" x14ac:dyDescent="0.3">
      <c r="A1280" s="11" t="s">
        <v>1237</v>
      </c>
      <c r="B1280" s="7">
        <v>23220</v>
      </c>
      <c r="C1280" s="7">
        <v>22.541</v>
      </c>
      <c r="D1280" s="2">
        <f t="shared" si="339"/>
        <v>2.1000000000000796E-2</v>
      </c>
      <c r="E1280" s="8">
        <f t="shared" si="340"/>
        <v>22.604133784644212</v>
      </c>
      <c r="F1280" s="6">
        <f t="shared" si="338"/>
        <v>1.2217470983506415E-2</v>
      </c>
      <c r="G1280" s="12">
        <f t="shared" si="341"/>
        <v>-6.3133784644211488E-2</v>
      </c>
    </row>
    <row r="1281" spans="1:18" x14ac:dyDescent="0.3">
      <c r="A1281" s="11" t="s">
        <v>1238</v>
      </c>
      <c r="B1281" s="7">
        <v>23240</v>
      </c>
      <c r="C1281" s="7">
        <v>22.544</v>
      </c>
      <c r="D1281" s="2">
        <f t="shared" si="339"/>
        <v>3.0000000000001137E-3</v>
      </c>
      <c r="E1281" s="8">
        <f t="shared" si="340"/>
        <v>22.61635125562772</v>
      </c>
      <c r="F1281" s="6">
        <f t="shared" si="338"/>
        <v>1.2217470983506415E-2</v>
      </c>
      <c r="G1281" s="12">
        <f t="shared" si="341"/>
        <v>-7.2351255627719269E-2</v>
      </c>
    </row>
    <row r="1282" spans="1:18" x14ac:dyDescent="0.3">
      <c r="A1282" s="11" t="s">
        <v>1239</v>
      </c>
      <c r="B1282" s="7">
        <v>23260</v>
      </c>
      <c r="C1282" s="7">
        <v>22.564</v>
      </c>
      <c r="D1282" s="2">
        <f t="shared" si="339"/>
        <v>1.9999999999999574E-2</v>
      </c>
      <c r="E1282" s="8">
        <f t="shared" si="340"/>
        <v>22.628568726611228</v>
      </c>
      <c r="F1282" s="6">
        <f t="shared" si="338"/>
        <v>1.2217470983506415E-2</v>
      </c>
      <c r="G1282" s="12">
        <f t="shared" si="341"/>
        <v>-6.4568726611227589E-2</v>
      </c>
    </row>
    <row r="1283" spans="1:18" x14ac:dyDescent="0.3">
      <c r="A1283" s="11" t="s">
        <v>1240</v>
      </c>
      <c r="B1283" s="7">
        <v>23280</v>
      </c>
      <c r="C1283" s="7">
        <v>22.588999999999999</v>
      </c>
      <c r="D1283" s="2">
        <f t="shared" si="339"/>
        <v>2.4999999999998579E-2</v>
      </c>
      <c r="E1283" s="8">
        <f t="shared" si="340"/>
        <v>22.640786197594736</v>
      </c>
      <c r="F1283" s="6">
        <f t="shared" si="338"/>
        <v>1.2217470983506415E-2</v>
      </c>
      <c r="G1283" s="12">
        <f t="shared" si="341"/>
        <v>-5.1786197594736905E-2</v>
      </c>
    </row>
    <row r="1284" spans="1:18" x14ac:dyDescent="0.3">
      <c r="A1284" s="11" t="s">
        <v>1241</v>
      </c>
      <c r="B1284" s="7">
        <v>23300</v>
      </c>
      <c r="C1284" s="7">
        <v>22.606999999999999</v>
      </c>
      <c r="D1284" s="2">
        <f t="shared" si="339"/>
        <v>1.8000000000000682E-2</v>
      </c>
      <c r="E1284" s="8">
        <f t="shared" si="340"/>
        <v>22.653003668578243</v>
      </c>
      <c r="F1284" s="6">
        <f t="shared" si="338"/>
        <v>1.2217470983506415E-2</v>
      </c>
      <c r="G1284" s="12">
        <f t="shared" si="341"/>
        <v>-4.6003668578244117E-2</v>
      </c>
    </row>
    <row r="1285" spans="1:18" x14ac:dyDescent="0.3">
      <c r="A1285" s="11" t="s">
        <v>1242</v>
      </c>
      <c r="B1285" s="7">
        <v>23320</v>
      </c>
      <c r="C1285" s="7">
        <v>22.616</v>
      </c>
      <c r="D1285" s="2">
        <f t="shared" si="339"/>
        <v>9.0000000000003411E-3</v>
      </c>
      <c r="E1285" s="8">
        <f t="shared" si="340"/>
        <v>22.665221139561751</v>
      </c>
      <c r="F1285" s="6">
        <f t="shared" si="338"/>
        <v>1.2217470983506415E-2</v>
      </c>
      <c r="G1285" s="12">
        <f t="shared" si="341"/>
        <v>-4.922113956175167E-2</v>
      </c>
    </row>
    <row r="1286" spans="1:18" x14ac:dyDescent="0.3">
      <c r="A1286" s="11" t="s">
        <v>1243</v>
      </c>
      <c r="B1286" s="7">
        <v>23340</v>
      </c>
      <c r="C1286" s="7">
        <v>22.643999999999998</v>
      </c>
      <c r="D1286" s="2">
        <f t="shared" si="339"/>
        <v>2.7999999999998693E-2</v>
      </c>
      <c r="E1286" s="8">
        <f t="shared" si="340"/>
        <v>22.677438610545259</v>
      </c>
      <c r="F1286" s="6">
        <f t="shared" si="338"/>
        <v>1.2217470983506415E-2</v>
      </c>
      <c r="G1286" s="12">
        <f t="shared" si="341"/>
        <v>-3.3438610545260872E-2</v>
      </c>
    </row>
    <row r="1287" spans="1:18" x14ac:dyDescent="0.3">
      <c r="A1287" s="11" t="s">
        <v>1244</v>
      </c>
      <c r="B1287" s="7">
        <v>23360</v>
      </c>
      <c r="C1287" s="7">
        <v>22.670999999999999</v>
      </c>
      <c r="D1287" s="2">
        <f t="shared" si="339"/>
        <v>2.7000000000001023E-2</v>
      </c>
      <c r="E1287" s="8">
        <f t="shared" si="340"/>
        <v>22.689656081528767</v>
      </c>
      <c r="F1287" s="6">
        <f t="shared" si="338"/>
        <v>1.2217470983506415E-2</v>
      </c>
      <c r="G1287" s="12">
        <f t="shared" si="341"/>
        <v>-1.8656081528767743E-2</v>
      </c>
    </row>
    <row r="1288" spans="1:18" x14ac:dyDescent="0.3">
      <c r="A1288" s="11" t="s">
        <v>1245</v>
      </c>
      <c r="B1288" s="7">
        <v>23380</v>
      </c>
      <c r="C1288" s="7">
        <v>22.702000000000002</v>
      </c>
      <c r="D1288" s="2">
        <f t="shared" si="339"/>
        <v>3.1000000000002359E-2</v>
      </c>
      <c r="E1288" s="8">
        <f t="shared" si="340"/>
        <v>22.701873552512275</v>
      </c>
      <c r="F1288" s="6">
        <f t="shared" si="338"/>
        <v>1.2217470983506415E-2</v>
      </c>
      <c r="G1288" s="12">
        <f t="shared" si="341"/>
        <v>1.2644748772672187E-4</v>
      </c>
    </row>
    <row r="1289" spans="1:18" x14ac:dyDescent="0.3">
      <c r="A1289" s="21"/>
      <c r="B1289" s="22"/>
      <c r="C1289" s="22"/>
      <c r="D1289" s="22"/>
      <c r="E1289" s="22"/>
      <c r="F1289" s="22"/>
      <c r="G1289" s="23"/>
      <c r="H1289" s="4" t="s">
        <v>21</v>
      </c>
      <c r="J1289" s="4"/>
      <c r="O1289" s="3">
        <f>1/O1290</f>
        <v>1.1148272017837235E-3</v>
      </c>
      <c r="P1289" s="3">
        <f>O1289*20</f>
        <v>2.2296544035674472E-2</v>
      </c>
      <c r="Q1289" s="3" t="s">
        <v>3202</v>
      </c>
      <c r="R1289" s="3">
        <v>897</v>
      </c>
    </row>
    <row r="1290" spans="1:18" x14ac:dyDescent="0.3">
      <c r="A1290" s="11" t="s">
        <v>1246</v>
      </c>
      <c r="B1290" s="7">
        <v>23400</v>
      </c>
      <c r="C1290" s="7">
        <v>22.774999999999999</v>
      </c>
      <c r="D1290" s="2">
        <f>C1290-C1288</f>
        <v>7.2999999999996845E-2</v>
      </c>
      <c r="E1290" s="8">
        <f>E1288+F1290</f>
        <v>22.724170096547951</v>
      </c>
      <c r="F1290" s="6">
        <f>P1289</f>
        <v>2.2296544035674472E-2</v>
      </c>
      <c r="G1290" s="12">
        <f>C1290-E1290</f>
        <v>5.0829903452047631E-2</v>
      </c>
      <c r="H1290" s="3">
        <f>B1288</f>
        <v>23380</v>
      </c>
      <c r="I1290" s="3">
        <f>B1308</f>
        <v>23720</v>
      </c>
      <c r="J1290" s="3">
        <f>I1290-H1290</f>
        <v>340</v>
      </c>
      <c r="K1290" s="5">
        <f>E1288</f>
        <v>22.701873552512275</v>
      </c>
      <c r="L1290" s="3">
        <f>C1308</f>
        <v>23.081</v>
      </c>
      <c r="M1290" s="5">
        <f>L1290-K1290</f>
        <v>0.3791264474877245</v>
      </c>
      <c r="N1290" s="3">
        <f>J1290/M1290</f>
        <v>896.79842240762866</v>
      </c>
      <c r="O1290" s="3">
        <v>897</v>
      </c>
    </row>
    <row r="1291" spans="1:18" x14ac:dyDescent="0.3">
      <c r="A1291" s="11" t="s">
        <v>1247</v>
      </c>
      <c r="B1291" s="7">
        <v>23420</v>
      </c>
      <c r="C1291" s="7">
        <v>22.834</v>
      </c>
      <c r="D1291" s="2">
        <f t="shared" si="339"/>
        <v>5.9000000000001052E-2</v>
      </c>
      <c r="E1291" s="8">
        <f>E1290+F1290</f>
        <v>22.746466640583627</v>
      </c>
      <c r="F1291" s="6">
        <f t="shared" ref="F1291" si="342">F1290</f>
        <v>2.2296544035674472E-2</v>
      </c>
      <c r="G1291" s="12">
        <f t="shared" ref="G1291" si="343">C1291-E1291</f>
        <v>8.7533359416372747E-2</v>
      </c>
    </row>
    <row r="1292" spans="1:18" x14ac:dyDescent="0.3">
      <c r="A1292" s="11" t="s">
        <v>1248</v>
      </c>
      <c r="B1292" s="7">
        <v>23440</v>
      </c>
      <c r="C1292" s="7">
        <v>22.835999999999999</v>
      </c>
      <c r="D1292" s="2">
        <f t="shared" si="339"/>
        <v>1.9999999999988916E-3</v>
      </c>
      <c r="E1292" s="8">
        <f t="shared" si="340"/>
        <v>22.768763184619303</v>
      </c>
      <c r="F1292" s="6">
        <f t="shared" si="338"/>
        <v>2.2296544035674472E-2</v>
      </c>
      <c r="G1292" s="12">
        <f t="shared" si="341"/>
        <v>6.7236815380695703E-2</v>
      </c>
    </row>
    <row r="1293" spans="1:18" x14ac:dyDescent="0.3">
      <c r="A1293" s="11" t="s">
        <v>1249</v>
      </c>
      <c r="B1293" s="7">
        <v>23460</v>
      </c>
      <c r="C1293" s="7">
        <v>22.852</v>
      </c>
      <c r="D1293" s="2">
        <f t="shared" si="339"/>
        <v>1.6000000000001791E-2</v>
      </c>
      <c r="E1293" s="8">
        <f t="shared" si="340"/>
        <v>22.791059728654979</v>
      </c>
      <c r="F1293" s="6">
        <f t="shared" si="338"/>
        <v>2.2296544035674472E-2</v>
      </c>
      <c r="G1293" s="12">
        <f t="shared" si="341"/>
        <v>6.0940271345021557E-2</v>
      </c>
    </row>
    <row r="1294" spans="1:18" x14ac:dyDescent="0.3">
      <c r="A1294" s="11" t="s">
        <v>1250</v>
      </c>
      <c r="B1294" s="7">
        <v>23480</v>
      </c>
      <c r="C1294" s="7">
        <v>22.867000000000001</v>
      </c>
      <c r="D1294" s="2">
        <f t="shared" si="339"/>
        <v>1.5000000000000568E-2</v>
      </c>
      <c r="E1294" s="8">
        <f t="shared" si="340"/>
        <v>22.813356272690655</v>
      </c>
      <c r="F1294" s="6">
        <f t="shared" si="338"/>
        <v>2.2296544035674472E-2</v>
      </c>
      <c r="G1294" s="12">
        <f t="shared" si="341"/>
        <v>5.364372730934619E-2</v>
      </c>
    </row>
    <row r="1295" spans="1:18" x14ac:dyDescent="0.3">
      <c r="A1295" s="11" t="s">
        <v>1251</v>
      </c>
      <c r="B1295" s="7">
        <v>23500</v>
      </c>
      <c r="C1295" s="7">
        <v>22.896000000000001</v>
      </c>
      <c r="D1295" s="2">
        <f t="shared" si="339"/>
        <v>2.8999999999999915E-2</v>
      </c>
      <c r="E1295" s="8">
        <f t="shared" si="340"/>
        <v>22.835652816726331</v>
      </c>
      <c r="F1295" s="6">
        <f t="shared" si="338"/>
        <v>2.2296544035674472E-2</v>
      </c>
      <c r="G1295" s="12">
        <f t="shared" si="341"/>
        <v>6.0347183273670169E-2</v>
      </c>
    </row>
    <row r="1296" spans="1:18" x14ac:dyDescent="0.3">
      <c r="A1296" s="11" t="s">
        <v>1252</v>
      </c>
      <c r="B1296" s="7">
        <v>23520</v>
      </c>
      <c r="C1296" s="7">
        <v>22.913</v>
      </c>
      <c r="D1296" s="2">
        <f t="shared" si="339"/>
        <v>1.699999999999946E-2</v>
      </c>
      <c r="E1296" s="8">
        <f t="shared" ref="E1296:E1307" si="344">E1295+F1295</f>
        <v>22.857949360762007</v>
      </c>
      <c r="F1296" s="6">
        <f t="shared" si="338"/>
        <v>2.2296544035674472E-2</v>
      </c>
      <c r="G1296" s="12">
        <f t="shared" ref="G1296:G1307" si="345">C1296-E1296</f>
        <v>5.5050639237993693E-2</v>
      </c>
    </row>
    <row r="1297" spans="1:18" x14ac:dyDescent="0.3">
      <c r="A1297" s="11" t="s">
        <v>1253</v>
      </c>
      <c r="B1297" s="7">
        <v>23540</v>
      </c>
      <c r="C1297" s="7">
        <v>22.949000000000002</v>
      </c>
      <c r="D1297" s="2">
        <f t="shared" si="339"/>
        <v>3.6000000000001364E-2</v>
      </c>
      <c r="E1297" s="8">
        <f t="shared" si="344"/>
        <v>22.880245904797682</v>
      </c>
      <c r="F1297" s="6">
        <f t="shared" si="338"/>
        <v>2.2296544035674472E-2</v>
      </c>
      <c r="G1297" s="12">
        <f t="shared" si="345"/>
        <v>6.8754095202319121E-2</v>
      </c>
    </row>
    <row r="1298" spans="1:18" x14ac:dyDescent="0.3">
      <c r="A1298" s="11" t="s">
        <v>1254</v>
      </c>
      <c r="B1298" s="7">
        <v>23560</v>
      </c>
      <c r="C1298" s="7">
        <v>22.986000000000001</v>
      </c>
      <c r="D1298" s="2">
        <f t="shared" si="339"/>
        <v>3.6999999999999034E-2</v>
      </c>
      <c r="E1298" s="8">
        <f t="shared" si="344"/>
        <v>22.902542448833358</v>
      </c>
      <c r="F1298" s="6">
        <f t="shared" si="338"/>
        <v>2.2296544035674472E-2</v>
      </c>
      <c r="G1298" s="12">
        <f t="shared" si="345"/>
        <v>8.3457551166642219E-2</v>
      </c>
    </row>
    <row r="1299" spans="1:18" x14ac:dyDescent="0.3">
      <c r="A1299" s="11" t="s">
        <v>1255</v>
      </c>
      <c r="B1299" s="7">
        <v>23580</v>
      </c>
      <c r="C1299" s="7">
        <v>23.026</v>
      </c>
      <c r="D1299" s="2">
        <f t="shared" si="339"/>
        <v>3.9999999999999147E-2</v>
      </c>
      <c r="E1299" s="8">
        <f t="shared" si="344"/>
        <v>22.924838992869034</v>
      </c>
      <c r="F1299" s="6">
        <f t="shared" si="338"/>
        <v>2.2296544035674472E-2</v>
      </c>
      <c r="G1299" s="12">
        <f t="shared" si="345"/>
        <v>0.10116100713096543</v>
      </c>
    </row>
    <row r="1300" spans="1:18" x14ac:dyDescent="0.3">
      <c r="A1300" s="11" t="s">
        <v>1256</v>
      </c>
      <c r="B1300" s="7">
        <v>23600</v>
      </c>
      <c r="C1300" s="7">
        <v>23.056999999999999</v>
      </c>
      <c r="D1300" s="2">
        <f t="shared" si="339"/>
        <v>3.0999999999998806E-2</v>
      </c>
      <c r="E1300" s="8">
        <f t="shared" si="344"/>
        <v>22.94713553690471</v>
      </c>
      <c r="F1300" s="6">
        <f t="shared" si="338"/>
        <v>2.2296544035674472E-2</v>
      </c>
      <c r="G1300" s="12">
        <f t="shared" si="345"/>
        <v>0.1098644630952883</v>
      </c>
    </row>
    <row r="1301" spans="1:18" x14ac:dyDescent="0.3">
      <c r="A1301" s="11" t="s">
        <v>3384</v>
      </c>
      <c r="B1301" s="70" t="s">
        <v>3385</v>
      </c>
      <c r="C1301" s="7"/>
      <c r="D1301" s="2"/>
      <c r="E1301" s="8"/>
      <c r="F1301" s="6"/>
      <c r="G1301" s="12"/>
    </row>
    <row r="1302" spans="1:18" x14ac:dyDescent="0.3">
      <c r="A1302" s="11" t="s">
        <v>1257</v>
      </c>
      <c r="B1302" s="7">
        <v>23620</v>
      </c>
      <c r="C1302" s="7">
        <v>23.068999999999999</v>
      </c>
      <c r="D1302" s="2">
        <f>C1302-C1300</f>
        <v>1.2000000000000455E-2</v>
      </c>
      <c r="E1302" s="8">
        <f>E1300+F1300</f>
        <v>22.969432080940386</v>
      </c>
      <c r="F1302" s="6">
        <f>F1300</f>
        <v>2.2296544035674472E-2</v>
      </c>
      <c r="G1302" s="12">
        <f t="shared" si="345"/>
        <v>9.9567919059612819E-2</v>
      </c>
    </row>
    <row r="1303" spans="1:18" x14ac:dyDescent="0.3">
      <c r="A1303" s="11" t="s">
        <v>1258</v>
      </c>
      <c r="B1303" s="7">
        <v>23640</v>
      </c>
      <c r="C1303" s="7">
        <v>23.088000000000001</v>
      </c>
      <c r="D1303" s="2">
        <f t="shared" si="339"/>
        <v>1.9000000000001904E-2</v>
      </c>
      <c r="E1303" s="8">
        <f t="shared" si="344"/>
        <v>22.991728624976062</v>
      </c>
      <c r="F1303" s="6">
        <f t="shared" si="338"/>
        <v>2.2296544035674472E-2</v>
      </c>
      <c r="G1303" s="12">
        <f t="shared" si="345"/>
        <v>9.6271375023938788E-2</v>
      </c>
    </row>
    <row r="1304" spans="1:18" x14ac:dyDescent="0.3">
      <c r="A1304" s="11" t="s">
        <v>1259</v>
      </c>
      <c r="B1304" s="7">
        <v>23660</v>
      </c>
      <c r="C1304" s="7">
        <v>23.094000000000001</v>
      </c>
      <c r="D1304" s="2">
        <f t="shared" si="339"/>
        <v>6.0000000000002274E-3</v>
      </c>
      <c r="E1304" s="8">
        <f t="shared" si="344"/>
        <v>23.014025169011738</v>
      </c>
      <c r="F1304" s="6">
        <f t="shared" si="338"/>
        <v>2.2296544035674472E-2</v>
      </c>
      <c r="G1304" s="12">
        <f t="shared" si="345"/>
        <v>7.9974830988263079E-2</v>
      </c>
    </row>
    <row r="1305" spans="1:18" x14ac:dyDescent="0.3">
      <c r="A1305" s="11" t="s">
        <v>3386</v>
      </c>
      <c r="B1305" s="70" t="s">
        <v>3387</v>
      </c>
      <c r="C1305" s="7"/>
      <c r="D1305" s="2"/>
      <c r="E1305" s="8"/>
      <c r="F1305" s="6"/>
      <c r="G1305" s="12"/>
    </row>
    <row r="1306" spans="1:18" x14ac:dyDescent="0.3">
      <c r="A1306" s="11" t="s">
        <v>1260</v>
      </c>
      <c r="B1306" s="7">
        <v>23680</v>
      </c>
      <c r="C1306" s="7">
        <v>23.100999999999999</v>
      </c>
      <c r="D1306" s="2">
        <f>C1306-C1304</f>
        <v>6.9999999999978968E-3</v>
      </c>
      <c r="E1306" s="8">
        <f>E1304+F1304</f>
        <v>23.036321713047414</v>
      </c>
      <c r="F1306" s="6">
        <f>F1304</f>
        <v>2.2296544035674472E-2</v>
      </c>
      <c r="G1306" s="12">
        <f t="shared" si="345"/>
        <v>6.467828695258504E-2</v>
      </c>
    </row>
    <row r="1307" spans="1:18" x14ac:dyDescent="0.3">
      <c r="A1307" s="11" t="s">
        <v>1261</v>
      </c>
      <c r="B1307" s="7">
        <v>23700</v>
      </c>
      <c r="C1307" s="7">
        <v>23.087</v>
      </c>
      <c r="D1307" s="2">
        <f t="shared" si="339"/>
        <v>-1.3999999999999346E-2</v>
      </c>
      <c r="E1307" s="8">
        <f t="shared" si="344"/>
        <v>23.05861825708309</v>
      </c>
      <c r="F1307" s="6">
        <f t="shared" si="338"/>
        <v>2.2296544035674472E-2</v>
      </c>
      <c r="G1307" s="12">
        <f t="shared" si="345"/>
        <v>2.8381742916909758E-2</v>
      </c>
    </row>
    <row r="1308" spans="1:18" x14ac:dyDescent="0.3">
      <c r="A1308" s="11" t="s">
        <v>1262</v>
      </c>
      <c r="B1308" s="7">
        <v>23720</v>
      </c>
      <c r="C1308" s="7">
        <v>23.081</v>
      </c>
      <c r="D1308" s="2">
        <f t="shared" si="339"/>
        <v>-6.0000000000002274E-3</v>
      </c>
      <c r="E1308" s="8">
        <f t="shared" ref="E1308" si="346">E1307+F1307</f>
        <v>23.080914801118766</v>
      </c>
      <c r="F1308" s="6">
        <f t="shared" si="338"/>
        <v>2.2296544035674472E-2</v>
      </c>
      <c r="G1308" s="12">
        <f t="shared" ref="G1308:G1322" si="347">C1308-E1308</f>
        <v>8.5198881233594648E-5</v>
      </c>
    </row>
    <row r="1309" spans="1:18" x14ac:dyDescent="0.3">
      <c r="A1309" s="21"/>
      <c r="B1309" s="22"/>
      <c r="C1309" s="22"/>
      <c r="D1309" s="22"/>
      <c r="E1309" s="22"/>
      <c r="F1309" s="22"/>
      <c r="G1309" s="23"/>
      <c r="H1309" s="4" t="s">
        <v>3483</v>
      </c>
      <c r="J1309" s="4"/>
      <c r="O1309" s="3">
        <f>1/O1310</f>
        <v>7.3529411764705881E-3</v>
      </c>
      <c r="P1309" s="3">
        <f>O1309*20</f>
        <v>0.14705882352941177</v>
      </c>
      <c r="Q1309" s="3" t="s">
        <v>3200</v>
      </c>
      <c r="R1309" s="3">
        <v>136</v>
      </c>
    </row>
    <row r="1310" spans="1:18" x14ac:dyDescent="0.3">
      <c r="A1310" s="11" t="s">
        <v>1263</v>
      </c>
      <c r="B1310" s="7">
        <v>23740</v>
      </c>
      <c r="C1310" s="7">
        <v>23.077000000000002</v>
      </c>
      <c r="D1310" s="2">
        <f>C1310-C1308</f>
        <v>-3.9999999999977831E-3</v>
      </c>
      <c r="E1310" s="8">
        <f>E1308-F1310</f>
        <v>22.933855977589353</v>
      </c>
      <c r="F1310" s="6">
        <f>P1309</f>
        <v>0.14705882352941177</v>
      </c>
      <c r="G1310" s="12">
        <f>C1310-E1310</f>
        <v>0.14314402241064883</v>
      </c>
      <c r="H1310" s="3">
        <f>B1308</f>
        <v>23720</v>
      </c>
      <c r="I1310" s="3">
        <f>B1328</f>
        <v>24040</v>
      </c>
      <c r="J1310" s="3">
        <f>I1310-H1310</f>
        <v>320</v>
      </c>
      <c r="K1310" s="5">
        <f>E1308</f>
        <v>23.080914801118766</v>
      </c>
      <c r="L1310" s="3">
        <f>C1328</f>
        <v>20.734000000000002</v>
      </c>
      <c r="M1310" s="5">
        <f>L1310-K1310</f>
        <v>-2.3469148011187642</v>
      </c>
      <c r="N1310" s="3">
        <f>J1310/M1310</f>
        <v>-136.34921891815475</v>
      </c>
      <c r="O1310" s="3">
        <v>136</v>
      </c>
    </row>
    <row r="1311" spans="1:18" x14ac:dyDescent="0.3">
      <c r="A1311" s="11" t="s">
        <v>1264</v>
      </c>
      <c r="B1311" s="7">
        <v>23760</v>
      </c>
      <c r="C1311" s="7">
        <v>22.989000000000001</v>
      </c>
      <c r="D1311" s="2">
        <f t="shared" si="339"/>
        <v>-8.8000000000000966E-2</v>
      </c>
      <c r="E1311" s="8">
        <f>E1310-F1310</f>
        <v>22.78679715405994</v>
      </c>
      <c r="F1311" s="6">
        <f t="shared" ref="F1311" si="348">F1310</f>
        <v>0.14705882352941177</v>
      </c>
      <c r="G1311" s="12">
        <f t="shared" ref="G1311" si="349">C1311-E1311</f>
        <v>0.20220284594006088</v>
      </c>
    </row>
    <row r="1312" spans="1:18" x14ac:dyDescent="0.3">
      <c r="A1312" s="11" t="s">
        <v>1265</v>
      </c>
      <c r="B1312" s="7">
        <v>23780</v>
      </c>
      <c r="C1312" s="7">
        <v>22.869</v>
      </c>
      <c r="D1312" s="2">
        <f t="shared" si="339"/>
        <v>-0.12000000000000099</v>
      </c>
      <c r="E1312" s="8">
        <f>E1311-F1311</f>
        <v>22.639738330530527</v>
      </c>
      <c r="F1312" s="6">
        <f t="shared" si="338"/>
        <v>0.14705882352941177</v>
      </c>
      <c r="G1312" s="12">
        <f t="shared" si="347"/>
        <v>0.22926166946947291</v>
      </c>
    </row>
    <row r="1313" spans="1:13" x14ac:dyDescent="0.3">
      <c r="A1313" s="11" t="s">
        <v>1266</v>
      </c>
      <c r="B1313" s="7">
        <v>23800</v>
      </c>
      <c r="C1313" s="7">
        <v>22.74</v>
      </c>
      <c r="D1313" s="2">
        <f t="shared" si="339"/>
        <v>-0.12900000000000134</v>
      </c>
      <c r="E1313" s="8">
        <f t="shared" ref="E1313:E1320" si="350">E1312-F1312</f>
        <v>22.492679507001114</v>
      </c>
      <c r="F1313" s="6">
        <f t="shared" si="338"/>
        <v>0.14705882352941177</v>
      </c>
      <c r="G1313" s="12">
        <f t="shared" si="347"/>
        <v>0.24732049299888459</v>
      </c>
    </row>
    <row r="1314" spans="1:13" x14ac:dyDescent="0.3">
      <c r="A1314" s="11" t="s">
        <v>1267</v>
      </c>
      <c r="B1314" s="7">
        <v>23820</v>
      </c>
      <c r="C1314" s="7">
        <v>22.59</v>
      </c>
      <c r="D1314" s="2">
        <f t="shared" si="339"/>
        <v>-0.14999999999999858</v>
      </c>
      <c r="E1314" s="8">
        <f t="shared" si="350"/>
        <v>22.345620683471701</v>
      </c>
      <c r="F1314" s="6">
        <f t="shared" si="338"/>
        <v>0.14705882352941177</v>
      </c>
      <c r="G1314" s="12">
        <f t="shared" si="347"/>
        <v>0.24437931652829903</v>
      </c>
    </row>
    <row r="1315" spans="1:13" x14ac:dyDescent="0.3">
      <c r="A1315" s="11" t="s">
        <v>1268</v>
      </c>
      <c r="B1315" s="7">
        <v>23840</v>
      </c>
      <c r="C1315" s="7">
        <v>22.433</v>
      </c>
      <c r="D1315" s="2">
        <f>C1315-C1314</f>
        <v>-0.15700000000000003</v>
      </c>
      <c r="E1315" s="8">
        <f t="shared" si="350"/>
        <v>22.198561859942288</v>
      </c>
      <c r="F1315" s="6">
        <f>F1314</f>
        <v>0.14705882352941177</v>
      </c>
      <c r="G1315" s="12">
        <f>C1315-E1315</f>
        <v>0.23443814005771202</v>
      </c>
      <c r="K1315" s="5"/>
      <c r="M1315" s="5"/>
    </row>
    <row r="1316" spans="1:13" x14ac:dyDescent="0.3">
      <c r="A1316" s="11" t="s">
        <v>1269</v>
      </c>
      <c r="B1316" s="7">
        <v>23860</v>
      </c>
      <c r="C1316" s="7">
        <v>22.236999999999998</v>
      </c>
      <c r="D1316" s="2">
        <f t="shared" si="339"/>
        <v>-0.19600000000000151</v>
      </c>
      <c r="E1316" s="8">
        <f t="shared" si="350"/>
        <v>22.051503036412875</v>
      </c>
      <c r="F1316" s="6">
        <f t="shared" ref="F1316" si="351">F1315</f>
        <v>0.14705882352941177</v>
      </c>
      <c r="G1316" s="12">
        <f t="shared" ref="G1316" si="352">C1316-E1316</f>
        <v>0.18549696358712353</v>
      </c>
    </row>
    <row r="1317" spans="1:13" x14ac:dyDescent="0.3">
      <c r="A1317" s="11" t="s">
        <v>3388</v>
      </c>
      <c r="B1317" s="70" t="s">
        <v>3389</v>
      </c>
      <c r="C1317" s="7"/>
      <c r="D1317" s="2"/>
      <c r="E1317" s="8"/>
      <c r="F1317" s="6"/>
      <c r="G1317" s="12"/>
    </row>
    <row r="1318" spans="1:13" x14ac:dyDescent="0.3">
      <c r="A1318" s="11" t="s">
        <v>1270</v>
      </c>
      <c r="B1318" s="7">
        <v>23880</v>
      </c>
      <c r="C1318" s="7">
        <v>22.055</v>
      </c>
      <c r="D1318" s="2">
        <f>C1318-C1316</f>
        <v>-0.18199999999999861</v>
      </c>
      <c r="E1318" s="8">
        <f>E1316-F1316</f>
        <v>21.904444212883462</v>
      </c>
      <c r="F1318" s="6">
        <f>F1316</f>
        <v>0.14705882352941177</v>
      </c>
      <c r="G1318" s="12">
        <f t="shared" si="347"/>
        <v>0.15055578711653794</v>
      </c>
    </row>
    <row r="1319" spans="1:13" x14ac:dyDescent="0.3">
      <c r="A1319" s="11" t="s">
        <v>1271</v>
      </c>
      <c r="B1319" s="7">
        <v>23900</v>
      </c>
      <c r="C1319" s="7">
        <v>21.872</v>
      </c>
      <c r="D1319" s="2">
        <f t="shared" si="339"/>
        <v>-0.18299999999999983</v>
      </c>
      <c r="E1319" s="8">
        <f t="shared" si="350"/>
        <v>21.757385389354049</v>
      </c>
      <c r="F1319" s="6">
        <f t="shared" si="338"/>
        <v>0.14705882352941177</v>
      </c>
      <c r="G1319" s="12">
        <f t="shared" si="347"/>
        <v>0.11461461064595113</v>
      </c>
    </row>
    <row r="1320" spans="1:13" x14ac:dyDescent="0.3">
      <c r="A1320" s="11" t="s">
        <v>1272</v>
      </c>
      <c r="B1320" s="7">
        <v>23920</v>
      </c>
      <c r="C1320" s="7">
        <v>21.696999999999999</v>
      </c>
      <c r="D1320" s="2">
        <f t="shared" si="339"/>
        <v>-0.17500000000000071</v>
      </c>
      <c r="E1320" s="8">
        <f t="shared" si="350"/>
        <v>21.610326565824636</v>
      </c>
      <c r="F1320" s="6">
        <f t="shared" si="338"/>
        <v>0.14705882352941177</v>
      </c>
      <c r="G1320" s="12">
        <f t="shared" si="347"/>
        <v>8.667343417536344E-2</v>
      </c>
    </row>
    <row r="1321" spans="1:13" x14ac:dyDescent="0.3">
      <c r="A1321" s="11" t="s">
        <v>3390</v>
      </c>
      <c r="B1321" s="70" t="s">
        <v>3391</v>
      </c>
      <c r="C1321" s="7"/>
      <c r="D1321" s="2"/>
      <c r="E1321" s="8"/>
      <c r="F1321" s="6"/>
      <c r="G1321" s="12"/>
    </row>
    <row r="1322" spans="1:13" x14ac:dyDescent="0.3">
      <c r="A1322" s="11" t="s">
        <v>1273</v>
      </c>
      <c r="B1322" s="7">
        <v>23940</v>
      </c>
      <c r="C1322" s="7">
        <v>21.535</v>
      </c>
      <c r="D1322" s="2">
        <f>C1322-C1320</f>
        <v>-0.16199999999999903</v>
      </c>
      <c r="E1322" s="8">
        <f>E1320-F1320</f>
        <v>21.463267742295223</v>
      </c>
      <c r="F1322" s="6">
        <f>F1320</f>
        <v>0.14705882352941177</v>
      </c>
      <c r="G1322" s="12">
        <f t="shared" si="347"/>
        <v>7.1732257704777425E-2</v>
      </c>
    </row>
    <row r="1323" spans="1:13" x14ac:dyDescent="0.3">
      <c r="A1323" s="11" t="s">
        <v>1274</v>
      </c>
      <c r="B1323" s="7">
        <v>23960</v>
      </c>
      <c r="C1323" s="7">
        <v>21.35</v>
      </c>
      <c r="D1323" s="2">
        <f t="shared" si="339"/>
        <v>-0.18499999999999872</v>
      </c>
      <c r="E1323" s="8">
        <f t="shared" ref="E1323:E1343" si="353">E1322-F1322</f>
        <v>21.31620891876581</v>
      </c>
      <c r="F1323" s="6">
        <f t="shared" si="338"/>
        <v>0.14705882352941177</v>
      </c>
      <c r="G1323" s="12">
        <f t="shared" ref="G1323:G1343" si="354">C1323-E1323</f>
        <v>3.3791081234191722E-2</v>
      </c>
    </row>
    <row r="1324" spans="1:13" x14ac:dyDescent="0.3">
      <c r="A1324" s="11" t="s">
        <v>1275</v>
      </c>
      <c r="B1324" s="7">
        <v>23980</v>
      </c>
      <c r="C1324" s="7">
        <v>21.178000000000001</v>
      </c>
      <c r="D1324" s="2">
        <f t="shared" si="339"/>
        <v>-0.1720000000000006</v>
      </c>
      <c r="E1324" s="8">
        <f t="shared" si="353"/>
        <v>21.169150095236397</v>
      </c>
      <c r="F1324" s="6">
        <f t="shared" si="338"/>
        <v>0.14705882352941177</v>
      </c>
      <c r="G1324" s="12">
        <f t="shared" si="354"/>
        <v>8.8499047636041439E-3</v>
      </c>
    </row>
    <row r="1325" spans="1:13" x14ac:dyDescent="0.3">
      <c r="A1325" s="13" t="s">
        <v>1276</v>
      </c>
      <c r="B1325" s="24"/>
      <c r="C1325" s="25"/>
      <c r="D1325" s="25"/>
      <c r="E1325" s="25"/>
      <c r="F1325" s="25"/>
      <c r="G1325" s="26"/>
    </row>
    <row r="1326" spans="1:13" x14ac:dyDescent="0.3">
      <c r="A1326" s="11" t="s">
        <v>1277</v>
      </c>
      <c r="B1326" s="7">
        <v>24000</v>
      </c>
      <c r="C1326" s="7">
        <v>21.015999999999998</v>
      </c>
      <c r="D1326" s="2">
        <f>C1326-C1324</f>
        <v>-0.16200000000000259</v>
      </c>
      <c r="E1326" s="8">
        <f>E1324-F1324</f>
        <v>21.022091271706984</v>
      </c>
      <c r="F1326" s="6">
        <f>F1324</f>
        <v>0.14705882352941177</v>
      </c>
      <c r="G1326" s="12">
        <f t="shared" si="354"/>
        <v>-6.0912717069854239E-3</v>
      </c>
    </row>
    <row r="1327" spans="1:13" x14ac:dyDescent="0.3">
      <c r="A1327" s="11" t="s">
        <v>1278</v>
      </c>
      <c r="B1327" s="7">
        <v>24020</v>
      </c>
      <c r="C1327" s="7">
        <v>20.864999999999998</v>
      </c>
      <c r="D1327" s="2">
        <f t="shared" si="339"/>
        <v>-0.1509999999999998</v>
      </c>
      <c r="E1327" s="8">
        <f t="shared" si="353"/>
        <v>20.875032448177571</v>
      </c>
      <c r="F1327" s="6">
        <f t="shared" si="338"/>
        <v>0.14705882352941177</v>
      </c>
      <c r="G1327" s="12">
        <f t="shared" si="354"/>
        <v>-1.0032448177572206E-2</v>
      </c>
    </row>
    <row r="1328" spans="1:13" x14ac:dyDescent="0.3">
      <c r="A1328" s="11" t="s">
        <v>1279</v>
      </c>
      <c r="B1328" s="7">
        <v>24040</v>
      </c>
      <c r="C1328" s="7">
        <v>20.734000000000002</v>
      </c>
      <c r="D1328" s="2">
        <f t="shared" si="339"/>
        <v>-0.13099999999999667</v>
      </c>
      <c r="E1328" s="8">
        <f t="shared" si="353"/>
        <v>20.727973624648158</v>
      </c>
      <c r="F1328" s="6">
        <f t="shared" si="338"/>
        <v>0.14705882352941177</v>
      </c>
      <c r="G1328" s="12">
        <f t="shared" si="354"/>
        <v>6.0263753518441376E-3</v>
      </c>
    </row>
    <row r="1329" spans="1:18" x14ac:dyDescent="0.3">
      <c r="A1329" s="21"/>
      <c r="B1329" s="22"/>
      <c r="C1329" s="22"/>
      <c r="D1329" s="22"/>
      <c r="E1329" s="22"/>
      <c r="F1329" s="22"/>
      <c r="G1329" s="23"/>
      <c r="H1329" s="4" t="s">
        <v>3484</v>
      </c>
      <c r="J1329" s="4"/>
      <c r="O1329" s="3">
        <f>1/O1330</f>
        <v>3.875968992248062E-3</v>
      </c>
      <c r="P1329" s="3">
        <f>O1329*20</f>
        <v>7.7519379844961239E-2</v>
      </c>
      <c r="Q1329" s="3" t="s">
        <v>3200</v>
      </c>
      <c r="R1329" s="3">
        <v>258</v>
      </c>
    </row>
    <row r="1330" spans="1:18" x14ac:dyDescent="0.3">
      <c r="A1330" s="11" t="s">
        <v>1280</v>
      </c>
      <c r="B1330" s="7">
        <v>24060</v>
      </c>
      <c r="C1330" s="7">
        <v>20.61</v>
      </c>
      <c r="D1330" s="2">
        <f>C1330-C1328</f>
        <v>-0.12400000000000233</v>
      </c>
      <c r="E1330" s="8">
        <f>E1328-F1330</f>
        <v>20.650454244803196</v>
      </c>
      <c r="F1330" s="6">
        <f>P1329</f>
        <v>7.7519379844961239E-2</v>
      </c>
      <c r="G1330" s="12">
        <f>C1330-E1330</f>
        <v>-4.0454244803196815E-2</v>
      </c>
      <c r="H1330" s="3">
        <f>B1328</f>
        <v>24040</v>
      </c>
      <c r="I1330" s="3">
        <f>B1337</f>
        <v>24200</v>
      </c>
      <c r="J1330" s="3">
        <f>I1330-H1330</f>
        <v>160</v>
      </c>
      <c r="K1330" s="5">
        <f>E1328</f>
        <v>20.727973624648158</v>
      </c>
      <c r="L1330" s="3">
        <f>C1337</f>
        <v>20.109000000000002</v>
      </c>
      <c r="M1330" s="5">
        <f>L1330-K1330</f>
        <v>-0.61897362464815586</v>
      </c>
      <c r="N1330" s="3">
        <f>J1330/M1330</f>
        <v>-258.49243591106011</v>
      </c>
      <c r="O1330" s="3">
        <v>258</v>
      </c>
    </row>
    <row r="1331" spans="1:18" ht="15.6" customHeight="1" x14ac:dyDescent="0.3">
      <c r="A1331" s="11" t="s">
        <v>1281</v>
      </c>
      <c r="B1331" s="7">
        <v>24080</v>
      </c>
      <c r="C1331" s="7">
        <v>20.498999999999999</v>
      </c>
      <c r="D1331" s="2">
        <f t="shared" si="339"/>
        <v>-0.11100000000000065</v>
      </c>
      <c r="E1331" s="8">
        <f>E1330-F1330</f>
        <v>20.572934864958235</v>
      </c>
      <c r="F1331" s="6">
        <f t="shared" ref="F1331" si="355">F1330</f>
        <v>7.7519379844961239E-2</v>
      </c>
      <c r="G1331" s="12">
        <f t="shared" ref="G1331" si="356">C1331-E1331</f>
        <v>-7.3934864958236091E-2</v>
      </c>
    </row>
    <row r="1332" spans="1:18" ht="15.6" customHeight="1" x14ac:dyDescent="0.3">
      <c r="A1332" s="11" t="s">
        <v>1282</v>
      </c>
      <c r="B1332" s="7">
        <v>24100</v>
      </c>
      <c r="C1332" s="7">
        <v>20.396000000000001</v>
      </c>
      <c r="D1332" s="2">
        <f>C1332-C1331</f>
        <v>-0.10299999999999798</v>
      </c>
      <c r="E1332" s="8">
        <f>E1331-F1331</f>
        <v>20.495415485113273</v>
      </c>
      <c r="F1332" s="6">
        <f>F1331</f>
        <v>7.7519379844961239E-2</v>
      </c>
      <c r="G1332" s="12">
        <f t="shared" si="354"/>
        <v>-9.9415485113272695E-2</v>
      </c>
    </row>
    <row r="1333" spans="1:18" x14ac:dyDescent="0.3">
      <c r="A1333" s="11" t="s">
        <v>1283</v>
      </c>
      <c r="B1333" s="7">
        <v>24120</v>
      </c>
      <c r="C1333" s="7">
        <v>20.280999999999999</v>
      </c>
      <c r="D1333" s="2">
        <f t="shared" si="339"/>
        <v>-0.11500000000000199</v>
      </c>
      <c r="E1333" s="8">
        <f t="shared" si="353"/>
        <v>20.417896105268312</v>
      </c>
      <c r="F1333" s="6">
        <f t="shared" si="338"/>
        <v>7.7519379844961239E-2</v>
      </c>
      <c r="G1333" s="12">
        <f t="shared" si="354"/>
        <v>-0.13689610526831331</v>
      </c>
    </row>
    <row r="1334" spans="1:18" x14ac:dyDescent="0.3">
      <c r="A1334" s="11" t="s">
        <v>1284</v>
      </c>
      <c r="B1334" s="7">
        <v>24140</v>
      </c>
      <c r="C1334" s="7">
        <v>20.2</v>
      </c>
      <c r="D1334" s="2">
        <f t="shared" si="339"/>
        <v>-8.0999999999999517E-2</v>
      </c>
      <c r="E1334" s="8">
        <f t="shared" si="353"/>
        <v>20.340376725423351</v>
      </c>
      <c r="F1334" s="6">
        <f t="shared" si="338"/>
        <v>7.7519379844961239E-2</v>
      </c>
      <c r="G1334" s="12">
        <f t="shared" si="354"/>
        <v>-0.14037672542335144</v>
      </c>
    </row>
    <row r="1335" spans="1:18" x14ac:dyDescent="0.3">
      <c r="A1335" s="11" t="s">
        <v>1285</v>
      </c>
      <c r="B1335" s="7">
        <v>24160</v>
      </c>
      <c r="C1335" s="7">
        <v>20.161999999999999</v>
      </c>
      <c r="D1335" s="2">
        <f t="shared" si="339"/>
        <v>-3.8000000000000256E-2</v>
      </c>
      <c r="E1335" s="8">
        <f t="shared" si="353"/>
        <v>20.262857345578389</v>
      </c>
      <c r="F1335" s="6">
        <f t="shared" si="338"/>
        <v>7.7519379844961239E-2</v>
      </c>
      <c r="G1335" s="12">
        <f t="shared" si="354"/>
        <v>-0.10085734557839032</v>
      </c>
    </row>
    <row r="1336" spans="1:18" x14ac:dyDescent="0.3">
      <c r="A1336" s="11" t="s">
        <v>1286</v>
      </c>
      <c r="B1336" s="7">
        <v>24180</v>
      </c>
      <c r="C1336" s="7">
        <v>20.140999999999998</v>
      </c>
      <c r="D1336" s="2">
        <f t="shared" si="339"/>
        <v>-2.1000000000000796E-2</v>
      </c>
      <c r="E1336" s="8">
        <f t="shared" si="353"/>
        <v>20.185337965733428</v>
      </c>
      <c r="F1336" s="6">
        <f t="shared" si="338"/>
        <v>7.7519379844961239E-2</v>
      </c>
      <c r="G1336" s="12">
        <f t="shared" si="354"/>
        <v>-4.4337965733429741E-2</v>
      </c>
    </row>
    <row r="1337" spans="1:18" x14ac:dyDescent="0.3">
      <c r="A1337" s="11" t="s">
        <v>1287</v>
      </c>
      <c r="B1337" s="7">
        <v>24200</v>
      </c>
      <c r="C1337" s="7">
        <v>20.109000000000002</v>
      </c>
      <c r="D1337" s="2">
        <f t="shared" si="339"/>
        <v>-3.1999999999996476E-2</v>
      </c>
      <c r="E1337" s="8">
        <f t="shared" si="353"/>
        <v>20.107818585888467</v>
      </c>
      <c r="F1337" s="6">
        <f t="shared" si="338"/>
        <v>7.7519379844961239E-2</v>
      </c>
      <c r="G1337" s="12">
        <f t="shared" si="354"/>
        <v>1.1814141115351617E-3</v>
      </c>
    </row>
    <row r="1338" spans="1:18" x14ac:dyDescent="0.3">
      <c r="A1338" s="21"/>
      <c r="B1338" s="22"/>
      <c r="C1338" s="22"/>
      <c r="D1338" s="22"/>
      <c r="E1338" s="22"/>
      <c r="F1338" s="22"/>
      <c r="G1338" s="23"/>
      <c r="H1338" s="4" t="s">
        <v>3485</v>
      </c>
      <c r="J1338" s="4"/>
      <c r="O1338" s="3">
        <f>1/O1339</f>
        <v>3.4094783498124785E-4</v>
      </c>
      <c r="P1338" s="3">
        <f>O1338*20</f>
        <v>6.8189566996249571E-3</v>
      </c>
      <c r="Q1338" s="3" t="s">
        <v>3200</v>
      </c>
      <c r="R1338" s="3">
        <v>2933</v>
      </c>
    </row>
    <row r="1339" spans="1:18" x14ac:dyDescent="0.3">
      <c r="A1339" s="11" t="s">
        <v>1288</v>
      </c>
      <c r="B1339" s="7">
        <v>24220</v>
      </c>
      <c r="C1339" s="7">
        <v>20.068999999999999</v>
      </c>
      <c r="D1339" s="2">
        <f>C1339-C1337</f>
        <v>-4.00000000000027E-2</v>
      </c>
      <c r="E1339" s="8">
        <f>E1337-F1339</f>
        <v>20.100999629188841</v>
      </c>
      <c r="F1339" s="6">
        <f>P1338</f>
        <v>6.8189566996249571E-3</v>
      </c>
      <c r="G1339" s="12">
        <f>C1339-E1339</f>
        <v>-3.1999629188842249E-2</v>
      </c>
      <c r="H1339" s="3">
        <f>B1337</f>
        <v>24200</v>
      </c>
      <c r="I1339" s="3">
        <f>B1350</f>
        <v>24440</v>
      </c>
      <c r="J1339" s="3">
        <f>I1339-H1339</f>
        <v>240</v>
      </c>
      <c r="K1339" s="5">
        <f>E1337</f>
        <v>20.107818585888467</v>
      </c>
      <c r="L1339" s="3">
        <f>C1350</f>
        <v>20.026</v>
      </c>
      <c r="M1339" s="5">
        <f>L1339-K1339</f>
        <v>-8.1818585888466799E-2</v>
      </c>
      <c r="N1339" s="3">
        <f>J1339/M1339</f>
        <v>-2933.3188467368823</v>
      </c>
      <c r="O1339" s="3">
        <v>2933</v>
      </c>
    </row>
    <row r="1340" spans="1:18" x14ac:dyDescent="0.3">
      <c r="A1340" s="11" t="s">
        <v>1289</v>
      </c>
      <c r="B1340" s="7">
        <v>24240</v>
      </c>
      <c r="C1340" s="7">
        <v>20.041</v>
      </c>
      <c r="D1340" s="2">
        <f t="shared" si="339"/>
        <v>-2.7999999999998693E-2</v>
      </c>
      <c r="E1340" s="8">
        <f>E1339-F1339</f>
        <v>20.094180672489216</v>
      </c>
      <c r="F1340" s="6">
        <f t="shared" ref="F1340" si="357">F1339</f>
        <v>6.8189566996249571E-3</v>
      </c>
      <c r="G1340" s="12">
        <f t="shared" ref="G1340" si="358">C1340-E1340</f>
        <v>-5.3180672489215652E-2</v>
      </c>
    </row>
    <row r="1341" spans="1:18" x14ac:dyDescent="0.3">
      <c r="A1341" s="11" t="s">
        <v>1290</v>
      </c>
      <c r="B1341" s="7">
        <v>24260</v>
      </c>
      <c r="C1341" s="7">
        <v>20.021000000000001</v>
      </c>
      <c r="D1341" s="2">
        <f t="shared" si="339"/>
        <v>-1.9999999999999574E-2</v>
      </c>
      <c r="E1341" s="8">
        <f t="shared" si="353"/>
        <v>20.087361715789591</v>
      </c>
      <c r="F1341" s="6">
        <f t="shared" si="338"/>
        <v>6.8189566996249571E-3</v>
      </c>
      <c r="G1341" s="12">
        <f t="shared" si="354"/>
        <v>-6.6361715789589937E-2</v>
      </c>
    </row>
    <row r="1342" spans="1:18" x14ac:dyDescent="0.3">
      <c r="A1342" s="11" t="s">
        <v>1291</v>
      </c>
      <c r="B1342" s="7">
        <v>24280</v>
      </c>
      <c r="C1342" s="7">
        <v>20.021000000000001</v>
      </c>
      <c r="D1342" s="2">
        <f t="shared" si="339"/>
        <v>0</v>
      </c>
      <c r="E1342" s="8">
        <f t="shared" si="353"/>
        <v>20.080542759089965</v>
      </c>
      <c r="F1342" s="6">
        <f t="shared" ref="F1342:F1414" si="359">F1341</f>
        <v>6.8189566996249571E-3</v>
      </c>
      <c r="G1342" s="12">
        <f t="shared" si="354"/>
        <v>-5.9542759089964648E-2</v>
      </c>
    </row>
    <row r="1343" spans="1:18" x14ac:dyDescent="0.3">
      <c r="A1343" s="11" t="s">
        <v>1292</v>
      </c>
      <c r="B1343" s="7">
        <v>24300</v>
      </c>
      <c r="C1343" s="7">
        <v>20.007999999999999</v>
      </c>
      <c r="D1343" s="2">
        <f t="shared" si="339"/>
        <v>-1.3000000000001677E-2</v>
      </c>
      <c r="E1343" s="8">
        <f t="shared" si="353"/>
        <v>20.07372380239034</v>
      </c>
      <c r="F1343" s="6">
        <f t="shared" si="359"/>
        <v>6.8189566996249571E-3</v>
      </c>
      <c r="G1343" s="12">
        <f t="shared" si="354"/>
        <v>-6.5723802390341035E-2</v>
      </c>
    </row>
    <row r="1344" spans="1:18" x14ac:dyDescent="0.3">
      <c r="A1344" s="11" t="s">
        <v>1293</v>
      </c>
      <c r="B1344" s="7">
        <v>24320</v>
      </c>
      <c r="C1344" s="7">
        <v>20.013999999999999</v>
      </c>
      <c r="D1344" s="2">
        <f t="shared" si="339"/>
        <v>6.0000000000002274E-3</v>
      </c>
      <c r="E1344" s="8">
        <f t="shared" ref="E1344:E1350" si="360">E1343-F1343</f>
        <v>20.066904845690715</v>
      </c>
      <c r="F1344" s="6">
        <f t="shared" si="359"/>
        <v>6.8189566996249571E-3</v>
      </c>
      <c r="G1344" s="12">
        <f t="shared" ref="G1344:G1356" si="361">C1344-E1344</f>
        <v>-5.2904845690715518E-2</v>
      </c>
    </row>
    <row r="1345" spans="1:18" x14ac:dyDescent="0.3">
      <c r="A1345" s="11" t="s">
        <v>1294</v>
      </c>
      <c r="B1345" s="7">
        <v>24340</v>
      </c>
      <c r="C1345" s="7">
        <v>19.986999999999998</v>
      </c>
      <c r="D1345" s="2">
        <f t="shared" si="339"/>
        <v>-2.7000000000001023E-2</v>
      </c>
      <c r="E1345" s="8">
        <f t="shared" si="360"/>
        <v>20.06008588899109</v>
      </c>
      <c r="F1345" s="6">
        <f t="shared" si="359"/>
        <v>6.8189566996249571E-3</v>
      </c>
      <c r="G1345" s="12">
        <f t="shared" si="361"/>
        <v>-7.3085888991091252E-2</v>
      </c>
    </row>
    <row r="1346" spans="1:18" x14ac:dyDescent="0.3">
      <c r="A1346" s="11" t="s">
        <v>1295</v>
      </c>
      <c r="B1346" s="7">
        <v>24360</v>
      </c>
      <c r="C1346" s="7">
        <v>19.959</v>
      </c>
      <c r="D1346" s="2">
        <f t="shared" ref="D1346:D1423" si="362">C1346-C1345</f>
        <v>-2.7999999999998693E-2</v>
      </c>
      <c r="E1346" s="8">
        <f t="shared" si="360"/>
        <v>20.053266932291464</v>
      </c>
      <c r="F1346" s="6">
        <f t="shared" si="359"/>
        <v>6.8189566996249571E-3</v>
      </c>
      <c r="G1346" s="12">
        <f t="shared" si="361"/>
        <v>-9.4266932291464656E-2</v>
      </c>
    </row>
    <row r="1347" spans="1:18" x14ac:dyDescent="0.3">
      <c r="A1347" s="11" t="s">
        <v>1296</v>
      </c>
      <c r="B1347" s="7">
        <v>24380</v>
      </c>
      <c r="C1347" s="7">
        <v>19.960999999999999</v>
      </c>
      <c r="D1347" s="2">
        <f t="shared" si="362"/>
        <v>1.9999999999988916E-3</v>
      </c>
      <c r="E1347" s="8">
        <f t="shared" si="360"/>
        <v>20.046447975591839</v>
      </c>
      <c r="F1347" s="6">
        <f t="shared" si="359"/>
        <v>6.8189566996249571E-3</v>
      </c>
      <c r="G1347" s="12">
        <f t="shared" si="361"/>
        <v>-8.5447975591840475E-2</v>
      </c>
    </row>
    <row r="1348" spans="1:18" x14ac:dyDescent="0.3">
      <c r="A1348" s="11" t="s">
        <v>1297</v>
      </c>
      <c r="B1348" s="7">
        <v>24400</v>
      </c>
      <c r="C1348" s="7">
        <v>19.962</v>
      </c>
      <c r="D1348" s="2">
        <f t="shared" si="362"/>
        <v>1.0000000000012221E-3</v>
      </c>
      <c r="E1348" s="8">
        <f t="shared" si="360"/>
        <v>20.039629018892214</v>
      </c>
      <c r="F1348" s="6">
        <f t="shared" si="359"/>
        <v>6.8189566996249571E-3</v>
      </c>
      <c r="G1348" s="12">
        <f t="shared" si="361"/>
        <v>-7.7629018892213963E-2</v>
      </c>
    </row>
    <row r="1349" spans="1:18" x14ac:dyDescent="0.3">
      <c r="A1349" s="11" t="s">
        <v>1298</v>
      </c>
      <c r="B1349" s="7">
        <v>24420</v>
      </c>
      <c r="C1349" s="7">
        <v>19.989999999999998</v>
      </c>
      <c r="D1349" s="2">
        <f t="shared" si="362"/>
        <v>2.7999999999998693E-2</v>
      </c>
      <c r="E1349" s="8">
        <f t="shared" si="360"/>
        <v>20.032810062192588</v>
      </c>
      <c r="F1349" s="6">
        <f t="shared" si="359"/>
        <v>6.8189566996249571E-3</v>
      </c>
      <c r="G1349" s="12">
        <f t="shared" si="361"/>
        <v>-4.2810062192589982E-2</v>
      </c>
    </row>
    <row r="1350" spans="1:18" x14ac:dyDescent="0.3">
      <c r="A1350" s="11" t="s">
        <v>1299</v>
      </c>
      <c r="B1350" s="7">
        <v>24440</v>
      </c>
      <c r="C1350" s="7">
        <v>20.026</v>
      </c>
      <c r="D1350" s="2">
        <f t="shared" si="362"/>
        <v>3.6000000000001364E-2</v>
      </c>
      <c r="E1350" s="8">
        <f t="shared" si="360"/>
        <v>20.025991105492963</v>
      </c>
      <c r="F1350" s="6">
        <f t="shared" si="359"/>
        <v>6.8189566996249571E-3</v>
      </c>
      <c r="G1350" s="12">
        <f t="shared" si="361"/>
        <v>8.8945070366719392E-6</v>
      </c>
    </row>
    <row r="1351" spans="1:18" x14ac:dyDescent="0.3">
      <c r="A1351" s="21"/>
      <c r="B1351" s="22"/>
      <c r="C1351" s="22"/>
      <c r="D1351" s="22"/>
      <c r="E1351" s="22"/>
      <c r="F1351" s="22"/>
      <c r="G1351" s="23"/>
      <c r="H1351" s="4" t="s">
        <v>3218</v>
      </c>
      <c r="J1351" s="4"/>
      <c r="O1351" s="3">
        <f>1/O1352</f>
        <v>4.329004329004329E-3</v>
      </c>
      <c r="P1351" s="3">
        <f>O1351*20</f>
        <v>8.6580086580086577E-2</v>
      </c>
      <c r="Q1351" s="3" t="s">
        <v>3202</v>
      </c>
      <c r="R1351" s="3">
        <v>231</v>
      </c>
    </row>
    <row r="1352" spans="1:18" x14ac:dyDescent="0.3">
      <c r="A1352" s="11" t="s">
        <v>1300</v>
      </c>
      <c r="B1352" s="7">
        <v>24460</v>
      </c>
      <c r="C1352" s="7">
        <v>20.079999999999998</v>
      </c>
      <c r="D1352" s="2">
        <f>C1352-C1350</f>
        <v>5.3999999999998494E-2</v>
      </c>
      <c r="E1352" s="8">
        <f>E1350+F1352</f>
        <v>20.112571192073048</v>
      </c>
      <c r="F1352" s="6">
        <f>P1351</f>
        <v>8.6580086580086577E-2</v>
      </c>
      <c r="G1352" s="12">
        <f>C1352-E1352</f>
        <v>-3.2571192073049815E-2</v>
      </c>
      <c r="H1352" s="3">
        <f>B1350</f>
        <v>24440</v>
      </c>
      <c r="I1352" s="3">
        <f>B1373</f>
        <v>24800</v>
      </c>
      <c r="J1352" s="3">
        <f>I1352-H1352</f>
        <v>360</v>
      </c>
      <c r="K1352" s="5">
        <f>E1350</f>
        <v>20.025991105492963</v>
      </c>
      <c r="L1352" s="3">
        <f>C1373</f>
        <v>21.582999999999998</v>
      </c>
      <c r="M1352" s="5">
        <f>L1352-K1352</f>
        <v>1.5570088945070353</v>
      </c>
      <c r="N1352" s="3">
        <f>J1352/M1352</f>
        <v>231.21255200920328</v>
      </c>
      <c r="O1352" s="3">
        <v>231</v>
      </c>
    </row>
    <row r="1353" spans="1:18" x14ac:dyDescent="0.3">
      <c r="A1353" s="11" t="s">
        <v>1301</v>
      </c>
      <c r="B1353" s="7">
        <v>24480</v>
      </c>
      <c r="C1353" s="7">
        <v>20.155999999999999</v>
      </c>
      <c r="D1353" s="2">
        <f>C1353-C1352</f>
        <v>7.6000000000000512E-2</v>
      </c>
      <c r="E1353" s="8">
        <f>E1352+F1352</f>
        <v>20.199151278653133</v>
      </c>
      <c r="F1353" s="6">
        <f t="shared" ref="F1353" si="363">F1352</f>
        <v>8.6580086580086577E-2</v>
      </c>
      <c r="G1353" s="12">
        <f t="shared" ref="G1353" si="364">C1353-E1353</f>
        <v>-4.3151278653134284E-2</v>
      </c>
    </row>
    <row r="1354" spans="1:18" x14ac:dyDescent="0.3">
      <c r="A1354" s="11" t="s">
        <v>3392</v>
      </c>
      <c r="B1354" s="70" t="s">
        <v>3393</v>
      </c>
      <c r="C1354" s="7"/>
      <c r="D1354" s="2"/>
      <c r="E1354" s="8"/>
      <c r="F1354" s="6"/>
      <c r="G1354" s="12"/>
    </row>
    <row r="1355" spans="1:18" x14ac:dyDescent="0.3">
      <c r="A1355" s="11" t="s">
        <v>3394</v>
      </c>
      <c r="B1355" s="70" t="s">
        <v>3395</v>
      </c>
      <c r="C1355" s="7"/>
      <c r="D1355" s="2"/>
      <c r="E1355" s="8"/>
      <c r="F1355" s="6"/>
      <c r="G1355" s="12"/>
    </row>
    <row r="1356" spans="1:18" x14ac:dyDescent="0.3">
      <c r="A1356" s="11" t="s">
        <v>1302</v>
      </c>
      <c r="B1356" s="7">
        <v>24500</v>
      </c>
      <c r="C1356" s="7">
        <v>20.239000000000001</v>
      </c>
      <c r="D1356" s="2">
        <f>C1356-C1353</f>
        <v>8.3000000000001961E-2</v>
      </c>
      <c r="E1356" s="8">
        <f>E1353+F1353</f>
        <v>20.285731365233218</v>
      </c>
      <c r="F1356" s="6">
        <f>F1353</f>
        <v>8.6580086580086577E-2</v>
      </c>
      <c r="G1356" s="12">
        <f t="shared" si="361"/>
        <v>-4.6731365233217304E-2</v>
      </c>
    </row>
    <row r="1357" spans="1:18" x14ac:dyDescent="0.3">
      <c r="A1357" s="11" t="s">
        <v>1303</v>
      </c>
      <c r="B1357" s="7">
        <v>24520</v>
      </c>
      <c r="C1357" s="7">
        <v>20.331</v>
      </c>
      <c r="D1357" s="2">
        <f t="shared" si="362"/>
        <v>9.1999999999998749E-2</v>
      </c>
      <c r="E1357" s="8">
        <f t="shared" ref="E1357:E1373" si="365">E1356+F1356</f>
        <v>20.372311451813303</v>
      </c>
      <c r="F1357" s="6">
        <f t="shared" si="359"/>
        <v>8.6580086580086577E-2</v>
      </c>
      <c r="G1357" s="12">
        <f t="shared" ref="G1357:G1366" si="366">C1357-E1357</f>
        <v>-4.1311451813303535E-2</v>
      </c>
    </row>
    <row r="1358" spans="1:18" x14ac:dyDescent="0.3">
      <c r="A1358" s="11" t="s">
        <v>1304</v>
      </c>
      <c r="B1358" s="7">
        <v>24540</v>
      </c>
      <c r="C1358" s="7">
        <v>20.422999999999998</v>
      </c>
      <c r="D1358" s="2">
        <f t="shared" si="362"/>
        <v>9.1999999999998749E-2</v>
      </c>
      <c r="E1358" s="8">
        <f t="shared" si="365"/>
        <v>20.458891538393388</v>
      </c>
      <c r="F1358" s="6">
        <f t="shared" si="359"/>
        <v>8.6580086580086577E-2</v>
      </c>
      <c r="G1358" s="12">
        <f t="shared" si="366"/>
        <v>-3.5891538393389766E-2</v>
      </c>
    </row>
    <row r="1359" spans="1:18" x14ac:dyDescent="0.3">
      <c r="A1359" s="11" t="s">
        <v>1305</v>
      </c>
      <c r="B1359" s="7">
        <v>24560</v>
      </c>
      <c r="C1359" s="7">
        <v>20.504999999999999</v>
      </c>
      <c r="D1359" s="2">
        <f t="shared" si="362"/>
        <v>8.2000000000000739E-2</v>
      </c>
      <c r="E1359" s="8">
        <f t="shared" si="365"/>
        <v>20.545471624973473</v>
      </c>
      <c r="F1359" s="6">
        <f t="shared" si="359"/>
        <v>8.6580086580086577E-2</v>
      </c>
      <c r="G1359" s="12">
        <f t="shared" si="366"/>
        <v>-4.0471624973474007E-2</v>
      </c>
    </row>
    <row r="1360" spans="1:18" x14ac:dyDescent="0.3">
      <c r="A1360" s="11" t="s">
        <v>1306</v>
      </c>
      <c r="B1360" s="7">
        <v>24580</v>
      </c>
      <c r="C1360" s="7">
        <v>20.623999999999999</v>
      </c>
      <c r="D1360" s="2">
        <f t="shared" si="362"/>
        <v>0.11899999999999977</v>
      </c>
      <c r="E1360" s="8">
        <f t="shared" si="365"/>
        <v>20.632051711553558</v>
      </c>
      <c r="F1360" s="6">
        <f t="shared" si="359"/>
        <v>8.6580086580086577E-2</v>
      </c>
      <c r="G1360" s="12">
        <f t="shared" si="366"/>
        <v>-8.0517115535592154E-3</v>
      </c>
    </row>
    <row r="1361" spans="1:18" x14ac:dyDescent="0.3">
      <c r="A1361" s="11" t="s">
        <v>1307</v>
      </c>
      <c r="B1361" s="7">
        <v>24600</v>
      </c>
      <c r="C1361" s="7">
        <v>20.771999999999998</v>
      </c>
      <c r="D1361" s="2">
        <f t="shared" si="362"/>
        <v>0.14799999999999969</v>
      </c>
      <c r="E1361" s="8">
        <f t="shared" si="365"/>
        <v>20.718631798133643</v>
      </c>
      <c r="F1361" s="6">
        <f t="shared" si="359"/>
        <v>8.6580086580086577E-2</v>
      </c>
      <c r="G1361" s="12">
        <f t="shared" si="366"/>
        <v>5.3368201866355491E-2</v>
      </c>
    </row>
    <row r="1362" spans="1:18" x14ac:dyDescent="0.3">
      <c r="A1362" s="11" t="s">
        <v>1308</v>
      </c>
      <c r="B1362" s="7">
        <v>24620</v>
      </c>
      <c r="C1362" s="7">
        <v>20.933</v>
      </c>
      <c r="D1362" s="2">
        <f t="shared" si="362"/>
        <v>0.16100000000000136</v>
      </c>
      <c r="E1362" s="8">
        <f t="shared" si="365"/>
        <v>20.805211884713728</v>
      </c>
      <c r="F1362" s="6">
        <f t="shared" si="359"/>
        <v>8.6580086580086577E-2</v>
      </c>
      <c r="G1362" s="12">
        <f t="shared" si="366"/>
        <v>0.12778811528627187</v>
      </c>
    </row>
    <row r="1363" spans="1:18" x14ac:dyDescent="0.3">
      <c r="A1363" s="11" t="s">
        <v>1309</v>
      </c>
      <c r="B1363" s="7">
        <v>24640</v>
      </c>
      <c r="C1363" s="7">
        <v>21.099</v>
      </c>
      <c r="D1363" s="2">
        <f t="shared" si="362"/>
        <v>0.16600000000000037</v>
      </c>
      <c r="E1363" s="8">
        <f t="shared" si="365"/>
        <v>20.891791971293813</v>
      </c>
      <c r="F1363" s="6">
        <f t="shared" si="359"/>
        <v>8.6580086580086577E-2</v>
      </c>
      <c r="G1363" s="12">
        <f t="shared" si="366"/>
        <v>0.20720802870618726</v>
      </c>
    </row>
    <row r="1364" spans="1:18" x14ac:dyDescent="0.3">
      <c r="A1364" s="11" t="s">
        <v>1310</v>
      </c>
      <c r="B1364" s="7">
        <v>24660</v>
      </c>
      <c r="C1364" s="7">
        <v>21.201000000000001</v>
      </c>
      <c r="D1364" s="2">
        <f t="shared" si="362"/>
        <v>0.10200000000000031</v>
      </c>
      <c r="E1364" s="8">
        <f t="shared" si="365"/>
        <v>20.978372057873898</v>
      </c>
      <c r="F1364" s="6">
        <f t="shared" si="359"/>
        <v>8.6580086580086577E-2</v>
      </c>
      <c r="G1364" s="12">
        <f t="shared" si="366"/>
        <v>0.2226279421261026</v>
      </c>
    </row>
    <row r="1365" spans="1:18" x14ac:dyDescent="0.3">
      <c r="A1365" s="11" t="s">
        <v>1311</v>
      </c>
      <c r="B1365" s="7">
        <v>24680</v>
      </c>
      <c r="C1365" s="7">
        <v>21.271000000000001</v>
      </c>
      <c r="D1365" s="2">
        <f t="shared" si="362"/>
        <v>7.0000000000000284E-2</v>
      </c>
      <c r="E1365" s="8">
        <f t="shared" si="365"/>
        <v>21.064952144453983</v>
      </c>
      <c r="F1365" s="6">
        <f t="shared" si="359"/>
        <v>8.6580086580086577E-2</v>
      </c>
      <c r="G1365" s="12">
        <f t="shared" si="366"/>
        <v>0.2060478555460179</v>
      </c>
    </row>
    <row r="1366" spans="1:18" x14ac:dyDescent="0.3">
      <c r="A1366" s="11" t="s">
        <v>1312</v>
      </c>
      <c r="B1366" s="7">
        <v>24700</v>
      </c>
      <c r="C1366" s="7">
        <v>21.331</v>
      </c>
      <c r="D1366" s="2">
        <f t="shared" si="362"/>
        <v>5.9999999999998721E-2</v>
      </c>
      <c r="E1366" s="8">
        <f t="shared" si="365"/>
        <v>21.151532231034068</v>
      </c>
      <c r="F1366" s="6">
        <f t="shared" si="359"/>
        <v>8.6580086580086577E-2</v>
      </c>
      <c r="G1366" s="12">
        <f t="shared" si="366"/>
        <v>0.17946776896593164</v>
      </c>
    </row>
    <row r="1367" spans="1:18" x14ac:dyDescent="0.3">
      <c r="A1367" s="11" t="s">
        <v>3396</v>
      </c>
      <c r="B1367" s="70" t="s">
        <v>3397</v>
      </c>
      <c r="C1367" s="7"/>
      <c r="D1367" s="2"/>
      <c r="E1367" s="8"/>
      <c r="F1367" s="6"/>
      <c r="G1367" s="12"/>
    </row>
    <row r="1368" spans="1:18" x14ac:dyDescent="0.3">
      <c r="A1368" s="11" t="s">
        <v>3398</v>
      </c>
      <c r="B1368" s="70" t="s">
        <v>3399</v>
      </c>
      <c r="C1368" s="7"/>
      <c r="D1368" s="2"/>
      <c r="E1368" s="8"/>
      <c r="F1368" s="6"/>
      <c r="G1368" s="12"/>
    </row>
    <row r="1369" spans="1:18" x14ac:dyDescent="0.3">
      <c r="A1369" s="11" t="s">
        <v>1313</v>
      </c>
      <c r="B1369" s="7">
        <v>24720</v>
      </c>
      <c r="C1369" s="7">
        <v>21.396999999999998</v>
      </c>
      <c r="D1369" s="2">
        <f>C1369-C1366</f>
        <v>6.5999999999998948E-2</v>
      </c>
      <c r="E1369" s="8">
        <f>E1366+F1366</f>
        <v>21.238112317614153</v>
      </c>
      <c r="F1369" s="6">
        <f>F1366</f>
        <v>8.6580086580086577E-2</v>
      </c>
      <c r="G1369" s="12">
        <f t="shared" ref="G1369:G1384" si="367">C1369-E1369</f>
        <v>0.15888768238584561</v>
      </c>
    </row>
    <row r="1370" spans="1:18" x14ac:dyDescent="0.3">
      <c r="A1370" s="11" t="s">
        <v>1314</v>
      </c>
      <c r="B1370" s="7">
        <v>24740</v>
      </c>
      <c r="C1370" s="7">
        <v>21.463000000000001</v>
      </c>
      <c r="D1370" s="2">
        <f>C1370-C1369</f>
        <v>6.6000000000002501E-2</v>
      </c>
      <c r="E1370" s="8">
        <f t="shared" si="365"/>
        <v>21.324692404194238</v>
      </c>
      <c r="F1370" s="6">
        <f>F1369</f>
        <v>8.6580086580086577E-2</v>
      </c>
      <c r="G1370" s="12">
        <f t="shared" si="367"/>
        <v>0.13830759580576313</v>
      </c>
    </row>
    <row r="1371" spans="1:18" x14ac:dyDescent="0.3">
      <c r="A1371" s="11" t="s">
        <v>1315</v>
      </c>
      <c r="B1371" s="7">
        <v>24760</v>
      </c>
      <c r="C1371" s="7">
        <v>21.530999999999999</v>
      </c>
      <c r="D1371" s="2">
        <f>C1371-C1370</f>
        <v>6.799999999999784E-2</v>
      </c>
      <c r="E1371" s="8">
        <f t="shared" si="365"/>
        <v>21.411272490774323</v>
      </c>
      <c r="F1371" s="6">
        <f>F1370</f>
        <v>8.6580086580086577E-2</v>
      </c>
      <c r="G1371" s="12">
        <f>C1371-E1371</f>
        <v>0.11972750922567599</v>
      </c>
      <c r="K1371" s="5"/>
      <c r="M1371" s="5"/>
    </row>
    <row r="1372" spans="1:18" x14ac:dyDescent="0.3">
      <c r="A1372" s="11" t="s">
        <v>1316</v>
      </c>
      <c r="B1372" s="7">
        <v>24780</v>
      </c>
      <c r="C1372" s="7">
        <v>21.577999999999999</v>
      </c>
      <c r="D1372" s="2">
        <f t="shared" si="362"/>
        <v>4.7000000000000597E-2</v>
      </c>
      <c r="E1372" s="8">
        <f t="shared" si="365"/>
        <v>21.497852577354408</v>
      </c>
      <c r="F1372" s="6">
        <f t="shared" ref="F1372" si="368">F1371</f>
        <v>8.6580086580086577E-2</v>
      </c>
      <c r="G1372" s="12">
        <f t="shared" ref="G1372" si="369">C1372-E1372</f>
        <v>8.0147422645591604E-2</v>
      </c>
    </row>
    <row r="1373" spans="1:18" x14ac:dyDescent="0.3">
      <c r="A1373" s="11" t="s">
        <v>1317</v>
      </c>
      <c r="B1373" s="7">
        <v>24800</v>
      </c>
      <c r="C1373" s="7">
        <v>21.582999999999998</v>
      </c>
      <c r="D1373" s="2">
        <f t="shared" si="362"/>
        <v>4.9999999999990052E-3</v>
      </c>
      <c r="E1373" s="8">
        <f t="shared" si="365"/>
        <v>21.584432663934493</v>
      </c>
      <c r="F1373" s="6">
        <f t="shared" si="359"/>
        <v>8.6580086580086577E-2</v>
      </c>
      <c r="G1373" s="12">
        <f t="shared" si="367"/>
        <v>-1.4326639344943715E-3</v>
      </c>
    </row>
    <row r="1374" spans="1:18" x14ac:dyDescent="0.3">
      <c r="A1374" s="11"/>
      <c r="B1374" s="7"/>
      <c r="C1374" s="7"/>
      <c r="D1374" s="2"/>
      <c r="E1374" s="8"/>
      <c r="F1374" s="6"/>
      <c r="G1374" s="12"/>
      <c r="H1374" s="4" t="s">
        <v>3215</v>
      </c>
      <c r="J1374" s="4"/>
      <c r="O1374" s="3">
        <f>1/O1375</f>
        <v>6.0975609756097563E-3</v>
      </c>
      <c r="P1374" s="3">
        <f>O1374*20</f>
        <v>0.12195121951219512</v>
      </c>
      <c r="Q1374" s="3" t="s">
        <v>3200</v>
      </c>
      <c r="R1374" s="3">
        <v>164</v>
      </c>
    </row>
    <row r="1375" spans="1:18" x14ac:dyDescent="0.3">
      <c r="A1375" s="11" t="s">
        <v>1318</v>
      </c>
      <c r="B1375" s="7">
        <v>24820</v>
      </c>
      <c r="C1375" s="7">
        <v>21.526</v>
      </c>
      <c r="D1375" s="2">
        <f>C1375-C1373</f>
        <v>-5.6999999999998607E-2</v>
      </c>
      <c r="E1375" s="8">
        <f>E1373-F1375</f>
        <v>21.462481444422298</v>
      </c>
      <c r="F1375" s="6">
        <f>P1374</f>
        <v>0.12195121951219512</v>
      </c>
      <c r="G1375" s="12">
        <f t="shared" si="367"/>
        <v>6.3518555577701363E-2</v>
      </c>
      <c r="H1375" s="3">
        <f>B1373</f>
        <v>24800</v>
      </c>
      <c r="I1375" s="3">
        <f>B1399</f>
        <v>25200</v>
      </c>
      <c r="J1375" s="3">
        <f>I1375-H1375</f>
        <v>400</v>
      </c>
      <c r="K1375" s="5">
        <f>E1373</f>
        <v>21.584432663934493</v>
      </c>
      <c r="L1375" s="3">
        <f>C1399</f>
        <v>19.152000000000001</v>
      </c>
      <c r="M1375" s="5">
        <f>L1375-K1375</f>
        <v>-2.4324326639344918</v>
      </c>
      <c r="N1375" s="3">
        <f>J1375/M1375</f>
        <v>-164.44442879376351</v>
      </c>
      <c r="O1375" s="3">
        <v>164</v>
      </c>
    </row>
    <row r="1376" spans="1:18" x14ac:dyDescent="0.3">
      <c r="A1376" s="11" t="s">
        <v>1319</v>
      </c>
      <c r="B1376" s="7">
        <v>24840</v>
      </c>
      <c r="C1376" s="7">
        <v>21.416</v>
      </c>
      <c r="D1376" s="2">
        <f>C1376-C1375</f>
        <v>-0.10999999999999943</v>
      </c>
      <c r="E1376" s="8">
        <f>E1375-F1376</f>
        <v>21.340530224910104</v>
      </c>
      <c r="F1376" s="6">
        <f>P1374</f>
        <v>0.12195121951219512</v>
      </c>
      <c r="G1376" s="12">
        <f>C1376-E1376</f>
        <v>7.5469775089896274E-2</v>
      </c>
    </row>
    <row r="1377" spans="1:7" x14ac:dyDescent="0.3">
      <c r="A1377" s="11" t="s">
        <v>1320</v>
      </c>
      <c r="B1377" s="7">
        <v>24860</v>
      </c>
      <c r="C1377" s="7">
        <v>21.303000000000001</v>
      </c>
      <c r="D1377" s="2">
        <f t="shared" si="362"/>
        <v>-0.11299999999999955</v>
      </c>
      <c r="E1377" s="8">
        <f>E1376-F1376</f>
        <v>21.21857900539791</v>
      </c>
      <c r="F1377" s="6">
        <f t="shared" ref="F1377" si="370">F1376</f>
        <v>0.12195121951219512</v>
      </c>
      <c r="G1377" s="12">
        <f t="shared" ref="G1377" si="371">C1377-E1377</f>
        <v>8.4420994602091071E-2</v>
      </c>
    </row>
    <row r="1378" spans="1:7" x14ac:dyDescent="0.3">
      <c r="A1378" s="11" t="s">
        <v>1321</v>
      </c>
      <c r="B1378" s="7">
        <v>24880</v>
      </c>
      <c r="C1378" s="7">
        <v>21.187999999999999</v>
      </c>
      <c r="D1378" s="2">
        <f t="shared" si="362"/>
        <v>-0.11500000000000199</v>
      </c>
      <c r="E1378" s="8">
        <f t="shared" ref="E1378:E1392" si="372">E1377-F1377</f>
        <v>21.096627785885715</v>
      </c>
      <c r="F1378" s="6">
        <f t="shared" si="359"/>
        <v>0.12195121951219512</v>
      </c>
      <c r="G1378" s="12">
        <f t="shared" si="367"/>
        <v>9.1372214114283423E-2</v>
      </c>
    </row>
    <row r="1379" spans="1:7" x14ac:dyDescent="0.3">
      <c r="A1379" s="11" t="s">
        <v>1322</v>
      </c>
      <c r="B1379" s="7">
        <v>24900</v>
      </c>
      <c r="C1379" s="7">
        <v>21.065999999999999</v>
      </c>
      <c r="D1379" s="2">
        <f t="shared" si="362"/>
        <v>-0.12199999999999989</v>
      </c>
      <c r="E1379" s="8">
        <f t="shared" si="372"/>
        <v>20.974676566373521</v>
      </c>
      <c r="F1379" s="6">
        <f t="shared" si="359"/>
        <v>0.12195121951219512</v>
      </c>
      <c r="G1379" s="12">
        <f t="shared" si="367"/>
        <v>9.1323433626477879E-2</v>
      </c>
    </row>
    <row r="1380" spans="1:7" x14ac:dyDescent="0.3">
      <c r="A1380" s="11" t="s">
        <v>1323</v>
      </c>
      <c r="B1380" s="7">
        <v>24920</v>
      </c>
      <c r="C1380" s="7">
        <v>20.936</v>
      </c>
      <c r="D1380" s="2">
        <f t="shared" si="362"/>
        <v>-0.12999999999999901</v>
      </c>
      <c r="E1380" s="8">
        <f t="shared" si="372"/>
        <v>20.852725346861327</v>
      </c>
      <c r="F1380" s="6">
        <f t="shared" si="359"/>
        <v>0.12195121951219512</v>
      </c>
      <c r="G1380" s="12">
        <f t="shared" si="367"/>
        <v>8.3274653138673216E-2</v>
      </c>
    </row>
    <row r="1381" spans="1:7" x14ac:dyDescent="0.3">
      <c r="A1381" s="11" t="s">
        <v>1324</v>
      </c>
      <c r="B1381" s="7">
        <v>24940</v>
      </c>
      <c r="C1381" s="7">
        <v>20.827000000000002</v>
      </c>
      <c r="D1381" s="2">
        <f t="shared" si="362"/>
        <v>-0.10899999999999821</v>
      </c>
      <c r="E1381" s="8">
        <f t="shared" si="372"/>
        <v>20.730774127349132</v>
      </c>
      <c r="F1381" s="6">
        <f t="shared" si="359"/>
        <v>0.12195121951219512</v>
      </c>
      <c r="G1381" s="12">
        <f t="shared" si="367"/>
        <v>9.6225872650869348E-2</v>
      </c>
    </row>
    <row r="1382" spans="1:7" x14ac:dyDescent="0.3">
      <c r="A1382" s="11" t="s">
        <v>1325</v>
      </c>
      <c r="B1382" s="7">
        <v>24960</v>
      </c>
      <c r="C1382" s="7">
        <v>20.713999999999999</v>
      </c>
      <c r="D1382" s="2">
        <f t="shared" si="362"/>
        <v>-0.1130000000000031</v>
      </c>
      <c r="E1382" s="8">
        <f t="shared" si="372"/>
        <v>20.608822907836938</v>
      </c>
      <c r="F1382" s="6">
        <f t="shared" si="359"/>
        <v>0.12195121951219512</v>
      </c>
      <c r="G1382" s="12">
        <f t="shared" si="367"/>
        <v>0.10517709216306059</v>
      </c>
    </row>
    <row r="1383" spans="1:7" x14ac:dyDescent="0.3">
      <c r="A1383" s="11" t="s">
        <v>3400</v>
      </c>
      <c r="B1383" s="70" t="s">
        <v>3401</v>
      </c>
      <c r="C1383" s="7"/>
      <c r="D1383" s="2"/>
      <c r="E1383" s="8"/>
      <c r="F1383" s="6"/>
      <c r="G1383" s="12"/>
    </row>
    <row r="1384" spans="1:7" x14ac:dyDescent="0.3">
      <c r="A1384" s="11" t="s">
        <v>1326</v>
      </c>
      <c r="B1384" s="7">
        <v>24980</v>
      </c>
      <c r="C1384" s="7">
        <v>20.587</v>
      </c>
      <c r="D1384" s="2">
        <f>C1384-C1382</f>
        <v>-0.12699999999999889</v>
      </c>
      <c r="E1384" s="8">
        <f>E1382-F1382</f>
        <v>20.486871688324744</v>
      </c>
      <c r="F1384" s="6">
        <f>F1382</f>
        <v>0.12195121951219512</v>
      </c>
      <c r="G1384" s="12">
        <f t="shared" si="367"/>
        <v>0.10012831167525604</v>
      </c>
    </row>
    <row r="1385" spans="1:7" x14ac:dyDescent="0.3">
      <c r="A1385" s="13" t="s">
        <v>1327</v>
      </c>
      <c r="B1385" s="24"/>
      <c r="C1385" s="25"/>
      <c r="D1385" s="25"/>
      <c r="E1385" s="25"/>
      <c r="F1385" s="25"/>
      <c r="G1385" s="26"/>
    </row>
    <row r="1386" spans="1:7" x14ac:dyDescent="0.3">
      <c r="A1386" s="11" t="s">
        <v>1328</v>
      </c>
      <c r="B1386" s="7">
        <v>25000</v>
      </c>
      <c r="C1386" s="7">
        <v>20.456</v>
      </c>
      <c r="D1386" s="2">
        <f>C1386-C1384</f>
        <v>-0.13100000000000023</v>
      </c>
      <c r="E1386" s="8">
        <f>E1384-F1384</f>
        <v>20.364920468812549</v>
      </c>
      <c r="F1386" s="6">
        <f>F1384</f>
        <v>0.12195121951219512</v>
      </c>
      <c r="G1386" s="12">
        <f t="shared" ref="G1386:G1394" si="373">C1386-E1386</f>
        <v>9.1079531187450158E-2</v>
      </c>
    </row>
    <row r="1387" spans="1:7" x14ac:dyDescent="0.3">
      <c r="A1387" s="11" t="s">
        <v>1329</v>
      </c>
      <c r="B1387" s="7">
        <v>25020</v>
      </c>
      <c r="C1387" s="7">
        <v>20.324999999999999</v>
      </c>
      <c r="D1387" s="2">
        <f t="shared" si="362"/>
        <v>-0.13100000000000023</v>
      </c>
      <c r="E1387" s="8">
        <f t="shared" si="372"/>
        <v>20.242969249300355</v>
      </c>
      <c r="F1387" s="6">
        <f t="shared" si="359"/>
        <v>0.12195121951219512</v>
      </c>
      <c r="G1387" s="12">
        <f t="shared" si="373"/>
        <v>8.2030750699644273E-2</v>
      </c>
    </row>
    <row r="1388" spans="1:7" x14ac:dyDescent="0.3">
      <c r="A1388" s="11" t="s">
        <v>3402</v>
      </c>
      <c r="B1388" s="70" t="s">
        <v>3403</v>
      </c>
      <c r="C1388" s="7"/>
      <c r="D1388" s="2"/>
      <c r="E1388" s="8"/>
      <c r="F1388" s="6"/>
      <c r="G1388" s="12"/>
    </row>
    <row r="1389" spans="1:7" x14ac:dyDescent="0.3">
      <c r="A1389" s="11" t="s">
        <v>1330</v>
      </c>
      <c r="B1389" s="7">
        <v>25040</v>
      </c>
      <c r="C1389" s="7">
        <v>20.18</v>
      </c>
      <c r="D1389" s="2">
        <f>C1389-C1387</f>
        <v>-0.14499999999999957</v>
      </c>
      <c r="E1389" s="8">
        <f>E1387-F1387</f>
        <v>20.121018029788161</v>
      </c>
      <c r="F1389" s="6">
        <f>F1387</f>
        <v>0.12195121951219512</v>
      </c>
      <c r="G1389" s="12">
        <f t="shared" si="373"/>
        <v>5.8981970211839041E-2</v>
      </c>
    </row>
    <row r="1390" spans="1:7" x14ac:dyDescent="0.3">
      <c r="A1390" s="11" t="s">
        <v>1331</v>
      </c>
      <c r="B1390" s="7">
        <v>25060</v>
      </c>
      <c r="C1390" s="7">
        <v>20.013999999999999</v>
      </c>
      <c r="D1390" s="2">
        <f t="shared" si="362"/>
        <v>-0.16600000000000037</v>
      </c>
      <c r="E1390" s="8">
        <f t="shared" si="372"/>
        <v>19.999066810275966</v>
      </c>
      <c r="F1390" s="6">
        <f t="shared" si="359"/>
        <v>0.12195121951219512</v>
      </c>
      <c r="G1390" s="12">
        <f t="shared" si="373"/>
        <v>1.4933189724033014E-2</v>
      </c>
    </row>
    <row r="1391" spans="1:7" x14ac:dyDescent="0.3">
      <c r="A1391" s="11" t="s">
        <v>1332</v>
      </c>
      <c r="B1391" s="7">
        <v>25080</v>
      </c>
      <c r="C1391" s="7">
        <v>19.812000000000001</v>
      </c>
      <c r="D1391" s="2">
        <f t="shared" si="362"/>
        <v>-0.20199999999999818</v>
      </c>
      <c r="E1391" s="8">
        <f t="shared" si="372"/>
        <v>19.877115590763772</v>
      </c>
      <c r="F1391" s="6">
        <f t="shared" si="359"/>
        <v>0.12195121951219512</v>
      </c>
      <c r="G1391" s="12">
        <f t="shared" si="373"/>
        <v>-6.5115590763770825E-2</v>
      </c>
    </row>
    <row r="1392" spans="1:7" x14ac:dyDescent="0.3">
      <c r="A1392" s="11" t="s">
        <v>1333</v>
      </c>
      <c r="B1392" s="7">
        <v>25100</v>
      </c>
      <c r="C1392" s="7">
        <v>19.620999999999999</v>
      </c>
      <c r="D1392" s="2">
        <f t="shared" si="362"/>
        <v>-0.1910000000000025</v>
      </c>
      <c r="E1392" s="8">
        <f t="shared" si="372"/>
        <v>19.755164371251578</v>
      </c>
      <c r="F1392" s="6">
        <f t="shared" si="359"/>
        <v>0.12195121951219512</v>
      </c>
      <c r="G1392" s="12">
        <f t="shared" si="373"/>
        <v>-0.13416437125157898</v>
      </c>
    </row>
    <row r="1393" spans="1:18" x14ac:dyDescent="0.3">
      <c r="A1393" s="11" t="s">
        <v>3404</v>
      </c>
      <c r="B1393" s="70" t="s">
        <v>3405</v>
      </c>
      <c r="C1393" s="7"/>
      <c r="D1393" s="2"/>
      <c r="E1393" s="8"/>
      <c r="F1393" s="6"/>
      <c r="G1393" s="12"/>
    </row>
    <row r="1394" spans="1:18" x14ac:dyDescent="0.3">
      <c r="A1394" s="11" t="s">
        <v>1334</v>
      </c>
      <c r="B1394" s="7">
        <v>25120</v>
      </c>
      <c r="C1394" s="7">
        <v>19.478999999999999</v>
      </c>
      <c r="D1394" s="2">
        <f>C1394-C1392</f>
        <v>-0.14199999999999946</v>
      </c>
      <c r="E1394" s="8">
        <f>E1392-F1392</f>
        <v>19.633213151739383</v>
      </c>
      <c r="F1394" s="6">
        <f>F1392</f>
        <v>0.12195121951219512</v>
      </c>
      <c r="G1394" s="12">
        <f t="shared" si="373"/>
        <v>-0.1542131517393841</v>
      </c>
    </row>
    <row r="1395" spans="1:18" x14ac:dyDescent="0.3">
      <c r="A1395" s="11" t="s">
        <v>1335</v>
      </c>
      <c r="B1395" s="7">
        <v>25140</v>
      </c>
      <c r="C1395" s="7">
        <v>19.379000000000001</v>
      </c>
      <c r="D1395" s="2">
        <f t="shared" si="362"/>
        <v>-9.9999999999997868E-2</v>
      </c>
      <c r="E1395" s="8">
        <f t="shared" ref="E1395:E1411" si="374">E1394-F1394</f>
        <v>19.511261932227189</v>
      </c>
      <c r="F1395" s="6">
        <f t="shared" si="359"/>
        <v>0.12195121951219512</v>
      </c>
      <c r="G1395" s="12">
        <f t="shared" ref="G1395:G1411" si="375">C1395-E1395</f>
        <v>-0.13226193222718763</v>
      </c>
    </row>
    <row r="1396" spans="1:18" x14ac:dyDescent="0.3">
      <c r="A1396" s="11" t="s">
        <v>1336</v>
      </c>
      <c r="B1396" s="7">
        <v>25160</v>
      </c>
      <c r="C1396" s="7">
        <v>19.29</v>
      </c>
      <c r="D1396" s="2">
        <f t="shared" si="362"/>
        <v>-8.9000000000002188E-2</v>
      </c>
      <c r="E1396" s="8">
        <f t="shared" si="374"/>
        <v>19.389310712714995</v>
      </c>
      <c r="F1396" s="6">
        <f t="shared" si="359"/>
        <v>0.12195121951219512</v>
      </c>
      <c r="G1396" s="12">
        <f t="shared" si="375"/>
        <v>-9.9310712714995475E-2</v>
      </c>
    </row>
    <row r="1397" spans="1:18" x14ac:dyDescent="0.3">
      <c r="A1397" s="11" t="s">
        <v>3406</v>
      </c>
      <c r="B1397" s="70" t="s">
        <v>3407</v>
      </c>
      <c r="C1397" s="7"/>
      <c r="D1397" s="2"/>
      <c r="E1397" s="8"/>
      <c r="F1397" s="6"/>
      <c r="G1397" s="12"/>
    </row>
    <row r="1398" spans="1:18" x14ac:dyDescent="0.3">
      <c r="A1398" s="11" t="s">
        <v>1337</v>
      </c>
      <c r="B1398" s="7">
        <v>25180</v>
      </c>
      <c r="C1398" s="7">
        <v>19.207000000000001</v>
      </c>
      <c r="D1398" s="2">
        <f>C1398-C1396</f>
        <v>-8.2999999999998408E-2</v>
      </c>
      <c r="E1398" s="8">
        <f>E1396-F1396</f>
        <v>19.2673594932028</v>
      </c>
      <c r="F1398" s="6">
        <f>F1396</f>
        <v>0.12195121951219512</v>
      </c>
      <c r="G1398" s="12">
        <f t="shared" si="375"/>
        <v>-6.0359493202799541E-2</v>
      </c>
    </row>
    <row r="1399" spans="1:18" x14ac:dyDescent="0.3">
      <c r="A1399" s="11" t="s">
        <v>1338</v>
      </c>
      <c r="B1399" s="7">
        <v>25200</v>
      </c>
      <c r="C1399" s="7">
        <v>19.152000000000001</v>
      </c>
      <c r="D1399" s="2">
        <f t="shared" si="362"/>
        <v>-5.4999999999999716E-2</v>
      </c>
      <c r="E1399" s="8">
        <f t="shared" si="374"/>
        <v>19.145408273690606</v>
      </c>
      <c r="F1399" s="6">
        <f t="shared" si="359"/>
        <v>0.12195121951219512</v>
      </c>
      <c r="G1399" s="12">
        <f t="shared" si="375"/>
        <v>6.5917263093950851E-3</v>
      </c>
    </row>
    <row r="1400" spans="1:18" x14ac:dyDescent="0.3">
      <c r="A1400" s="21"/>
      <c r="B1400" s="22"/>
      <c r="C1400" s="22"/>
      <c r="D1400" s="22"/>
      <c r="E1400" s="22"/>
      <c r="F1400" s="22"/>
      <c r="G1400" s="23"/>
      <c r="H1400" s="4" t="s">
        <v>3217</v>
      </c>
      <c r="J1400" s="4"/>
      <c r="O1400" s="3">
        <f>1/O1401</f>
        <v>3.6900369003690036E-3</v>
      </c>
      <c r="P1400" s="3">
        <f>O1400*20</f>
        <v>7.3800738007380073E-2</v>
      </c>
      <c r="Q1400" s="3" t="s">
        <v>3200</v>
      </c>
      <c r="R1400" s="3">
        <v>271</v>
      </c>
    </row>
    <row r="1401" spans="1:18" x14ac:dyDescent="0.3">
      <c r="A1401" s="11" t="s">
        <v>1339</v>
      </c>
      <c r="B1401" s="7">
        <v>25220</v>
      </c>
      <c r="C1401" s="7">
        <v>19.125</v>
      </c>
      <c r="D1401" s="2">
        <f>C1401-C1399</f>
        <v>-2.7000000000001023E-2</v>
      </c>
      <c r="E1401" s="8">
        <f>E1399-F1401</f>
        <v>19.071607535683224</v>
      </c>
      <c r="F1401" s="6">
        <f>P1400</f>
        <v>7.3800738007380073E-2</v>
      </c>
      <c r="G1401" s="12">
        <f>C1401-E1401</f>
        <v>5.3392464316775801E-2</v>
      </c>
      <c r="H1401" s="3">
        <f>B1399</f>
        <v>25200</v>
      </c>
      <c r="I1401" s="3">
        <f>B1406</f>
        <v>25320</v>
      </c>
      <c r="J1401" s="3">
        <f>I1401-H1401</f>
        <v>120</v>
      </c>
      <c r="K1401" s="5">
        <f>E1399</f>
        <v>19.145408273690606</v>
      </c>
      <c r="L1401" s="3">
        <f>C1406</f>
        <v>18.702999999999999</v>
      </c>
      <c r="M1401" s="5">
        <f>L1401-K1401</f>
        <v>-0.44240827369060653</v>
      </c>
      <c r="N1401" s="3">
        <f>J1401/M1401</f>
        <v>-271.24266686730346</v>
      </c>
      <c r="O1401" s="3">
        <v>271</v>
      </c>
    </row>
    <row r="1402" spans="1:18" x14ac:dyDescent="0.3">
      <c r="A1402" s="11" t="s">
        <v>1340</v>
      </c>
      <c r="B1402" s="7">
        <v>25240</v>
      </c>
      <c r="C1402" s="7">
        <v>19.094999999999999</v>
      </c>
      <c r="D1402" s="2">
        <f t="shared" si="362"/>
        <v>-3.0000000000001137E-2</v>
      </c>
      <c r="E1402" s="8">
        <f>E1401-F1401</f>
        <v>18.997806797675842</v>
      </c>
      <c r="F1402" s="6">
        <f t="shared" ref="F1402" si="376">F1401</f>
        <v>7.3800738007380073E-2</v>
      </c>
      <c r="G1402" s="12">
        <f t="shared" ref="G1402" si="377">C1402-E1402</f>
        <v>9.7193202324156402E-2</v>
      </c>
    </row>
    <row r="1403" spans="1:18" x14ac:dyDescent="0.3">
      <c r="A1403" s="11" t="s">
        <v>1341</v>
      </c>
      <c r="B1403" s="7">
        <v>25260</v>
      </c>
      <c r="C1403" s="7">
        <v>19.039000000000001</v>
      </c>
      <c r="D1403" s="2">
        <f t="shared" si="362"/>
        <v>-5.5999999999997385E-2</v>
      </c>
      <c r="E1403" s="8">
        <f t="shared" si="374"/>
        <v>18.924006059668461</v>
      </c>
      <c r="F1403" s="6">
        <f t="shared" si="359"/>
        <v>7.3800738007380073E-2</v>
      </c>
      <c r="G1403" s="12">
        <f t="shared" si="375"/>
        <v>0.11499394033154076</v>
      </c>
    </row>
    <row r="1404" spans="1:18" x14ac:dyDescent="0.3">
      <c r="A1404" s="11" t="s">
        <v>1342</v>
      </c>
      <c r="B1404" s="7">
        <v>25280</v>
      </c>
      <c r="C1404" s="7">
        <v>18.984000000000002</v>
      </c>
      <c r="D1404" s="2">
        <f t="shared" si="362"/>
        <v>-5.4999999999999716E-2</v>
      </c>
      <c r="E1404" s="8">
        <f t="shared" si="374"/>
        <v>18.850205321661079</v>
      </c>
      <c r="F1404" s="6">
        <f t="shared" si="359"/>
        <v>7.3800738007380073E-2</v>
      </c>
      <c r="G1404" s="12">
        <f t="shared" si="375"/>
        <v>0.13379467833892278</v>
      </c>
    </row>
    <row r="1405" spans="1:18" x14ac:dyDescent="0.3">
      <c r="A1405" s="11" t="s">
        <v>1343</v>
      </c>
      <c r="B1405" s="7">
        <v>25300</v>
      </c>
      <c r="C1405" s="7">
        <v>18.905999999999999</v>
      </c>
      <c r="D1405" s="2">
        <f t="shared" si="362"/>
        <v>-7.8000000000002956E-2</v>
      </c>
      <c r="E1405" s="8">
        <f t="shared" si="374"/>
        <v>18.776404583653697</v>
      </c>
      <c r="F1405" s="6">
        <f t="shared" si="359"/>
        <v>7.3800738007380073E-2</v>
      </c>
      <c r="G1405" s="12">
        <f t="shared" si="375"/>
        <v>0.12959541634630156</v>
      </c>
    </row>
    <row r="1406" spans="1:18" x14ac:dyDescent="0.3">
      <c r="A1406" s="11" t="s">
        <v>1344</v>
      </c>
      <c r="B1406" s="7">
        <v>25320</v>
      </c>
      <c r="C1406" s="7">
        <v>18.702999999999999</v>
      </c>
      <c r="D1406" s="2">
        <f t="shared" si="362"/>
        <v>-0.2029999999999994</v>
      </c>
      <c r="E1406" s="8">
        <f t="shared" si="374"/>
        <v>18.702603845646316</v>
      </c>
      <c r="F1406" s="6">
        <f t="shared" si="359"/>
        <v>7.3800738007380073E-2</v>
      </c>
      <c r="G1406" s="12">
        <f t="shared" si="375"/>
        <v>3.961543536838974E-4</v>
      </c>
    </row>
    <row r="1407" spans="1:18" x14ac:dyDescent="0.3">
      <c r="A1407" s="21"/>
      <c r="B1407" s="22"/>
      <c r="C1407" s="22"/>
      <c r="D1407" s="22"/>
      <c r="E1407" s="22"/>
      <c r="F1407" s="22"/>
      <c r="G1407" s="23"/>
      <c r="H1407" s="4" t="s">
        <v>22</v>
      </c>
      <c r="J1407" s="4"/>
      <c r="O1407" s="3">
        <f>1/O1408</f>
        <v>9.2592592592592587E-3</v>
      </c>
      <c r="P1407" s="3">
        <f>O1407*20</f>
        <v>0.18518518518518517</v>
      </c>
      <c r="Q1407" s="3" t="s">
        <v>3200</v>
      </c>
      <c r="R1407" s="3">
        <v>108</v>
      </c>
    </row>
    <row r="1408" spans="1:18" x14ac:dyDescent="0.3">
      <c r="A1408" s="11" t="s">
        <v>1345</v>
      </c>
      <c r="B1408" s="7">
        <v>25340</v>
      </c>
      <c r="C1408" s="7">
        <v>18.460999999999999</v>
      </c>
      <c r="D1408" s="2">
        <f>C1408-C1406</f>
        <v>-0.24200000000000088</v>
      </c>
      <c r="E1408" s="8">
        <f>E1406-F1408</f>
        <v>18.517418660461129</v>
      </c>
      <c r="F1408" s="6">
        <f>P1407</f>
        <v>0.18518518518518517</v>
      </c>
      <c r="G1408" s="12">
        <f>C1408-E1408</f>
        <v>-5.6418660461130088E-2</v>
      </c>
      <c r="H1408" s="3">
        <f>B1406</f>
        <v>25320</v>
      </c>
      <c r="I1408" s="3">
        <f>B1415</f>
        <v>25480</v>
      </c>
      <c r="J1408" s="3">
        <f>I1408-H1408</f>
        <v>160</v>
      </c>
      <c r="K1408" s="5">
        <f>E1406</f>
        <v>18.702603845646316</v>
      </c>
      <c r="L1408" s="3">
        <f>C1415</f>
        <v>17.225000000000001</v>
      </c>
      <c r="M1408" s="5">
        <f>L1408-K1408</f>
        <v>-1.4776038456463141</v>
      </c>
      <c r="N1408" s="3">
        <f>J1408/M1408</f>
        <v>-108.28342148095513</v>
      </c>
      <c r="O1408" s="3">
        <v>108</v>
      </c>
    </row>
    <row r="1409" spans="1:18" x14ac:dyDescent="0.3">
      <c r="A1409" s="11" t="s">
        <v>1346</v>
      </c>
      <c r="B1409" s="7">
        <v>25360</v>
      </c>
      <c r="C1409" s="7">
        <v>18.233000000000001</v>
      </c>
      <c r="D1409" s="2">
        <f t="shared" si="362"/>
        <v>-0.22799999999999798</v>
      </c>
      <c r="E1409" s="8">
        <f>E1408-F1408</f>
        <v>18.332233475275942</v>
      </c>
      <c r="F1409" s="6">
        <f t="shared" ref="F1409" si="378">F1408</f>
        <v>0.18518518518518517</v>
      </c>
      <c r="G1409" s="12">
        <f t="shared" ref="G1409" si="379">C1409-E1409</f>
        <v>-9.9233475275941174E-2</v>
      </c>
    </row>
    <row r="1410" spans="1:18" x14ac:dyDescent="0.3">
      <c r="A1410" s="11" t="s">
        <v>1347</v>
      </c>
      <c r="B1410" s="7">
        <v>25380</v>
      </c>
      <c r="C1410" s="7">
        <v>18.04</v>
      </c>
      <c r="D1410" s="2">
        <f t="shared" si="362"/>
        <v>-0.19300000000000139</v>
      </c>
      <c r="E1410" s="8">
        <f t="shared" si="374"/>
        <v>18.147048290090755</v>
      </c>
      <c r="F1410" s="6">
        <f t="shared" si="359"/>
        <v>0.18518518518518517</v>
      </c>
      <c r="G1410" s="12">
        <f t="shared" si="375"/>
        <v>-0.10704829009075567</v>
      </c>
    </row>
    <row r="1411" spans="1:18" x14ac:dyDescent="0.3">
      <c r="A1411" s="11" t="s">
        <v>1348</v>
      </c>
      <c r="B1411" s="7">
        <v>25400</v>
      </c>
      <c r="C1411" s="7">
        <v>17.864999999999998</v>
      </c>
      <c r="D1411" s="2">
        <f t="shared" si="362"/>
        <v>-0.17500000000000071</v>
      </c>
      <c r="E1411" s="8">
        <f t="shared" si="374"/>
        <v>17.961863104905568</v>
      </c>
      <c r="F1411" s="6">
        <f t="shared" si="359"/>
        <v>0.18518518518518517</v>
      </c>
      <c r="G1411" s="12">
        <f t="shared" si="375"/>
        <v>-9.6863104905569486E-2</v>
      </c>
    </row>
    <row r="1412" spans="1:18" x14ac:dyDescent="0.3">
      <c r="A1412" s="11" t="s">
        <v>1349</v>
      </c>
      <c r="B1412" s="7">
        <v>25420</v>
      </c>
      <c r="C1412" s="7">
        <v>17.68</v>
      </c>
      <c r="D1412" s="2">
        <f t="shared" si="362"/>
        <v>-0.18499999999999872</v>
      </c>
      <c r="E1412" s="8">
        <f t="shared" ref="E1412:E1422" si="380">E1411-F1411</f>
        <v>17.776677919720381</v>
      </c>
      <c r="F1412" s="6">
        <f t="shared" si="359"/>
        <v>0.18518518518518517</v>
      </c>
      <c r="G1412" s="12">
        <f t="shared" ref="G1412:G1422" si="381">C1412-E1412</f>
        <v>-9.6677919720381311E-2</v>
      </c>
    </row>
    <row r="1413" spans="1:18" x14ac:dyDescent="0.3">
      <c r="A1413" s="11" t="s">
        <v>1350</v>
      </c>
      <c r="B1413" s="7">
        <v>25440</v>
      </c>
      <c r="C1413" s="7">
        <v>17.488</v>
      </c>
      <c r="D1413" s="2">
        <f t="shared" si="362"/>
        <v>-0.19200000000000017</v>
      </c>
      <c r="E1413" s="8">
        <f t="shared" si="380"/>
        <v>17.591492734535194</v>
      </c>
      <c r="F1413" s="6">
        <f t="shared" si="359"/>
        <v>0.18518518518518517</v>
      </c>
      <c r="G1413" s="12">
        <f t="shared" si="381"/>
        <v>-0.10349273453519459</v>
      </c>
    </row>
    <row r="1414" spans="1:18" x14ac:dyDescent="0.3">
      <c r="A1414" s="11" t="s">
        <v>1351</v>
      </c>
      <c r="B1414" s="7">
        <v>25460</v>
      </c>
      <c r="C1414" s="7">
        <v>17.327000000000002</v>
      </c>
      <c r="D1414" s="2">
        <f t="shared" si="362"/>
        <v>-0.16099999999999781</v>
      </c>
      <c r="E1414" s="8">
        <f t="shared" si="380"/>
        <v>17.406307549350007</v>
      </c>
      <c r="F1414" s="6">
        <f t="shared" si="359"/>
        <v>0.18518518518518517</v>
      </c>
      <c r="G1414" s="12">
        <f t="shared" si="381"/>
        <v>-7.9307549350005502E-2</v>
      </c>
    </row>
    <row r="1415" spans="1:18" x14ac:dyDescent="0.3">
      <c r="A1415" s="11" t="s">
        <v>1352</v>
      </c>
      <c r="B1415" s="7">
        <v>25480</v>
      </c>
      <c r="C1415" s="7">
        <v>17.225000000000001</v>
      </c>
      <c r="D1415" s="2">
        <f t="shared" si="362"/>
        <v>-0.10200000000000031</v>
      </c>
      <c r="E1415" s="8">
        <f t="shared" si="380"/>
        <v>17.22112236416482</v>
      </c>
      <c r="F1415" s="6">
        <f t="shared" ref="F1415:F1480" si="382">F1414</f>
        <v>0.18518518518518517</v>
      </c>
      <c r="G1415" s="12">
        <f t="shared" si="381"/>
        <v>3.8776358351810813E-3</v>
      </c>
    </row>
    <row r="1416" spans="1:18" x14ac:dyDescent="0.3">
      <c r="A1416" s="21"/>
      <c r="B1416" s="22"/>
      <c r="C1416" s="22"/>
      <c r="D1416" s="22"/>
      <c r="E1416" s="22"/>
      <c r="F1416" s="22"/>
      <c r="G1416" s="23"/>
      <c r="H1416" s="4" t="s">
        <v>3216</v>
      </c>
      <c r="J1416" s="4"/>
      <c r="O1416" s="3">
        <f>1/O1417</f>
        <v>1.8181818181818182E-3</v>
      </c>
      <c r="P1416" s="3">
        <f>O1416*20</f>
        <v>3.6363636363636362E-2</v>
      </c>
      <c r="Q1416" s="3" t="s">
        <v>3200</v>
      </c>
      <c r="R1416" s="3">
        <v>550</v>
      </c>
    </row>
    <row r="1417" spans="1:18" x14ac:dyDescent="0.3">
      <c r="A1417" s="11" t="s">
        <v>1353</v>
      </c>
      <c r="B1417" s="7">
        <v>25500</v>
      </c>
      <c r="C1417" s="7">
        <v>17.14</v>
      </c>
      <c r="D1417" s="2">
        <f>C1417-C1415</f>
        <v>-8.5000000000000853E-2</v>
      </c>
      <c r="E1417" s="8">
        <f>E1415-F1417</f>
        <v>17.184758727801185</v>
      </c>
      <c r="F1417" s="6">
        <f>P1416</f>
        <v>3.6363636363636362E-2</v>
      </c>
      <c r="G1417" s="12">
        <f>C1417-E1417</f>
        <v>-4.4758727801184506E-2</v>
      </c>
      <c r="H1417" s="3">
        <f>B1415</f>
        <v>25480</v>
      </c>
      <c r="I1417" s="3">
        <f>B1433</f>
        <v>25820</v>
      </c>
      <c r="J1417" s="3">
        <f>I1417-H1417</f>
        <v>340</v>
      </c>
      <c r="K1417" s="5">
        <f>E1415</f>
        <v>17.22112236416482</v>
      </c>
      <c r="L1417" s="3">
        <f>C1433</f>
        <v>16.603000000000002</v>
      </c>
      <c r="M1417" s="5">
        <f>L1417-K1417</f>
        <v>-0.6181223641648188</v>
      </c>
      <c r="N1417" s="3">
        <f>J1417/M1417</f>
        <v>-550.05290167650514</v>
      </c>
      <c r="O1417" s="3">
        <v>550</v>
      </c>
    </row>
    <row r="1418" spans="1:18" x14ac:dyDescent="0.3">
      <c r="A1418" s="11" t="s">
        <v>1354</v>
      </c>
      <c r="B1418" s="7">
        <v>25520</v>
      </c>
      <c r="C1418" s="7">
        <v>17.059000000000001</v>
      </c>
      <c r="D1418" s="2">
        <f t="shared" si="362"/>
        <v>-8.0999999999999517E-2</v>
      </c>
      <c r="E1418" s="8">
        <f>E1417-F1417</f>
        <v>17.14839509143755</v>
      </c>
      <c r="F1418" s="6">
        <f t="shared" ref="F1418" si="383">F1417</f>
        <v>3.6363636363636362E-2</v>
      </c>
      <c r="G1418" s="12">
        <f t="shared" ref="G1418" si="384">C1418-E1418</f>
        <v>-8.9395091437548757E-2</v>
      </c>
    </row>
    <row r="1419" spans="1:18" x14ac:dyDescent="0.3">
      <c r="A1419" s="11" t="s">
        <v>1355</v>
      </c>
      <c r="B1419" s="7">
        <v>25540</v>
      </c>
      <c r="C1419" s="7">
        <v>16.984000000000002</v>
      </c>
      <c r="D1419" s="2">
        <f t="shared" si="362"/>
        <v>-7.4999999999999289E-2</v>
      </c>
      <c r="E1419" s="8">
        <f t="shared" si="380"/>
        <v>17.112031455073915</v>
      </c>
      <c r="F1419" s="6">
        <f t="shared" si="382"/>
        <v>3.6363636363636362E-2</v>
      </c>
      <c r="G1419" s="12">
        <f t="shared" si="381"/>
        <v>-0.12803145507391278</v>
      </c>
    </row>
    <row r="1420" spans="1:18" x14ac:dyDescent="0.3">
      <c r="A1420" s="11" t="s">
        <v>1356</v>
      </c>
      <c r="B1420" s="7">
        <v>25560</v>
      </c>
      <c r="C1420" s="7">
        <v>16.920999999999999</v>
      </c>
      <c r="D1420" s="2">
        <f t="shared" si="362"/>
        <v>-6.3000000000002387E-2</v>
      </c>
      <c r="E1420" s="8">
        <f t="shared" si="380"/>
        <v>17.075667818710279</v>
      </c>
      <c r="F1420" s="6">
        <f t="shared" si="382"/>
        <v>3.6363636363636362E-2</v>
      </c>
      <c r="G1420" s="12">
        <f t="shared" si="381"/>
        <v>-0.1546678187102799</v>
      </c>
    </row>
    <row r="1421" spans="1:18" x14ac:dyDescent="0.3">
      <c r="A1421" s="11" t="s">
        <v>1357</v>
      </c>
      <c r="B1421" s="7">
        <v>25580</v>
      </c>
      <c r="C1421" s="7">
        <v>16.884</v>
      </c>
      <c r="D1421" s="2">
        <f t="shared" si="362"/>
        <v>-3.6999999999999034E-2</v>
      </c>
      <c r="E1421" s="8">
        <f t="shared" si="380"/>
        <v>17.039304182346644</v>
      </c>
      <c r="F1421" s="6">
        <f t="shared" si="382"/>
        <v>3.6363636363636362E-2</v>
      </c>
      <c r="G1421" s="12">
        <f t="shared" si="381"/>
        <v>-0.15530418234664367</v>
      </c>
    </row>
    <row r="1422" spans="1:18" x14ac:dyDescent="0.3">
      <c r="A1422" s="11" t="s">
        <v>1358</v>
      </c>
      <c r="B1422" s="7">
        <v>25600</v>
      </c>
      <c r="C1422" s="7">
        <v>16.856999999999999</v>
      </c>
      <c r="D1422" s="2">
        <f t="shared" si="362"/>
        <v>-2.7000000000001023E-2</v>
      </c>
      <c r="E1422" s="8">
        <f t="shared" si="380"/>
        <v>17.002940545983009</v>
      </c>
      <c r="F1422" s="6">
        <f t="shared" si="382"/>
        <v>3.6363636363636362E-2</v>
      </c>
      <c r="G1422" s="12">
        <f t="shared" si="381"/>
        <v>-0.14594054598300943</v>
      </c>
    </row>
    <row r="1423" spans="1:18" x14ac:dyDescent="0.3">
      <c r="A1423" s="11" t="s">
        <v>1359</v>
      </c>
      <c r="B1423" s="7">
        <v>25620</v>
      </c>
      <c r="C1423" s="7">
        <v>16.827999999999999</v>
      </c>
      <c r="D1423" s="2">
        <f t="shared" si="362"/>
        <v>-2.8999999999999915E-2</v>
      </c>
      <c r="E1423" s="8">
        <f t="shared" ref="E1423:E1438" si="385">E1422-F1422</f>
        <v>16.966576909619373</v>
      </c>
      <c r="F1423" s="6">
        <f t="shared" si="382"/>
        <v>3.6363636363636362E-2</v>
      </c>
      <c r="G1423" s="12">
        <f t="shared" ref="G1423:G1438" si="386">C1423-E1423</f>
        <v>-0.13857690961937408</v>
      </c>
    </row>
    <row r="1424" spans="1:18" x14ac:dyDescent="0.3">
      <c r="A1424" s="11" t="s">
        <v>1360</v>
      </c>
      <c r="B1424" s="7">
        <v>25640</v>
      </c>
      <c r="C1424" s="7">
        <v>16.811</v>
      </c>
      <c r="D1424" s="2">
        <f t="shared" ref="D1424:D1490" si="387">C1424-C1423</f>
        <v>-1.699999999999946E-2</v>
      </c>
      <c r="E1424" s="8">
        <f t="shared" si="385"/>
        <v>16.930213273255738</v>
      </c>
      <c r="F1424" s="6">
        <f t="shared" si="382"/>
        <v>3.6363636363636362E-2</v>
      </c>
      <c r="G1424" s="12">
        <f t="shared" si="386"/>
        <v>-0.11921327325573827</v>
      </c>
    </row>
    <row r="1425" spans="1:18" x14ac:dyDescent="0.3">
      <c r="A1425" s="11" t="s">
        <v>1361</v>
      </c>
      <c r="B1425" s="7">
        <v>25660</v>
      </c>
      <c r="C1425" s="7">
        <v>16.776</v>
      </c>
      <c r="D1425" s="2">
        <f t="shared" si="387"/>
        <v>-3.5000000000000142E-2</v>
      </c>
      <c r="E1425" s="8">
        <f t="shared" si="385"/>
        <v>16.893849636892103</v>
      </c>
      <c r="F1425" s="6">
        <f t="shared" si="382"/>
        <v>3.6363636363636362E-2</v>
      </c>
      <c r="G1425" s="12">
        <f t="shared" si="386"/>
        <v>-0.11784963689210315</v>
      </c>
    </row>
    <row r="1426" spans="1:18" x14ac:dyDescent="0.3">
      <c r="A1426" s="11" t="s">
        <v>1362</v>
      </c>
      <c r="B1426" s="7">
        <v>25680</v>
      </c>
      <c r="C1426" s="7">
        <v>16.736999999999998</v>
      </c>
      <c r="D1426" s="2">
        <f t="shared" si="387"/>
        <v>-3.9000000000001478E-2</v>
      </c>
      <c r="E1426" s="8">
        <f t="shared" si="385"/>
        <v>16.857486000528468</v>
      </c>
      <c r="F1426" s="6">
        <f t="shared" si="382"/>
        <v>3.6363636363636362E-2</v>
      </c>
      <c r="G1426" s="12">
        <f t="shared" si="386"/>
        <v>-0.12048600052846936</v>
      </c>
    </row>
    <row r="1427" spans="1:18" x14ac:dyDescent="0.3">
      <c r="A1427" s="11" t="s">
        <v>1363</v>
      </c>
      <c r="B1427" s="7">
        <v>25700</v>
      </c>
      <c r="C1427" s="7">
        <v>16.704999999999998</v>
      </c>
      <c r="D1427" s="2">
        <f t="shared" si="387"/>
        <v>-3.2000000000000028E-2</v>
      </c>
      <c r="E1427" s="8">
        <f t="shared" si="385"/>
        <v>16.821122364164832</v>
      </c>
      <c r="F1427" s="6">
        <f t="shared" si="382"/>
        <v>3.6363636363636362E-2</v>
      </c>
      <c r="G1427" s="12">
        <f t="shared" si="386"/>
        <v>-0.11612236416483412</v>
      </c>
    </row>
    <row r="1428" spans="1:18" x14ac:dyDescent="0.3">
      <c r="A1428" s="11" t="s">
        <v>1364</v>
      </c>
      <c r="B1428" s="7">
        <v>25720</v>
      </c>
      <c r="C1428" s="7">
        <v>16.675999999999998</v>
      </c>
      <c r="D1428" s="2">
        <f t="shared" si="387"/>
        <v>-2.8999999999999915E-2</v>
      </c>
      <c r="E1428" s="8">
        <f t="shared" si="385"/>
        <v>16.784758727801197</v>
      </c>
      <c r="F1428" s="6">
        <f t="shared" si="382"/>
        <v>3.6363636363636362E-2</v>
      </c>
      <c r="G1428" s="12">
        <f t="shared" si="386"/>
        <v>-0.10875872780119877</v>
      </c>
    </row>
    <row r="1429" spans="1:18" x14ac:dyDescent="0.3">
      <c r="A1429" s="11" t="s">
        <v>1365</v>
      </c>
      <c r="B1429" s="7">
        <v>25740</v>
      </c>
      <c r="C1429" s="7">
        <v>16.649999999999999</v>
      </c>
      <c r="D1429" s="2">
        <f t="shared" si="387"/>
        <v>-2.5999999999999801E-2</v>
      </c>
      <c r="E1429" s="8">
        <f t="shared" si="385"/>
        <v>16.748395091437562</v>
      </c>
      <c r="F1429" s="6">
        <f t="shared" si="382"/>
        <v>3.6363636363636362E-2</v>
      </c>
      <c r="G1429" s="12">
        <f t="shared" si="386"/>
        <v>-9.8395091437563309E-2</v>
      </c>
    </row>
    <row r="1430" spans="1:18" x14ac:dyDescent="0.3">
      <c r="A1430" s="11" t="s">
        <v>1366</v>
      </c>
      <c r="B1430" s="7">
        <v>25760</v>
      </c>
      <c r="C1430" s="7">
        <v>16.632999999999999</v>
      </c>
      <c r="D1430" s="2">
        <f t="shared" si="387"/>
        <v>-1.699999999999946E-2</v>
      </c>
      <c r="E1430" s="8">
        <f t="shared" si="385"/>
        <v>16.712031455073927</v>
      </c>
      <c r="F1430" s="6">
        <f t="shared" si="382"/>
        <v>3.6363636363636362E-2</v>
      </c>
      <c r="G1430" s="12">
        <f t="shared" si="386"/>
        <v>-7.9031455073927503E-2</v>
      </c>
    </row>
    <row r="1431" spans="1:18" x14ac:dyDescent="0.3">
      <c r="A1431" s="11" t="s">
        <v>1367</v>
      </c>
      <c r="B1431" s="7">
        <v>25780</v>
      </c>
      <c r="C1431" s="7">
        <v>16.617999999999999</v>
      </c>
      <c r="D1431" s="2">
        <f t="shared" si="387"/>
        <v>-1.5000000000000568E-2</v>
      </c>
      <c r="E1431" s="8">
        <f t="shared" si="385"/>
        <v>16.675667818710291</v>
      </c>
      <c r="F1431" s="6">
        <f t="shared" si="382"/>
        <v>3.6363636363636362E-2</v>
      </c>
      <c r="G1431" s="12">
        <f t="shared" si="386"/>
        <v>-5.7667818710292806E-2</v>
      </c>
    </row>
    <row r="1432" spans="1:18" x14ac:dyDescent="0.3">
      <c r="A1432" s="11" t="s">
        <v>1368</v>
      </c>
      <c r="B1432" s="7">
        <v>25800</v>
      </c>
      <c r="C1432" s="7">
        <v>16.611000000000001</v>
      </c>
      <c r="D1432" s="2">
        <f t="shared" si="387"/>
        <v>-6.9999999999978968E-3</v>
      </c>
      <c r="E1432" s="8">
        <f t="shared" si="385"/>
        <v>16.639304182346656</v>
      </c>
      <c r="F1432" s="6">
        <f t="shared" si="382"/>
        <v>3.6363636363636362E-2</v>
      </c>
      <c r="G1432" s="12">
        <f t="shared" si="386"/>
        <v>-2.8304182346655438E-2</v>
      </c>
    </row>
    <row r="1433" spans="1:18" x14ac:dyDescent="0.3">
      <c r="A1433" s="11" t="s">
        <v>1369</v>
      </c>
      <c r="B1433" s="7">
        <v>25820</v>
      </c>
      <c r="C1433" s="7">
        <v>16.603000000000002</v>
      </c>
      <c r="D1433" s="2">
        <f t="shared" si="387"/>
        <v>-7.9999999999991189E-3</v>
      </c>
      <c r="E1433" s="8">
        <f t="shared" si="385"/>
        <v>16.602940545983021</v>
      </c>
      <c r="F1433" s="6">
        <f t="shared" si="382"/>
        <v>3.6363636363636362E-2</v>
      </c>
      <c r="G1433" s="12">
        <f t="shared" si="386"/>
        <v>5.9454016980708957E-5</v>
      </c>
    </row>
    <row r="1434" spans="1:18" x14ac:dyDescent="0.3">
      <c r="A1434" s="21"/>
      <c r="B1434" s="22"/>
      <c r="C1434" s="22"/>
      <c r="D1434" s="22"/>
      <c r="E1434" s="22"/>
      <c r="F1434" s="22"/>
      <c r="G1434" s="23"/>
      <c r="H1434" s="4" t="s">
        <v>23</v>
      </c>
      <c r="J1434" s="4"/>
      <c r="O1434" s="3">
        <f>1/O1435</f>
        <v>1.4124293785310734E-3</v>
      </c>
      <c r="P1434" s="3">
        <f>O1434*20</f>
        <v>2.8248587570621469E-2</v>
      </c>
      <c r="Q1434" s="3" t="s">
        <v>3200</v>
      </c>
      <c r="R1434" s="3">
        <v>708</v>
      </c>
    </row>
    <row r="1435" spans="1:18" x14ac:dyDescent="0.3">
      <c r="A1435" s="11" t="s">
        <v>1370</v>
      </c>
      <c r="B1435" s="7">
        <v>25840</v>
      </c>
      <c r="C1435" s="7">
        <v>16.596</v>
      </c>
      <c r="D1435" s="2">
        <f>C1435-C1433</f>
        <v>-7.0000000000014495E-3</v>
      </c>
      <c r="E1435" s="8">
        <f>E1433-F1435</f>
        <v>16.574691958412398</v>
      </c>
      <c r="F1435" s="6">
        <f>P1434</f>
        <v>2.8248587570621469E-2</v>
      </c>
      <c r="G1435" s="12">
        <f>C1435-E1435</f>
        <v>2.1308041587602133E-2</v>
      </c>
      <c r="H1435" s="3">
        <f>B1433</f>
        <v>25820</v>
      </c>
      <c r="I1435" s="3">
        <f>B1469</f>
        <v>26500</v>
      </c>
      <c r="J1435" s="3">
        <f>I1435-H1435</f>
        <v>680</v>
      </c>
      <c r="K1435" s="5">
        <f>E1433</f>
        <v>16.602940545983021</v>
      </c>
      <c r="L1435" s="3">
        <f>C1469</f>
        <v>15.641999999999999</v>
      </c>
      <c r="M1435" s="5">
        <f>L1435-K1435</f>
        <v>-0.96094054598302137</v>
      </c>
      <c r="N1435" s="3">
        <f>J1435/M1435</f>
        <v>-707.64003334293147</v>
      </c>
      <c r="O1435" s="3">
        <v>708</v>
      </c>
    </row>
    <row r="1436" spans="1:18" x14ac:dyDescent="0.3">
      <c r="A1436" s="11" t="s">
        <v>1371</v>
      </c>
      <c r="B1436" s="7">
        <v>25860</v>
      </c>
      <c r="C1436" s="7">
        <v>16.593</v>
      </c>
      <c r="D1436" s="2">
        <f t="shared" si="387"/>
        <v>-3.0000000000001137E-3</v>
      </c>
      <c r="E1436" s="8">
        <f>E1435-F1435</f>
        <v>16.546443370841775</v>
      </c>
      <c r="F1436" s="6">
        <f t="shared" ref="F1436" si="388">F1435</f>
        <v>2.8248587570621469E-2</v>
      </c>
      <c r="G1436" s="12">
        <f t="shared" ref="G1436" si="389">C1436-E1436</f>
        <v>4.6556629158224894E-2</v>
      </c>
    </row>
    <row r="1437" spans="1:18" x14ac:dyDescent="0.3">
      <c r="A1437" s="11" t="s">
        <v>1372</v>
      </c>
      <c r="B1437" s="7">
        <v>25880</v>
      </c>
      <c r="C1437" s="7">
        <v>16.591000000000001</v>
      </c>
      <c r="D1437" s="2">
        <f t="shared" si="387"/>
        <v>-1.9999999999988916E-3</v>
      </c>
      <c r="E1437" s="8">
        <f t="shared" si="385"/>
        <v>16.518194783271152</v>
      </c>
      <c r="F1437" s="6">
        <f t="shared" si="382"/>
        <v>2.8248587570621469E-2</v>
      </c>
      <c r="G1437" s="12">
        <f t="shared" si="386"/>
        <v>7.2805216728848876E-2</v>
      </c>
    </row>
    <row r="1438" spans="1:18" x14ac:dyDescent="0.3">
      <c r="A1438" s="11" t="s">
        <v>1373</v>
      </c>
      <c r="B1438" s="7">
        <v>25900</v>
      </c>
      <c r="C1438" s="7">
        <v>16.600999999999999</v>
      </c>
      <c r="D1438" s="2">
        <f t="shared" si="387"/>
        <v>9.9999999999980105E-3</v>
      </c>
      <c r="E1438" s="8">
        <f t="shared" si="385"/>
        <v>16.489946195700529</v>
      </c>
      <c r="F1438" s="6">
        <f t="shared" si="382"/>
        <v>2.8248587570621469E-2</v>
      </c>
      <c r="G1438" s="12">
        <f t="shared" si="386"/>
        <v>0.11105380429946976</v>
      </c>
    </row>
    <row r="1439" spans="1:18" x14ac:dyDescent="0.3">
      <c r="A1439" s="11" t="s">
        <v>1374</v>
      </c>
      <c r="B1439" s="7">
        <v>25920</v>
      </c>
      <c r="C1439" s="7">
        <v>16.594000000000001</v>
      </c>
      <c r="D1439" s="2">
        <f t="shared" si="387"/>
        <v>-6.9999999999978968E-3</v>
      </c>
      <c r="E1439" s="8">
        <f t="shared" ref="E1439:E1447" si="390">E1438-F1438</f>
        <v>16.461697608129906</v>
      </c>
      <c r="F1439" s="6">
        <f t="shared" si="382"/>
        <v>2.8248587570621469E-2</v>
      </c>
      <c r="G1439" s="12">
        <f t="shared" ref="G1439:G1447" si="391">C1439-E1439</f>
        <v>0.13230239187009474</v>
      </c>
    </row>
    <row r="1440" spans="1:18" x14ac:dyDescent="0.3">
      <c r="A1440" s="11" t="s">
        <v>1375</v>
      </c>
      <c r="B1440" s="7">
        <v>25940</v>
      </c>
      <c r="C1440" s="7">
        <v>16.504000000000001</v>
      </c>
      <c r="D1440" s="2">
        <f t="shared" si="387"/>
        <v>-8.9999999999999858E-2</v>
      </c>
      <c r="E1440" s="8">
        <f t="shared" si="390"/>
        <v>16.433449020559284</v>
      </c>
      <c r="F1440" s="6">
        <f t="shared" si="382"/>
        <v>2.8248587570621469E-2</v>
      </c>
      <c r="G1440" s="12">
        <f t="shared" si="391"/>
        <v>7.0550979440717754E-2</v>
      </c>
    </row>
    <row r="1441" spans="1:7" x14ac:dyDescent="0.3">
      <c r="A1441" s="11" t="s">
        <v>1376</v>
      </c>
      <c r="B1441" s="7">
        <v>25960</v>
      </c>
      <c r="C1441" s="7">
        <v>16.437999999999999</v>
      </c>
      <c r="D1441" s="2">
        <f t="shared" si="387"/>
        <v>-6.6000000000002501E-2</v>
      </c>
      <c r="E1441" s="8">
        <f t="shared" si="390"/>
        <v>16.405200432988661</v>
      </c>
      <c r="F1441" s="6">
        <f t="shared" si="382"/>
        <v>2.8248587570621469E-2</v>
      </c>
      <c r="G1441" s="12">
        <f t="shared" si="391"/>
        <v>3.2799567011338127E-2</v>
      </c>
    </row>
    <row r="1442" spans="1:7" x14ac:dyDescent="0.3">
      <c r="A1442" s="11" t="s">
        <v>1377</v>
      </c>
      <c r="B1442" s="7">
        <v>25980</v>
      </c>
      <c r="C1442" s="7">
        <v>16.372</v>
      </c>
      <c r="D1442" s="2">
        <f t="shared" si="387"/>
        <v>-6.5999999999998948E-2</v>
      </c>
      <c r="E1442" s="8">
        <f t="shared" si="390"/>
        <v>16.376951845418038</v>
      </c>
      <c r="F1442" s="6">
        <f t="shared" si="382"/>
        <v>2.8248587570621469E-2</v>
      </c>
      <c r="G1442" s="12">
        <f t="shared" si="391"/>
        <v>-4.9518454180379479E-3</v>
      </c>
    </row>
    <row r="1443" spans="1:7" x14ac:dyDescent="0.3">
      <c r="A1443" s="13" t="s">
        <v>1378</v>
      </c>
      <c r="B1443" s="24"/>
      <c r="C1443" s="25"/>
      <c r="D1443" s="25"/>
      <c r="E1443" s="25"/>
      <c r="F1443" s="25"/>
      <c r="G1443" s="26"/>
    </row>
    <row r="1444" spans="1:7" x14ac:dyDescent="0.3">
      <c r="A1444" s="11" t="s">
        <v>1379</v>
      </c>
      <c r="B1444" s="7">
        <v>26000</v>
      </c>
      <c r="C1444" s="7">
        <v>16.327999999999999</v>
      </c>
      <c r="D1444" s="2">
        <f>C1444-C1442</f>
        <v>-4.4000000000000483E-2</v>
      </c>
      <c r="E1444" s="8">
        <f>E1442-F1442</f>
        <v>16.348703257847415</v>
      </c>
      <c r="F1444" s="6">
        <f>F1442</f>
        <v>2.8248587570621469E-2</v>
      </c>
      <c r="G1444" s="12">
        <f t="shared" si="391"/>
        <v>-2.0703257847415557E-2</v>
      </c>
    </row>
    <row r="1445" spans="1:7" x14ac:dyDescent="0.3">
      <c r="A1445" s="11" t="s">
        <v>1380</v>
      </c>
      <c r="B1445" s="7">
        <v>26020</v>
      </c>
      <c r="C1445" s="7">
        <v>16.302</v>
      </c>
      <c r="D1445" s="2">
        <f t="shared" si="387"/>
        <v>-2.5999999999999801E-2</v>
      </c>
      <c r="E1445" s="8">
        <f t="shared" si="390"/>
        <v>16.320454670276792</v>
      </c>
      <c r="F1445" s="6">
        <f t="shared" si="382"/>
        <v>2.8248587570621469E-2</v>
      </c>
      <c r="G1445" s="12">
        <f t="shared" si="391"/>
        <v>-1.8454670276792484E-2</v>
      </c>
    </row>
    <row r="1446" spans="1:7" x14ac:dyDescent="0.3">
      <c r="A1446" s="11" t="s">
        <v>1381</v>
      </c>
      <c r="B1446" s="7">
        <v>26040</v>
      </c>
      <c r="C1446" s="7">
        <v>16.288</v>
      </c>
      <c r="D1446" s="2">
        <f t="shared" si="387"/>
        <v>-1.3999999999999346E-2</v>
      </c>
      <c r="E1446" s="8">
        <f t="shared" si="390"/>
        <v>16.292206082706169</v>
      </c>
      <c r="F1446" s="6">
        <f t="shared" si="382"/>
        <v>2.8248587570621469E-2</v>
      </c>
      <c r="G1446" s="12">
        <f t="shared" si="391"/>
        <v>-4.2060827061689565E-3</v>
      </c>
    </row>
    <row r="1447" spans="1:7" x14ac:dyDescent="0.3">
      <c r="A1447" s="11" t="s">
        <v>1382</v>
      </c>
      <c r="B1447" s="7">
        <v>26060</v>
      </c>
      <c r="C1447" s="7">
        <v>16.260000000000002</v>
      </c>
      <c r="D1447" s="2">
        <f t="shared" si="387"/>
        <v>-2.7999999999998693E-2</v>
      </c>
      <c r="E1447" s="8">
        <f t="shared" si="390"/>
        <v>16.263957495135546</v>
      </c>
      <c r="F1447" s="6">
        <f t="shared" si="382"/>
        <v>2.8248587570621469E-2</v>
      </c>
      <c r="G1447" s="12">
        <f t="shared" si="391"/>
        <v>-3.9574951355447752E-3</v>
      </c>
    </row>
    <row r="1448" spans="1:7" x14ac:dyDescent="0.3">
      <c r="A1448" s="11" t="s">
        <v>1383</v>
      </c>
      <c r="B1448" s="7">
        <v>26080</v>
      </c>
      <c r="C1448" s="7">
        <v>16.22</v>
      </c>
      <c r="D1448" s="2">
        <f t="shared" si="387"/>
        <v>-4.00000000000027E-2</v>
      </c>
      <c r="E1448" s="8">
        <f t="shared" ref="E1448:E1464" si="392">E1447-F1447</f>
        <v>16.235708907564923</v>
      </c>
      <c r="F1448" s="6">
        <f t="shared" si="382"/>
        <v>2.8248587570621469E-2</v>
      </c>
      <c r="G1448" s="12">
        <f t="shared" ref="G1448:G1464" si="393">C1448-E1448</f>
        <v>-1.5708907564924601E-2</v>
      </c>
    </row>
    <row r="1449" spans="1:7" x14ac:dyDescent="0.3">
      <c r="A1449" s="11" t="s">
        <v>1384</v>
      </c>
      <c r="B1449" s="7">
        <v>26100</v>
      </c>
      <c r="C1449" s="7">
        <v>16.16</v>
      </c>
      <c r="D1449" s="2">
        <f t="shared" si="387"/>
        <v>-5.9999999999998721E-2</v>
      </c>
      <c r="E1449" s="8">
        <f t="shared" si="392"/>
        <v>16.207460319994301</v>
      </c>
      <c r="F1449" s="6">
        <f t="shared" si="382"/>
        <v>2.8248587570621469E-2</v>
      </c>
      <c r="G1449" s="12">
        <f t="shared" si="393"/>
        <v>-4.7460319994300448E-2</v>
      </c>
    </row>
    <row r="1450" spans="1:7" x14ac:dyDescent="0.3">
      <c r="A1450" s="11" t="s">
        <v>1385</v>
      </c>
      <c r="B1450" s="7">
        <v>26120</v>
      </c>
      <c r="C1450" s="7">
        <v>16.11</v>
      </c>
      <c r="D1450" s="2">
        <f t="shared" si="387"/>
        <v>-5.0000000000000711E-2</v>
      </c>
      <c r="E1450" s="8">
        <f t="shared" si="392"/>
        <v>16.179211732423678</v>
      </c>
      <c r="F1450" s="6">
        <f t="shared" si="382"/>
        <v>2.8248587570621469E-2</v>
      </c>
      <c r="G1450" s="12">
        <f t="shared" si="393"/>
        <v>-6.9211732423678285E-2</v>
      </c>
    </row>
    <row r="1451" spans="1:7" x14ac:dyDescent="0.3">
      <c r="A1451" s="11" t="s">
        <v>1386</v>
      </c>
      <c r="B1451" s="7">
        <v>26140</v>
      </c>
      <c r="C1451" s="7">
        <v>16.053999999999998</v>
      </c>
      <c r="D1451" s="2">
        <f t="shared" si="387"/>
        <v>-5.6000000000000938E-2</v>
      </c>
      <c r="E1451" s="8">
        <f t="shared" si="392"/>
        <v>16.150963144853055</v>
      </c>
      <c r="F1451" s="6">
        <f t="shared" si="382"/>
        <v>2.8248587570621469E-2</v>
      </c>
      <c r="G1451" s="12">
        <f t="shared" si="393"/>
        <v>-9.6963144853056349E-2</v>
      </c>
    </row>
    <row r="1452" spans="1:7" x14ac:dyDescent="0.3">
      <c r="A1452" s="11" t="s">
        <v>1387</v>
      </c>
      <c r="B1452" s="7">
        <v>26160</v>
      </c>
      <c r="C1452" s="7">
        <v>16.001000000000001</v>
      </c>
      <c r="D1452" s="2">
        <f t="shared" si="387"/>
        <v>-5.2999999999997272E-2</v>
      </c>
      <c r="E1452" s="8">
        <f t="shared" si="392"/>
        <v>16.122714557282432</v>
      </c>
      <c r="F1452" s="6">
        <f t="shared" si="382"/>
        <v>2.8248587570621469E-2</v>
      </c>
      <c r="G1452" s="12">
        <f t="shared" si="393"/>
        <v>-0.12171455728243075</v>
      </c>
    </row>
    <row r="1453" spans="1:7" x14ac:dyDescent="0.3">
      <c r="A1453" s="11" t="s">
        <v>1388</v>
      </c>
      <c r="B1453" s="7">
        <v>26180</v>
      </c>
      <c r="C1453" s="7">
        <v>15.977</v>
      </c>
      <c r="D1453" s="2">
        <f t="shared" si="387"/>
        <v>-2.4000000000000909E-2</v>
      </c>
      <c r="E1453" s="8">
        <f t="shared" si="392"/>
        <v>16.094465969711809</v>
      </c>
      <c r="F1453" s="6">
        <f t="shared" si="382"/>
        <v>2.8248587570621469E-2</v>
      </c>
      <c r="G1453" s="12">
        <f t="shared" si="393"/>
        <v>-0.11746596971180878</v>
      </c>
    </row>
    <row r="1454" spans="1:7" x14ac:dyDescent="0.3">
      <c r="A1454" s="11" t="s">
        <v>1389</v>
      </c>
      <c r="B1454" s="7">
        <v>26200</v>
      </c>
      <c r="C1454" s="7">
        <v>15.927</v>
      </c>
      <c r="D1454" s="2">
        <f t="shared" si="387"/>
        <v>-5.0000000000000711E-2</v>
      </c>
      <c r="E1454" s="8">
        <f t="shared" si="392"/>
        <v>16.066217382141186</v>
      </c>
      <c r="F1454" s="6">
        <f t="shared" si="382"/>
        <v>2.8248587570621469E-2</v>
      </c>
      <c r="G1454" s="12">
        <f t="shared" si="393"/>
        <v>-0.13921738214118662</v>
      </c>
    </row>
    <row r="1455" spans="1:7" x14ac:dyDescent="0.3">
      <c r="A1455" s="11" t="s">
        <v>1390</v>
      </c>
      <c r="B1455" s="7">
        <v>26220</v>
      </c>
      <c r="C1455" s="7">
        <v>15.896000000000001</v>
      </c>
      <c r="D1455" s="2">
        <f t="shared" si="387"/>
        <v>-3.0999999999998806E-2</v>
      </c>
      <c r="E1455" s="8">
        <f t="shared" si="392"/>
        <v>16.037968794570563</v>
      </c>
      <c r="F1455" s="6">
        <f t="shared" si="382"/>
        <v>2.8248587570621469E-2</v>
      </c>
      <c r="G1455" s="12">
        <f t="shared" si="393"/>
        <v>-0.14196879457056255</v>
      </c>
    </row>
    <row r="1456" spans="1:7" x14ac:dyDescent="0.3">
      <c r="A1456" s="11" t="s">
        <v>1391</v>
      </c>
      <c r="B1456" s="7">
        <v>26240</v>
      </c>
      <c r="C1456" s="7">
        <v>15.879</v>
      </c>
      <c r="D1456" s="2">
        <f t="shared" si="387"/>
        <v>-1.7000000000001236E-2</v>
      </c>
      <c r="E1456" s="8">
        <f t="shared" si="392"/>
        <v>16.00972020699994</v>
      </c>
      <c r="F1456" s="6">
        <f t="shared" si="382"/>
        <v>2.8248587570621469E-2</v>
      </c>
      <c r="G1456" s="12">
        <f t="shared" si="393"/>
        <v>-0.13072020699994091</v>
      </c>
    </row>
    <row r="1457" spans="1:18" x14ac:dyDescent="0.3">
      <c r="A1457" s="11" t="s">
        <v>1392</v>
      </c>
      <c r="B1457" s="7">
        <v>26260</v>
      </c>
      <c r="C1457" s="7">
        <v>15.851000000000001</v>
      </c>
      <c r="D1457" s="2">
        <f t="shared" si="387"/>
        <v>-2.7999999999998693E-2</v>
      </c>
      <c r="E1457" s="8">
        <f t="shared" si="392"/>
        <v>15.981471619429319</v>
      </c>
      <c r="F1457" s="6">
        <f t="shared" si="382"/>
        <v>2.8248587570621469E-2</v>
      </c>
      <c r="G1457" s="12">
        <f t="shared" si="393"/>
        <v>-0.13047161942931851</v>
      </c>
    </row>
    <row r="1458" spans="1:18" x14ac:dyDescent="0.3">
      <c r="A1458" s="11" t="s">
        <v>1393</v>
      </c>
      <c r="B1458" s="7">
        <v>26280</v>
      </c>
      <c r="C1458" s="7">
        <v>15.819000000000001</v>
      </c>
      <c r="D1458" s="2">
        <f t="shared" si="387"/>
        <v>-3.2000000000000028E-2</v>
      </c>
      <c r="E1458" s="8">
        <f t="shared" si="392"/>
        <v>15.953223031858698</v>
      </c>
      <c r="F1458" s="6">
        <f t="shared" si="382"/>
        <v>2.8248587570621469E-2</v>
      </c>
      <c r="G1458" s="12">
        <f t="shared" si="393"/>
        <v>-0.13422303185869744</v>
      </c>
    </row>
    <row r="1459" spans="1:18" x14ac:dyDescent="0.3">
      <c r="A1459" s="11" t="s">
        <v>1394</v>
      </c>
      <c r="B1459" s="7">
        <v>26300</v>
      </c>
      <c r="C1459" s="7">
        <v>15.792</v>
      </c>
      <c r="D1459" s="2">
        <f t="shared" si="387"/>
        <v>-2.7000000000001023E-2</v>
      </c>
      <c r="E1459" s="8">
        <f t="shared" si="392"/>
        <v>15.924974444288077</v>
      </c>
      <c r="F1459" s="6">
        <f t="shared" si="382"/>
        <v>2.8248587570621469E-2</v>
      </c>
      <c r="G1459" s="12">
        <f t="shared" si="393"/>
        <v>-0.13297444428807736</v>
      </c>
    </row>
    <row r="1460" spans="1:18" x14ac:dyDescent="0.3">
      <c r="A1460" s="11" t="s">
        <v>1395</v>
      </c>
      <c r="B1460" s="7">
        <v>26320</v>
      </c>
      <c r="C1460" s="7">
        <v>15.763999999999999</v>
      </c>
      <c r="D1460" s="2">
        <f t="shared" si="387"/>
        <v>-2.8000000000000469E-2</v>
      </c>
      <c r="E1460" s="8">
        <f t="shared" si="392"/>
        <v>15.896725856717456</v>
      </c>
      <c r="F1460" s="6">
        <f t="shared" si="382"/>
        <v>2.8248587570621469E-2</v>
      </c>
      <c r="G1460" s="12">
        <f t="shared" si="393"/>
        <v>-0.13272585671745674</v>
      </c>
    </row>
    <row r="1461" spans="1:18" x14ac:dyDescent="0.3">
      <c r="A1461" s="11" t="s">
        <v>1396</v>
      </c>
      <c r="B1461" s="7">
        <v>26340</v>
      </c>
      <c r="C1461" s="7">
        <v>15.750999999999999</v>
      </c>
      <c r="D1461" s="2">
        <f t="shared" si="387"/>
        <v>-1.2999999999999901E-2</v>
      </c>
      <c r="E1461" s="8">
        <f t="shared" si="392"/>
        <v>15.868477269146835</v>
      </c>
      <c r="F1461" s="6">
        <f t="shared" si="382"/>
        <v>2.8248587570621469E-2</v>
      </c>
      <c r="G1461" s="12">
        <f t="shared" si="393"/>
        <v>-0.11747726914683554</v>
      </c>
    </row>
    <row r="1462" spans="1:18" x14ac:dyDescent="0.3">
      <c r="A1462" s="11" t="s">
        <v>1397</v>
      </c>
      <c r="B1462" s="7">
        <v>26360</v>
      </c>
      <c r="C1462" s="7">
        <v>15.742000000000001</v>
      </c>
      <c r="D1462" s="2">
        <f t="shared" si="387"/>
        <v>-8.9999999999985647E-3</v>
      </c>
      <c r="E1462" s="8">
        <f t="shared" si="392"/>
        <v>15.840228681576214</v>
      </c>
      <c r="F1462" s="6">
        <f t="shared" si="382"/>
        <v>2.8248587570621469E-2</v>
      </c>
      <c r="G1462" s="12">
        <f t="shared" si="393"/>
        <v>-9.8228681576213006E-2</v>
      </c>
    </row>
    <row r="1463" spans="1:18" x14ac:dyDescent="0.3">
      <c r="A1463" s="11" t="s">
        <v>1398</v>
      </c>
      <c r="B1463" s="7">
        <v>26380</v>
      </c>
      <c r="C1463" s="7">
        <v>15.721</v>
      </c>
      <c r="D1463" s="2">
        <f t="shared" si="387"/>
        <v>-2.1000000000000796E-2</v>
      </c>
      <c r="E1463" s="8">
        <f t="shared" si="392"/>
        <v>15.811980094005593</v>
      </c>
      <c r="F1463" s="6">
        <f t="shared" si="382"/>
        <v>2.8248587570621469E-2</v>
      </c>
      <c r="G1463" s="12">
        <f t="shared" si="393"/>
        <v>-9.0980094005592704E-2</v>
      </c>
    </row>
    <row r="1464" spans="1:18" x14ac:dyDescent="0.3">
      <c r="A1464" s="11" t="s">
        <v>1399</v>
      </c>
      <c r="B1464" s="7">
        <v>26400</v>
      </c>
      <c r="C1464" s="7">
        <v>15.696</v>
      </c>
      <c r="D1464" s="2">
        <f t="shared" si="387"/>
        <v>-2.5000000000000355E-2</v>
      </c>
      <c r="E1464" s="8">
        <f t="shared" si="392"/>
        <v>15.783731506434972</v>
      </c>
      <c r="F1464" s="6">
        <f t="shared" si="382"/>
        <v>2.8248587570621469E-2</v>
      </c>
      <c r="G1464" s="12">
        <f t="shared" si="393"/>
        <v>-8.7731506434971962E-2</v>
      </c>
    </row>
    <row r="1465" spans="1:18" x14ac:dyDescent="0.3">
      <c r="A1465" s="11" t="s">
        <v>1400</v>
      </c>
      <c r="B1465" s="7">
        <v>26420</v>
      </c>
      <c r="C1465" s="7">
        <v>15.661</v>
      </c>
      <c r="D1465" s="2">
        <f t="shared" si="387"/>
        <v>-3.5000000000000142E-2</v>
      </c>
      <c r="E1465" s="8">
        <f t="shared" ref="E1465:E1467" si="394">E1464-F1464</f>
        <v>15.755482918864351</v>
      </c>
      <c r="F1465" s="6">
        <f t="shared" si="382"/>
        <v>2.8248587570621469E-2</v>
      </c>
      <c r="G1465" s="12">
        <f t="shared" ref="G1465:G1467" si="395">C1465-E1465</f>
        <v>-9.4482918864351007E-2</v>
      </c>
    </row>
    <row r="1466" spans="1:18" x14ac:dyDescent="0.3">
      <c r="A1466" s="11" t="s">
        <v>1401</v>
      </c>
      <c r="B1466" s="7">
        <v>26440</v>
      </c>
      <c r="C1466" s="7">
        <v>15.64</v>
      </c>
      <c r="D1466" s="2">
        <f t="shared" si="387"/>
        <v>-2.0999999999999019E-2</v>
      </c>
      <c r="E1466" s="8">
        <f t="shared" si="394"/>
        <v>15.727234331293729</v>
      </c>
      <c r="F1466" s="6">
        <f t="shared" si="382"/>
        <v>2.8248587570621469E-2</v>
      </c>
      <c r="G1466" s="12">
        <f t="shared" si="395"/>
        <v>-8.7234331293728928E-2</v>
      </c>
    </row>
    <row r="1467" spans="1:18" x14ac:dyDescent="0.3">
      <c r="A1467" s="11" t="s">
        <v>1402</v>
      </c>
      <c r="B1467" s="7">
        <v>26460</v>
      </c>
      <c r="C1467" s="7">
        <v>15.632999999999999</v>
      </c>
      <c r="D1467" s="2">
        <f t="shared" si="387"/>
        <v>-7.0000000000014495E-3</v>
      </c>
      <c r="E1467" s="8">
        <f t="shared" si="394"/>
        <v>15.698985743723108</v>
      </c>
      <c r="F1467" s="6">
        <f t="shared" si="382"/>
        <v>2.8248587570621469E-2</v>
      </c>
      <c r="G1467" s="12">
        <f t="shared" si="395"/>
        <v>-6.598574372310928E-2</v>
      </c>
    </row>
    <row r="1468" spans="1:18" x14ac:dyDescent="0.3">
      <c r="A1468" s="11" t="s">
        <v>1403</v>
      </c>
      <c r="B1468" s="7">
        <v>26480</v>
      </c>
      <c r="C1468" s="7">
        <v>15.628</v>
      </c>
      <c r="D1468" s="2">
        <f t="shared" si="387"/>
        <v>-4.9999999999990052E-3</v>
      </c>
      <c r="E1468" s="8">
        <f t="shared" ref="E1468:E1490" si="396">E1467-F1467</f>
        <v>15.670737156152487</v>
      </c>
      <c r="F1468" s="6">
        <f t="shared" si="382"/>
        <v>2.8248587570621469E-2</v>
      </c>
      <c r="G1468" s="12">
        <f t="shared" ref="G1468:G1490" si="397">C1468-E1468</f>
        <v>-4.2737156152487188E-2</v>
      </c>
    </row>
    <row r="1469" spans="1:18" x14ac:dyDescent="0.3">
      <c r="A1469" s="11" t="s">
        <v>1404</v>
      </c>
      <c r="B1469" s="7">
        <v>26500</v>
      </c>
      <c r="C1469" s="7">
        <v>15.641999999999999</v>
      </c>
      <c r="D1469" s="2">
        <f t="shared" si="387"/>
        <v>1.3999999999999346E-2</v>
      </c>
      <c r="E1469" s="8">
        <f t="shared" si="396"/>
        <v>15.642488568581866</v>
      </c>
      <c r="F1469" s="6">
        <f t="shared" si="382"/>
        <v>2.8248587570621469E-2</v>
      </c>
      <c r="G1469" s="12">
        <f t="shared" si="397"/>
        <v>-4.8856858186674401E-4</v>
      </c>
    </row>
    <row r="1470" spans="1:18" x14ac:dyDescent="0.3">
      <c r="A1470" s="21"/>
      <c r="B1470" s="22"/>
      <c r="C1470" s="22"/>
      <c r="D1470" s="22"/>
      <c r="E1470" s="22"/>
      <c r="F1470" s="22"/>
      <c r="G1470" s="23"/>
      <c r="H1470" s="4" t="s">
        <v>3223</v>
      </c>
      <c r="J1470" s="4"/>
      <c r="O1470" s="3">
        <f>1/O1471</f>
        <v>8.5178875638841568E-4</v>
      </c>
      <c r="P1470" s="3">
        <f>O1470*20</f>
        <v>1.7035775127768313E-2</v>
      </c>
      <c r="Q1470" s="3" t="s">
        <v>3200</v>
      </c>
      <c r="R1470" s="3">
        <v>1174</v>
      </c>
    </row>
    <row r="1471" spans="1:18" x14ac:dyDescent="0.3">
      <c r="A1471" s="11" t="s">
        <v>1405</v>
      </c>
      <c r="B1471" s="7">
        <v>26520</v>
      </c>
      <c r="C1471" s="7">
        <v>15.647</v>
      </c>
      <c r="D1471" s="2">
        <f>C1471-C1469</f>
        <v>5.0000000000007816E-3</v>
      </c>
      <c r="E1471" s="8">
        <f>E1469-F1471</f>
        <v>15.625452793454098</v>
      </c>
      <c r="F1471" s="6">
        <f>P1470</f>
        <v>1.7035775127768313E-2</v>
      </c>
      <c r="G1471" s="12">
        <f>C1471-E1471</f>
        <v>2.1547206545902142E-2</v>
      </c>
      <c r="H1471" s="3">
        <f>B1469</f>
        <v>26500</v>
      </c>
      <c r="I1471" s="3">
        <f>B1523</f>
        <v>27480</v>
      </c>
      <c r="J1471" s="3">
        <f>I1471-H1471</f>
        <v>980</v>
      </c>
      <c r="K1471" s="5">
        <f>E1469</f>
        <v>15.642488568581866</v>
      </c>
      <c r="L1471" s="3">
        <f>C1523</f>
        <v>14.808</v>
      </c>
      <c r="M1471" s="5">
        <f>L1471-K1471</f>
        <v>-0.83448856858186637</v>
      </c>
      <c r="N1471" s="3">
        <f>J1471/M1471</f>
        <v>-1174.3719889002391</v>
      </c>
      <c r="O1471" s="3">
        <v>1174</v>
      </c>
    </row>
    <row r="1472" spans="1:18" x14ac:dyDescent="0.3">
      <c r="A1472" s="11" t="s">
        <v>1406</v>
      </c>
      <c r="B1472" s="7">
        <v>26540</v>
      </c>
      <c r="C1472" s="7">
        <v>15.622</v>
      </c>
      <c r="D1472" s="2">
        <f t="shared" si="387"/>
        <v>-2.5000000000000355E-2</v>
      </c>
      <c r="E1472" s="8">
        <f>E1471-F1471</f>
        <v>15.60841701832633</v>
      </c>
      <c r="F1472" s="6">
        <f t="shared" ref="F1472" si="398">F1471</f>
        <v>1.7035775127768313E-2</v>
      </c>
      <c r="G1472" s="12">
        <f t="shared" ref="G1472" si="399">C1472-E1472</f>
        <v>1.3582981673669892E-2</v>
      </c>
    </row>
    <row r="1473" spans="1:7" x14ac:dyDescent="0.3">
      <c r="A1473" s="11" t="s">
        <v>1407</v>
      </c>
      <c r="B1473" s="7">
        <v>26560</v>
      </c>
      <c r="C1473" s="7">
        <v>15.605</v>
      </c>
      <c r="D1473" s="2">
        <f t="shared" si="387"/>
        <v>-1.699999999999946E-2</v>
      </c>
      <c r="E1473" s="8">
        <f t="shared" si="396"/>
        <v>15.591381243198562</v>
      </c>
      <c r="F1473" s="6">
        <f t="shared" si="382"/>
        <v>1.7035775127768313E-2</v>
      </c>
      <c r="G1473" s="12">
        <f t="shared" si="397"/>
        <v>1.3618756801438536E-2</v>
      </c>
    </row>
    <row r="1474" spans="1:7" x14ac:dyDescent="0.3">
      <c r="A1474" s="11" t="s">
        <v>1408</v>
      </c>
      <c r="B1474" s="7">
        <v>26580</v>
      </c>
      <c r="C1474" s="7">
        <v>15.59</v>
      </c>
      <c r="D1474" s="2">
        <f t="shared" si="387"/>
        <v>-1.5000000000000568E-2</v>
      </c>
      <c r="E1474" s="8">
        <f t="shared" si="396"/>
        <v>15.574345468070794</v>
      </c>
      <c r="F1474" s="6">
        <f t="shared" si="382"/>
        <v>1.7035775127768313E-2</v>
      </c>
      <c r="G1474" s="12">
        <f t="shared" si="397"/>
        <v>1.5654531929206073E-2</v>
      </c>
    </row>
    <row r="1475" spans="1:7" x14ac:dyDescent="0.3">
      <c r="A1475" s="11" t="s">
        <v>1409</v>
      </c>
      <c r="B1475" s="7">
        <v>26600</v>
      </c>
      <c r="C1475" s="7">
        <v>15.567</v>
      </c>
      <c r="D1475" s="2">
        <f t="shared" si="387"/>
        <v>-2.2999999999999687E-2</v>
      </c>
      <c r="E1475" s="8">
        <f t="shared" si="396"/>
        <v>15.557309692943026</v>
      </c>
      <c r="F1475" s="6">
        <f t="shared" si="382"/>
        <v>1.7035775127768313E-2</v>
      </c>
      <c r="G1475" s="12">
        <f t="shared" si="397"/>
        <v>9.6903070569744898E-3</v>
      </c>
    </row>
    <row r="1476" spans="1:7" x14ac:dyDescent="0.3">
      <c r="A1476" s="11" t="s">
        <v>1410</v>
      </c>
      <c r="B1476" s="7">
        <v>26620</v>
      </c>
      <c r="C1476" s="7">
        <v>15.558999999999999</v>
      </c>
      <c r="D1476" s="2">
        <f t="shared" si="387"/>
        <v>-8.0000000000008953E-3</v>
      </c>
      <c r="E1476" s="8">
        <f t="shared" si="396"/>
        <v>15.540273917815258</v>
      </c>
      <c r="F1476" s="6">
        <f t="shared" si="382"/>
        <v>1.7035775127768313E-2</v>
      </c>
      <c r="G1476" s="12">
        <f t="shared" si="397"/>
        <v>1.8726082184741699E-2</v>
      </c>
    </row>
    <row r="1477" spans="1:7" x14ac:dyDescent="0.3">
      <c r="A1477" s="11" t="s">
        <v>1411</v>
      </c>
      <c r="B1477" s="7">
        <v>26640</v>
      </c>
      <c r="C1477" s="7">
        <v>15.548999999999999</v>
      </c>
      <c r="D1477" s="2">
        <f t="shared" si="387"/>
        <v>-9.9999999999997868E-3</v>
      </c>
      <c r="E1477" s="8">
        <f t="shared" si="396"/>
        <v>15.523238142687489</v>
      </c>
      <c r="F1477" s="6">
        <f t="shared" si="382"/>
        <v>1.7035775127768313E-2</v>
      </c>
      <c r="G1477" s="12">
        <f t="shared" si="397"/>
        <v>2.5761857312510017E-2</v>
      </c>
    </row>
    <row r="1478" spans="1:7" x14ac:dyDescent="0.3">
      <c r="A1478" s="11" t="s">
        <v>1412</v>
      </c>
      <c r="B1478" s="7">
        <v>26660</v>
      </c>
      <c r="C1478" s="7">
        <v>15.541</v>
      </c>
      <c r="D1478" s="2">
        <f t="shared" si="387"/>
        <v>-7.9999999999991189E-3</v>
      </c>
      <c r="E1478" s="8">
        <f t="shared" si="396"/>
        <v>15.506202367559721</v>
      </c>
      <c r="F1478" s="6">
        <f t="shared" si="382"/>
        <v>1.7035775127768313E-2</v>
      </c>
      <c r="G1478" s="12">
        <f t="shared" si="397"/>
        <v>3.4797632440279003E-2</v>
      </c>
    </row>
    <row r="1479" spans="1:7" x14ac:dyDescent="0.3">
      <c r="A1479" s="11" t="s">
        <v>1413</v>
      </c>
      <c r="B1479" s="7">
        <v>26680</v>
      </c>
      <c r="C1479" s="7">
        <v>15.537000000000001</v>
      </c>
      <c r="D1479" s="2">
        <f t="shared" si="387"/>
        <v>-3.9999999999995595E-3</v>
      </c>
      <c r="E1479" s="8">
        <f t="shared" si="396"/>
        <v>15.489166592431953</v>
      </c>
      <c r="F1479" s="6">
        <f t="shared" si="382"/>
        <v>1.7035775127768313E-2</v>
      </c>
      <c r="G1479" s="12">
        <f t="shared" si="397"/>
        <v>4.7833407568047548E-2</v>
      </c>
    </row>
    <row r="1480" spans="1:7" x14ac:dyDescent="0.3">
      <c r="A1480" s="11" t="s">
        <v>1414</v>
      </c>
      <c r="B1480" s="7">
        <v>26700</v>
      </c>
      <c r="C1480" s="7">
        <v>15.528</v>
      </c>
      <c r="D1480" s="2">
        <f t="shared" si="387"/>
        <v>-9.0000000000003411E-3</v>
      </c>
      <c r="E1480" s="8">
        <f t="shared" si="396"/>
        <v>15.472130817304185</v>
      </c>
      <c r="F1480" s="6">
        <f t="shared" si="382"/>
        <v>1.7035775127768313E-2</v>
      </c>
      <c r="G1480" s="12">
        <f t="shared" si="397"/>
        <v>5.5869182695815311E-2</v>
      </c>
    </row>
    <row r="1481" spans="1:7" x14ac:dyDescent="0.3">
      <c r="A1481" s="11" t="s">
        <v>1415</v>
      </c>
      <c r="B1481" s="7">
        <v>26720</v>
      </c>
      <c r="C1481" s="7">
        <v>15.49</v>
      </c>
      <c r="D1481" s="2">
        <f t="shared" si="387"/>
        <v>-3.8000000000000256E-2</v>
      </c>
      <c r="E1481" s="8">
        <f t="shared" si="396"/>
        <v>15.455095042176417</v>
      </c>
      <c r="F1481" s="6">
        <f t="shared" ref="F1481:F1553" si="400">F1480</f>
        <v>1.7035775127768313E-2</v>
      </c>
      <c r="G1481" s="12">
        <f t="shared" si="397"/>
        <v>3.490495782358316E-2</v>
      </c>
    </row>
    <row r="1482" spans="1:7" x14ac:dyDescent="0.3">
      <c r="A1482" s="11" t="s">
        <v>1416</v>
      </c>
      <c r="B1482" s="7">
        <v>26740</v>
      </c>
      <c r="C1482" s="7">
        <v>15.464</v>
      </c>
      <c r="D1482" s="2">
        <f t="shared" si="387"/>
        <v>-2.5999999999999801E-2</v>
      </c>
      <c r="E1482" s="8">
        <f t="shared" si="396"/>
        <v>15.438059267048649</v>
      </c>
      <c r="F1482" s="6">
        <f t="shared" si="400"/>
        <v>1.7035775127768313E-2</v>
      </c>
      <c r="G1482" s="12">
        <f t="shared" si="397"/>
        <v>2.5940732951351464E-2</v>
      </c>
    </row>
    <row r="1483" spans="1:7" x14ac:dyDescent="0.3">
      <c r="A1483" s="11" t="s">
        <v>1417</v>
      </c>
      <c r="B1483" s="7">
        <v>26760</v>
      </c>
      <c r="C1483" s="7">
        <v>15.455</v>
      </c>
      <c r="D1483" s="2">
        <f t="shared" si="387"/>
        <v>-9.0000000000003411E-3</v>
      </c>
      <c r="E1483" s="8">
        <f t="shared" si="396"/>
        <v>15.421023491920881</v>
      </c>
      <c r="F1483" s="6">
        <f t="shared" si="400"/>
        <v>1.7035775127768313E-2</v>
      </c>
      <c r="G1483" s="12">
        <f t="shared" si="397"/>
        <v>3.3976508079119228E-2</v>
      </c>
    </row>
    <row r="1484" spans="1:7" x14ac:dyDescent="0.3">
      <c r="A1484" s="11" t="s">
        <v>1418</v>
      </c>
      <c r="B1484" s="7">
        <v>26780</v>
      </c>
      <c r="C1484" s="7">
        <v>15.45</v>
      </c>
      <c r="D1484" s="2">
        <f t="shared" si="387"/>
        <v>-5.0000000000007816E-3</v>
      </c>
      <c r="E1484" s="8">
        <f t="shared" si="396"/>
        <v>15.403987716793113</v>
      </c>
      <c r="F1484" s="6">
        <f t="shared" si="400"/>
        <v>1.7035775127768313E-2</v>
      </c>
      <c r="G1484" s="12">
        <f t="shared" si="397"/>
        <v>4.6012283206886551E-2</v>
      </c>
    </row>
    <row r="1485" spans="1:7" x14ac:dyDescent="0.3">
      <c r="A1485" s="11" t="s">
        <v>1419</v>
      </c>
      <c r="B1485" s="7">
        <v>26800</v>
      </c>
      <c r="C1485" s="7">
        <v>15.403</v>
      </c>
      <c r="D1485" s="2">
        <f t="shared" si="387"/>
        <v>-4.699999999999882E-2</v>
      </c>
      <c r="E1485" s="8">
        <f t="shared" si="396"/>
        <v>15.386951941665345</v>
      </c>
      <c r="F1485" s="6">
        <f t="shared" si="400"/>
        <v>1.7035775127768313E-2</v>
      </c>
      <c r="G1485" s="12">
        <f t="shared" si="397"/>
        <v>1.6048058334655835E-2</v>
      </c>
    </row>
    <row r="1486" spans="1:7" x14ac:dyDescent="0.3">
      <c r="A1486" s="11" t="s">
        <v>1420</v>
      </c>
      <c r="B1486" s="7">
        <v>26820</v>
      </c>
      <c r="C1486" s="7">
        <v>15.363</v>
      </c>
      <c r="D1486" s="2">
        <f t="shared" si="387"/>
        <v>-4.0000000000000924E-2</v>
      </c>
      <c r="E1486" s="8">
        <f t="shared" si="396"/>
        <v>15.369916166537577</v>
      </c>
      <c r="F1486" s="6">
        <f t="shared" si="400"/>
        <v>1.7035775127768313E-2</v>
      </c>
      <c r="G1486" s="12">
        <f t="shared" si="397"/>
        <v>-6.9161665375769843E-3</v>
      </c>
    </row>
    <row r="1487" spans="1:7" x14ac:dyDescent="0.3">
      <c r="A1487" s="11" t="s">
        <v>1421</v>
      </c>
      <c r="B1487" s="7">
        <v>26840</v>
      </c>
      <c r="C1487" s="7">
        <v>15.324</v>
      </c>
      <c r="D1487" s="2">
        <f t="shared" si="387"/>
        <v>-3.8999999999999702E-2</v>
      </c>
      <c r="E1487" s="8">
        <f t="shared" si="396"/>
        <v>15.352880391409808</v>
      </c>
      <c r="F1487" s="6">
        <f t="shared" si="400"/>
        <v>1.7035775127768313E-2</v>
      </c>
      <c r="G1487" s="12">
        <f t="shared" si="397"/>
        <v>-2.8880391409808581E-2</v>
      </c>
    </row>
    <row r="1488" spans="1:7" x14ac:dyDescent="0.3">
      <c r="A1488" s="11" t="s">
        <v>1422</v>
      </c>
      <c r="B1488" s="7">
        <v>26860</v>
      </c>
      <c r="C1488" s="7">
        <v>15.313000000000001</v>
      </c>
      <c r="D1488" s="2">
        <f t="shared" si="387"/>
        <v>-1.0999999999999233E-2</v>
      </c>
      <c r="E1488" s="8">
        <f t="shared" si="396"/>
        <v>15.33584461628204</v>
      </c>
      <c r="F1488" s="6">
        <f t="shared" si="400"/>
        <v>1.7035775127768313E-2</v>
      </c>
      <c r="G1488" s="12">
        <f t="shared" si="397"/>
        <v>-2.2844616282039709E-2</v>
      </c>
    </row>
    <row r="1489" spans="1:7" x14ac:dyDescent="0.3">
      <c r="A1489" s="11" t="s">
        <v>1423</v>
      </c>
      <c r="B1489" s="7">
        <v>26880</v>
      </c>
      <c r="C1489" s="7">
        <v>15.302</v>
      </c>
      <c r="D1489" s="2">
        <f t="shared" si="387"/>
        <v>-1.1000000000001009E-2</v>
      </c>
      <c r="E1489" s="8">
        <f t="shared" si="396"/>
        <v>15.318808841154272</v>
      </c>
      <c r="F1489" s="6">
        <f t="shared" si="400"/>
        <v>1.7035775127768313E-2</v>
      </c>
      <c r="G1489" s="12">
        <f t="shared" si="397"/>
        <v>-1.6808841154272613E-2</v>
      </c>
    </row>
    <row r="1490" spans="1:7" x14ac:dyDescent="0.3">
      <c r="A1490" s="11" t="s">
        <v>1424</v>
      </c>
      <c r="B1490" s="7">
        <v>26900</v>
      </c>
      <c r="C1490" s="7">
        <v>15.287000000000001</v>
      </c>
      <c r="D1490" s="2">
        <f t="shared" si="387"/>
        <v>-1.4999999999998792E-2</v>
      </c>
      <c r="E1490" s="8">
        <f t="shared" si="396"/>
        <v>15.301773066026504</v>
      </c>
      <c r="F1490" s="6">
        <f t="shared" si="400"/>
        <v>1.7035775127768313E-2</v>
      </c>
      <c r="G1490" s="12">
        <f t="shared" si="397"/>
        <v>-1.4773066026503301E-2</v>
      </c>
    </row>
    <row r="1491" spans="1:7" x14ac:dyDescent="0.3">
      <c r="A1491" s="11" t="s">
        <v>1425</v>
      </c>
      <c r="B1491" s="7">
        <v>26920</v>
      </c>
      <c r="C1491" s="7">
        <v>15.266</v>
      </c>
      <c r="D1491" s="2">
        <f t="shared" ref="D1491:D1565" si="401">C1491-C1490</f>
        <v>-2.1000000000000796E-2</v>
      </c>
      <c r="E1491" s="8">
        <f t="shared" ref="E1491:E1518" si="402">E1490-F1490</f>
        <v>15.284737290898736</v>
      </c>
      <c r="F1491" s="6">
        <f t="shared" si="400"/>
        <v>1.7035775127768313E-2</v>
      </c>
      <c r="G1491" s="12">
        <f t="shared" ref="G1491:G1518" si="403">C1491-E1491</f>
        <v>-1.8737290898735992E-2</v>
      </c>
    </row>
    <row r="1492" spans="1:7" x14ac:dyDescent="0.3">
      <c r="A1492" s="11" t="s">
        <v>1426</v>
      </c>
      <c r="B1492" s="7">
        <v>26940</v>
      </c>
      <c r="C1492" s="7">
        <v>15.231999999999999</v>
      </c>
      <c r="D1492" s="2">
        <f t="shared" si="401"/>
        <v>-3.4000000000000696E-2</v>
      </c>
      <c r="E1492" s="8">
        <f t="shared" si="402"/>
        <v>15.267701515770968</v>
      </c>
      <c r="F1492" s="6">
        <f t="shared" si="400"/>
        <v>1.7035775127768313E-2</v>
      </c>
      <c r="G1492" s="12">
        <f t="shared" si="403"/>
        <v>-3.5701515770968584E-2</v>
      </c>
    </row>
    <row r="1493" spans="1:7" x14ac:dyDescent="0.3">
      <c r="A1493" s="11" t="s">
        <v>1427</v>
      </c>
      <c r="B1493" s="7">
        <v>26960</v>
      </c>
      <c r="C1493" s="7">
        <v>15.195</v>
      </c>
      <c r="D1493" s="2">
        <f t="shared" si="401"/>
        <v>-3.6999999999999034E-2</v>
      </c>
      <c r="E1493" s="8">
        <f t="shared" si="402"/>
        <v>15.2506657406432</v>
      </c>
      <c r="F1493" s="6">
        <f t="shared" si="400"/>
        <v>1.7035775127768313E-2</v>
      </c>
      <c r="G1493" s="12">
        <f t="shared" si="403"/>
        <v>-5.5665740643199513E-2</v>
      </c>
    </row>
    <row r="1494" spans="1:7" x14ac:dyDescent="0.3">
      <c r="A1494" s="11" t="s">
        <v>1428</v>
      </c>
      <c r="B1494" s="7">
        <v>26980</v>
      </c>
      <c r="C1494" s="7">
        <v>15.16</v>
      </c>
      <c r="D1494" s="2">
        <f t="shared" si="401"/>
        <v>-3.5000000000000142E-2</v>
      </c>
      <c r="E1494" s="8">
        <f t="shared" si="402"/>
        <v>15.233629965515432</v>
      </c>
      <c r="F1494" s="6">
        <f t="shared" si="400"/>
        <v>1.7035775127768313E-2</v>
      </c>
      <c r="G1494" s="12">
        <f t="shared" si="403"/>
        <v>-7.362996551543155E-2</v>
      </c>
    </row>
    <row r="1495" spans="1:7" x14ac:dyDescent="0.3">
      <c r="A1495" s="13" t="s">
        <v>1429</v>
      </c>
      <c r="B1495" s="24"/>
      <c r="C1495" s="25"/>
      <c r="D1495" s="25"/>
      <c r="E1495" s="25"/>
      <c r="F1495" s="25"/>
      <c r="G1495" s="26"/>
    </row>
    <row r="1496" spans="1:7" x14ac:dyDescent="0.3">
      <c r="A1496" s="11" t="s">
        <v>1430</v>
      </c>
      <c r="B1496" s="7">
        <v>27000</v>
      </c>
      <c r="C1496" s="7">
        <v>15.151999999999999</v>
      </c>
      <c r="D1496" s="2">
        <f>C1496-C1494</f>
        <v>-8.0000000000008953E-3</v>
      </c>
      <c r="E1496" s="8">
        <f>E1494-F1494</f>
        <v>15.216594190387664</v>
      </c>
      <c r="F1496" s="6">
        <f>F1494</f>
        <v>1.7035775127768313E-2</v>
      </c>
      <c r="G1496" s="12">
        <f t="shared" si="403"/>
        <v>-6.4594190387664341E-2</v>
      </c>
    </row>
    <row r="1497" spans="1:7" x14ac:dyDescent="0.3">
      <c r="A1497" s="11" t="s">
        <v>1431</v>
      </c>
      <c r="B1497" s="7">
        <v>27020</v>
      </c>
      <c r="C1497" s="7">
        <v>15.116</v>
      </c>
      <c r="D1497" s="2">
        <f t="shared" si="401"/>
        <v>-3.5999999999999588E-2</v>
      </c>
      <c r="E1497" s="8">
        <f t="shared" si="402"/>
        <v>15.199558415259895</v>
      </c>
      <c r="F1497" s="6">
        <f t="shared" si="400"/>
        <v>1.7035775127768313E-2</v>
      </c>
      <c r="G1497" s="12">
        <f t="shared" si="403"/>
        <v>-8.3558415259895824E-2</v>
      </c>
    </row>
    <row r="1498" spans="1:7" x14ac:dyDescent="0.3">
      <c r="A1498" s="11" t="s">
        <v>1432</v>
      </c>
      <c r="B1498" s="7">
        <v>27040</v>
      </c>
      <c r="C1498" s="7">
        <v>15.086</v>
      </c>
      <c r="D1498" s="2">
        <f t="shared" si="401"/>
        <v>-2.9999999999999361E-2</v>
      </c>
      <c r="E1498" s="8">
        <f t="shared" si="402"/>
        <v>15.182522640132127</v>
      </c>
      <c r="F1498" s="6">
        <f t="shared" si="400"/>
        <v>1.7035775127768313E-2</v>
      </c>
      <c r="G1498" s="12">
        <f t="shared" si="403"/>
        <v>-9.652264013212708E-2</v>
      </c>
    </row>
    <row r="1499" spans="1:7" x14ac:dyDescent="0.3">
      <c r="A1499" s="11" t="s">
        <v>1433</v>
      </c>
      <c r="B1499" s="7">
        <v>27060</v>
      </c>
      <c r="C1499" s="7">
        <v>15.071999999999999</v>
      </c>
      <c r="D1499" s="2">
        <f t="shared" si="401"/>
        <v>-1.4000000000001123E-2</v>
      </c>
      <c r="E1499" s="8">
        <f t="shared" si="402"/>
        <v>15.165486865004359</v>
      </c>
      <c r="F1499" s="6">
        <f t="shared" si="400"/>
        <v>1.7035775127768313E-2</v>
      </c>
      <c r="G1499" s="12">
        <f t="shared" si="403"/>
        <v>-9.3486865004360098E-2</v>
      </c>
    </row>
    <row r="1500" spans="1:7" x14ac:dyDescent="0.3">
      <c r="A1500" s="11" t="s">
        <v>1434</v>
      </c>
      <c r="B1500" s="7">
        <v>27080</v>
      </c>
      <c r="C1500" s="7">
        <v>15.061999999999999</v>
      </c>
      <c r="D1500" s="2">
        <f t="shared" si="401"/>
        <v>-9.9999999999997868E-3</v>
      </c>
      <c r="E1500" s="8">
        <f t="shared" si="402"/>
        <v>15.148451089876591</v>
      </c>
      <c r="F1500" s="6">
        <f t="shared" si="400"/>
        <v>1.7035775127768313E-2</v>
      </c>
      <c r="G1500" s="12">
        <f t="shared" si="403"/>
        <v>-8.645108987659178E-2</v>
      </c>
    </row>
    <row r="1501" spans="1:7" x14ac:dyDescent="0.3">
      <c r="A1501" s="11" t="s">
        <v>1435</v>
      </c>
      <c r="B1501" s="7">
        <v>27100</v>
      </c>
      <c r="C1501" s="7">
        <v>15.044</v>
      </c>
      <c r="D1501" s="2">
        <f t="shared" si="401"/>
        <v>-1.7999999999998906E-2</v>
      </c>
      <c r="E1501" s="8">
        <f t="shared" si="402"/>
        <v>15.131415314748823</v>
      </c>
      <c r="F1501" s="6">
        <f t="shared" si="400"/>
        <v>1.7035775127768313E-2</v>
      </c>
      <c r="G1501" s="12">
        <f t="shared" si="403"/>
        <v>-8.7415314748822581E-2</v>
      </c>
    </row>
    <row r="1502" spans="1:7" x14ac:dyDescent="0.3">
      <c r="A1502" s="11" t="s">
        <v>1436</v>
      </c>
      <c r="B1502" s="7">
        <v>27120</v>
      </c>
      <c r="C1502" s="7">
        <v>15.032999999999999</v>
      </c>
      <c r="D1502" s="2">
        <f t="shared" si="401"/>
        <v>-1.1000000000001009E-2</v>
      </c>
      <c r="E1502" s="8">
        <f t="shared" si="402"/>
        <v>15.114379539621055</v>
      </c>
      <c r="F1502" s="6">
        <f t="shared" si="400"/>
        <v>1.7035775127768313E-2</v>
      </c>
      <c r="G1502" s="12">
        <f t="shared" si="403"/>
        <v>-8.1379539621055486E-2</v>
      </c>
    </row>
    <row r="1503" spans="1:7" x14ac:dyDescent="0.3">
      <c r="A1503" s="11" t="s">
        <v>1437</v>
      </c>
      <c r="B1503" s="7">
        <v>27140</v>
      </c>
      <c r="C1503" s="7">
        <v>15.044</v>
      </c>
      <c r="D1503" s="2">
        <f t="shared" si="401"/>
        <v>1.1000000000001009E-2</v>
      </c>
      <c r="E1503" s="8">
        <f t="shared" si="402"/>
        <v>15.097343764493287</v>
      </c>
      <c r="F1503" s="6">
        <f t="shared" si="400"/>
        <v>1.7035775127768313E-2</v>
      </c>
      <c r="G1503" s="12">
        <f t="shared" si="403"/>
        <v>-5.3343764493286372E-2</v>
      </c>
    </row>
    <row r="1504" spans="1:7" x14ac:dyDescent="0.3">
      <c r="A1504" s="11" t="s">
        <v>1438</v>
      </c>
      <c r="B1504" s="7">
        <v>27160</v>
      </c>
      <c r="C1504" s="7">
        <v>15.035</v>
      </c>
      <c r="D1504" s="2">
        <f t="shared" si="401"/>
        <v>-9.0000000000003411E-3</v>
      </c>
      <c r="E1504" s="8">
        <f t="shared" si="402"/>
        <v>15.080307989365519</v>
      </c>
      <c r="F1504" s="6">
        <f t="shared" si="400"/>
        <v>1.7035775127768313E-2</v>
      </c>
      <c r="G1504" s="12">
        <f t="shared" si="403"/>
        <v>-4.5307989365518608E-2</v>
      </c>
    </row>
    <row r="1505" spans="1:7" x14ac:dyDescent="0.3">
      <c r="A1505" s="11" t="s">
        <v>1439</v>
      </c>
      <c r="B1505" s="7">
        <v>27180</v>
      </c>
      <c r="C1505" s="7">
        <v>15.058999999999999</v>
      </c>
      <c r="D1505" s="2">
        <f t="shared" si="401"/>
        <v>2.3999999999999133E-2</v>
      </c>
      <c r="E1505" s="8">
        <f t="shared" si="402"/>
        <v>15.063272214237751</v>
      </c>
      <c r="F1505" s="6">
        <f t="shared" si="400"/>
        <v>1.7035775127768313E-2</v>
      </c>
      <c r="G1505" s="12">
        <f t="shared" si="403"/>
        <v>-4.2722142377513705E-3</v>
      </c>
    </row>
    <row r="1506" spans="1:7" x14ac:dyDescent="0.3">
      <c r="A1506" s="11" t="s">
        <v>1440</v>
      </c>
      <c r="B1506" s="7">
        <v>27200</v>
      </c>
      <c r="C1506" s="7">
        <v>15.103</v>
      </c>
      <c r="D1506" s="2">
        <f t="shared" si="401"/>
        <v>4.4000000000000483E-2</v>
      </c>
      <c r="E1506" s="8">
        <f t="shared" si="402"/>
        <v>15.046236439109983</v>
      </c>
      <c r="F1506" s="6">
        <f t="shared" si="400"/>
        <v>1.7035775127768313E-2</v>
      </c>
      <c r="G1506" s="12">
        <f t="shared" si="403"/>
        <v>5.6763560890017217E-2</v>
      </c>
    </row>
    <row r="1507" spans="1:7" x14ac:dyDescent="0.3">
      <c r="A1507" s="11" t="s">
        <v>1441</v>
      </c>
      <c r="B1507" s="7">
        <v>27220</v>
      </c>
      <c r="C1507" s="7">
        <v>15.148999999999999</v>
      </c>
      <c r="D1507" s="2">
        <f t="shared" si="401"/>
        <v>4.5999999999999375E-2</v>
      </c>
      <c r="E1507" s="8">
        <f t="shared" si="402"/>
        <v>15.029200663982214</v>
      </c>
      <c r="F1507" s="6">
        <f t="shared" si="400"/>
        <v>1.7035775127768313E-2</v>
      </c>
      <c r="G1507" s="12">
        <f t="shared" si="403"/>
        <v>0.1197993360177847</v>
      </c>
    </row>
    <row r="1508" spans="1:7" x14ac:dyDescent="0.3">
      <c r="A1508" s="11" t="s">
        <v>1442</v>
      </c>
      <c r="B1508" s="7">
        <v>27240</v>
      </c>
      <c r="C1508" s="7">
        <v>15.138999999999999</v>
      </c>
      <c r="D1508" s="2">
        <f t="shared" si="401"/>
        <v>-9.9999999999997868E-3</v>
      </c>
      <c r="E1508" s="8">
        <f t="shared" si="402"/>
        <v>15.012164888854446</v>
      </c>
      <c r="F1508" s="6">
        <f t="shared" si="400"/>
        <v>1.7035775127768313E-2</v>
      </c>
      <c r="G1508" s="12">
        <f t="shared" si="403"/>
        <v>0.12683511114555301</v>
      </c>
    </row>
    <row r="1509" spans="1:7" x14ac:dyDescent="0.3">
      <c r="A1509" s="11" t="s">
        <v>1443</v>
      </c>
      <c r="B1509" s="7">
        <v>27260</v>
      </c>
      <c r="C1509" s="7">
        <v>15.023</v>
      </c>
      <c r="D1509" s="2">
        <f>C1509-C1508</f>
        <v>-0.11599999999999966</v>
      </c>
      <c r="E1509" s="8">
        <f>E1508-F1508</f>
        <v>14.995129113726678</v>
      </c>
      <c r="F1509" s="6">
        <f>F1508</f>
        <v>1.7035775127768313E-2</v>
      </c>
      <c r="G1509" s="12">
        <f t="shared" si="403"/>
        <v>2.787088627332146E-2</v>
      </c>
    </row>
    <row r="1510" spans="1:7" x14ac:dyDescent="0.3">
      <c r="A1510" s="11" t="s">
        <v>1444</v>
      </c>
      <c r="B1510" s="7">
        <v>27280</v>
      </c>
      <c r="C1510" s="7">
        <v>14.987</v>
      </c>
      <c r="D1510" s="2">
        <f t="shared" si="401"/>
        <v>-3.5999999999999588E-2</v>
      </c>
      <c r="E1510" s="8">
        <f t="shared" si="402"/>
        <v>14.97809333859891</v>
      </c>
      <c r="F1510" s="6">
        <f t="shared" si="400"/>
        <v>1.7035775127768313E-2</v>
      </c>
      <c r="G1510" s="12">
        <f t="shared" si="403"/>
        <v>8.9066614010899769E-3</v>
      </c>
    </row>
    <row r="1511" spans="1:7" x14ac:dyDescent="0.3">
      <c r="A1511" s="11" t="s">
        <v>3214</v>
      </c>
      <c r="B1511" s="62" t="s">
        <v>3194</v>
      </c>
      <c r="C1511" s="63"/>
      <c r="D1511" s="63"/>
      <c r="E1511" s="63"/>
      <c r="F1511" s="63"/>
      <c r="G1511" s="64"/>
    </row>
    <row r="1512" spans="1:7" x14ac:dyDescent="0.3">
      <c r="A1512" s="11" t="s">
        <v>1445</v>
      </c>
      <c r="B1512" s="7">
        <v>27300</v>
      </c>
      <c r="C1512" s="7">
        <v>14.98</v>
      </c>
      <c r="D1512" s="2">
        <f>C1512-C1510</f>
        <v>-6.9999999999996732E-3</v>
      </c>
      <c r="E1512" s="8">
        <f>E1510-F1510</f>
        <v>14.961057563471142</v>
      </c>
      <c r="F1512" s="6">
        <f>F1510</f>
        <v>1.7035775127768313E-2</v>
      </c>
      <c r="G1512" s="12">
        <f t="shared" si="403"/>
        <v>1.8942436528858408E-2</v>
      </c>
    </row>
    <row r="1513" spans="1:7" x14ac:dyDescent="0.3">
      <c r="A1513" s="11" t="s">
        <v>1446</v>
      </c>
      <c r="B1513" s="7">
        <v>27320</v>
      </c>
      <c r="C1513" s="7">
        <v>14.956</v>
      </c>
      <c r="D1513" s="2">
        <f t="shared" si="401"/>
        <v>-2.4000000000000909E-2</v>
      </c>
      <c r="E1513" s="8">
        <f t="shared" si="402"/>
        <v>14.944021788343374</v>
      </c>
      <c r="F1513" s="6">
        <f t="shared" si="400"/>
        <v>1.7035775127768313E-2</v>
      </c>
      <c r="G1513" s="12">
        <f t="shared" si="403"/>
        <v>1.1978211656625604E-2</v>
      </c>
    </row>
    <row r="1514" spans="1:7" x14ac:dyDescent="0.3">
      <c r="A1514" s="11" t="s">
        <v>3219</v>
      </c>
      <c r="B1514" s="62" t="s">
        <v>3220</v>
      </c>
      <c r="C1514" s="63"/>
      <c r="D1514" s="63"/>
      <c r="E1514" s="63"/>
      <c r="F1514" s="63"/>
      <c r="G1514" s="64"/>
    </row>
    <row r="1515" spans="1:7" x14ac:dyDescent="0.3">
      <c r="A1515" s="11" t="s">
        <v>1447</v>
      </c>
      <c r="B1515" s="7">
        <v>27340</v>
      </c>
      <c r="C1515" s="7">
        <v>14.882</v>
      </c>
      <c r="D1515" s="2">
        <f>C1515-C1513</f>
        <v>-7.3999999999999844E-2</v>
      </c>
      <c r="E1515" s="8">
        <f>E1513-F1513</f>
        <v>14.926986013215606</v>
      </c>
      <c r="F1515" s="6">
        <f>F1513</f>
        <v>1.7035775127768313E-2</v>
      </c>
      <c r="G1515" s="12">
        <f t="shared" si="403"/>
        <v>-4.4986013215606135E-2</v>
      </c>
    </row>
    <row r="1516" spans="1:7" x14ac:dyDescent="0.3">
      <c r="A1516" s="11" t="s">
        <v>1448</v>
      </c>
      <c r="B1516" s="7">
        <v>27360</v>
      </c>
      <c r="C1516" s="7">
        <v>14.865</v>
      </c>
      <c r="D1516" s="2">
        <f t="shared" si="401"/>
        <v>-1.699999999999946E-2</v>
      </c>
      <c r="E1516" s="8">
        <f t="shared" si="402"/>
        <v>14.909950238087838</v>
      </c>
      <c r="F1516" s="6">
        <f t="shared" si="400"/>
        <v>1.7035775127768313E-2</v>
      </c>
      <c r="G1516" s="12">
        <f t="shared" si="403"/>
        <v>-4.4950238087837491E-2</v>
      </c>
    </row>
    <row r="1517" spans="1:7" x14ac:dyDescent="0.3">
      <c r="A1517" s="11" t="s">
        <v>1449</v>
      </c>
      <c r="B1517" s="7">
        <v>27380</v>
      </c>
      <c r="C1517" s="7">
        <v>14.853999999999999</v>
      </c>
      <c r="D1517" s="2">
        <f t="shared" si="401"/>
        <v>-1.1000000000001009E-2</v>
      </c>
      <c r="E1517" s="8">
        <f t="shared" si="402"/>
        <v>14.89291446296007</v>
      </c>
      <c r="F1517" s="6">
        <f t="shared" si="400"/>
        <v>1.7035775127768313E-2</v>
      </c>
      <c r="G1517" s="12">
        <f t="shared" si="403"/>
        <v>-3.8914462960070395E-2</v>
      </c>
    </row>
    <row r="1518" spans="1:7" x14ac:dyDescent="0.3">
      <c r="A1518" s="11" t="s">
        <v>1450</v>
      </c>
      <c r="B1518" s="7">
        <v>27400</v>
      </c>
      <c r="C1518" s="7">
        <v>14.84</v>
      </c>
      <c r="D1518" s="2">
        <f t="shared" si="401"/>
        <v>-1.3999999999999346E-2</v>
      </c>
      <c r="E1518" s="8">
        <f t="shared" si="402"/>
        <v>14.875878687832301</v>
      </c>
      <c r="F1518" s="6">
        <f t="shared" si="400"/>
        <v>1.7035775127768313E-2</v>
      </c>
      <c r="G1518" s="12">
        <f t="shared" si="403"/>
        <v>-3.5878687832301637E-2</v>
      </c>
    </row>
    <row r="1519" spans="1:7" x14ac:dyDescent="0.3">
      <c r="A1519" s="11" t="s">
        <v>1451</v>
      </c>
      <c r="B1519" s="7">
        <v>27420</v>
      </c>
      <c r="C1519" s="7">
        <v>14.837</v>
      </c>
      <c r="D1519" s="2">
        <f t="shared" si="401"/>
        <v>-3.0000000000001137E-3</v>
      </c>
      <c r="E1519" s="8">
        <f t="shared" ref="E1519:E1553" si="404">E1518-F1518</f>
        <v>14.858842912704533</v>
      </c>
      <c r="F1519" s="6">
        <f t="shared" si="400"/>
        <v>1.7035775127768313E-2</v>
      </c>
      <c r="G1519" s="12">
        <f t="shared" ref="G1519:G1543" si="405">C1519-E1519</f>
        <v>-2.1842912704533646E-2</v>
      </c>
    </row>
    <row r="1520" spans="1:7" x14ac:dyDescent="0.3">
      <c r="A1520" s="11" t="s">
        <v>3221</v>
      </c>
      <c r="B1520" s="62" t="s">
        <v>3222</v>
      </c>
      <c r="C1520" s="25"/>
      <c r="D1520" s="25"/>
      <c r="E1520" s="25"/>
      <c r="F1520" s="25"/>
      <c r="G1520" s="26"/>
    </row>
    <row r="1521" spans="1:18" x14ac:dyDescent="0.3">
      <c r="A1521" s="11" t="s">
        <v>1452</v>
      </c>
      <c r="B1521" s="7">
        <v>27440</v>
      </c>
      <c r="C1521" s="7">
        <v>14.826000000000001</v>
      </c>
      <c r="D1521" s="2">
        <f>C1521-C1519</f>
        <v>-1.0999999999999233E-2</v>
      </c>
      <c r="E1521" s="8">
        <f>E1519-F1519</f>
        <v>14.841807137576765</v>
      </c>
      <c r="F1521" s="6">
        <f>F1519</f>
        <v>1.7035775127768313E-2</v>
      </c>
      <c r="G1521" s="12">
        <f t="shared" si="405"/>
        <v>-1.5807137576764774E-2</v>
      </c>
    </row>
    <row r="1522" spans="1:18" x14ac:dyDescent="0.3">
      <c r="A1522" s="11" t="s">
        <v>1453</v>
      </c>
      <c r="B1522" s="7">
        <v>27460</v>
      </c>
      <c r="C1522" s="7">
        <v>14.811999999999999</v>
      </c>
      <c r="D1522" s="2">
        <f t="shared" si="401"/>
        <v>-1.4000000000001123E-2</v>
      </c>
      <c r="E1522" s="8">
        <f t="shared" si="404"/>
        <v>14.824771362448997</v>
      </c>
      <c r="F1522" s="6">
        <f t="shared" si="400"/>
        <v>1.7035775127768313E-2</v>
      </c>
      <c r="G1522" s="12">
        <f t="shared" si="405"/>
        <v>-1.2771362448997792E-2</v>
      </c>
    </row>
    <row r="1523" spans="1:18" x14ac:dyDescent="0.3">
      <c r="A1523" s="11" t="s">
        <v>1454</v>
      </c>
      <c r="B1523" s="7">
        <v>27480</v>
      </c>
      <c r="C1523" s="7">
        <v>14.808</v>
      </c>
      <c r="D1523" s="2">
        <f t="shared" si="401"/>
        <v>-3.9999999999995595E-3</v>
      </c>
      <c r="E1523" s="8">
        <f t="shared" si="404"/>
        <v>14.807735587321229</v>
      </c>
      <c r="F1523" s="6">
        <f t="shared" si="400"/>
        <v>1.7035775127768313E-2</v>
      </c>
      <c r="G1523" s="12">
        <f t="shared" si="405"/>
        <v>2.6441267877075347E-4</v>
      </c>
    </row>
    <row r="1524" spans="1:18" x14ac:dyDescent="0.3">
      <c r="A1524" s="11"/>
      <c r="B1524" s="7"/>
      <c r="C1524" s="7"/>
      <c r="D1524" s="2"/>
      <c r="E1524" s="8"/>
      <c r="F1524" s="6"/>
      <c r="G1524" s="12"/>
      <c r="H1524" s="4" t="s">
        <v>3224</v>
      </c>
      <c r="J1524" s="4"/>
      <c r="O1524" s="3">
        <f>1/O1525</f>
        <v>9.7895252080274105E-5</v>
      </c>
      <c r="P1524" s="3">
        <f>O1524*20</f>
        <v>1.9579050416054823E-3</v>
      </c>
      <c r="Q1524" s="3" t="s">
        <v>3200</v>
      </c>
      <c r="R1524" s="3">
        <v>10215</v>
      </c>
    </row>
    <row r="1525" spans="1:18" x14ac:dyDescent="0.3">
      <c r="A1525" s="11" t="s">
        <v>1455</v>
      </c>
      <c r="B1525" s="7">
        <v>27500</v>
      </c>
      <c r="C1525" s="7">
        <v>14.814</v>
      </c>
      <c r="D1525" s="2">
        <f>C1525-C1523</f>
        <v>6.0000000000002274E-3</v>
      </c>
      <c r="E1525" s="8">
        <f>E1523-F1525</f>
        <v>14.805777682279624</v>
      </c>
      <c r="F1525" s="6">
        <f>P1524</f>
        <v>1.9579050416054823E-3</v>
      </c>
      <c r="G1525" s="12">
        <f t="shared" si="405"/>
        <v>8.2223177203761821E-3</v>
      </c>
      <c r="H1525" s="3">
        <f>B1523</f>
        <v>27480</v>
      </c>
      <c r="I1525" s="3">
        <f>B1559</f>
        <v>28080</v>
      </c>
      <c r="J1525" s="3">
        <f>I1525-H1525</f>
        <v>600</v>
      </c>
      <c r="K1525" s="5">
        <f>E1523</f>
        <v>14.807735587321229</v>
      </c>
      <c r="L1525" s="3">
        <f>C1559</f>
        <v>14.749000000000001</v>
      </c>
      <c r="M1525" s="5">
        <f>L1525-K1525</f>
        <v>-5.8735587321228522E-2</v>
      </c>
      <c r="N1525" s="3">
        <f>J1525/M1525</f>
        <v>-10215.271990361878</v>
      </c>
      <c r="O1525" s="3">
        <v>10215</v>
      </c>
    </row>
    <row r="1526" spans="1:18" x14ac:dyDescent="0.3">
      <c r="A1526" s="11" t="s">
        <v>1456</v>
      </c>
      <c r="B1526" s="7">
        <v>27520</v>
      </c>
      <c r="C1526" s="7">
        <v>14.794</v>
      </c>
      <c r="D1526" s="2">
        <f t="shared" si="401"/>
        <v>-1.9999999999999574E-2</v>
      </c>
      <c r="E1526" s="8">
        <f>E1525-F1525</f>
        <v>14.803819777238019</v>
      </c>
      <c r="F1526" s="6">
        <f t="shared" si="400"/>
        <v>1.9579050416054823E-3</v>
      </c>
      <c r="G1526" s="12">
        <f t="shared" si="405"/>
        <v>-9.8197772380181902E-3</v>
      </c>
    </row>
    <row r="1527" spans="1:18" x14ac:dyDescent="0.3">
      <c r="A1527" s="11" t="s">
        <v>1457</v>
      </c>
      <c r="B1527" s="7">
        <v>27540</v>
      </c>
      <c r="C1527" s="7">
        <v>14.776</v>
      </c>
      <c r="D1527" s="2">
        <f t="shared" si="401"/>
        <v>-1.8000000000000682E-2</v>
      </c>
      <c r="E1527" s="8">
        <f t="shared" si="404"/>
        <v>14.801861872196413</v>
      </c>
      <c r="F1527" s="6">
        <f t="shared" si="400"/>
        <v>1.9579050416054823E-3</v>
      </c>
      <c r="G1527" s="12">
        <f t="shared" si="405"/>
        <v>-2.5861872196413671E-2</v>
      </c>
    </row>
    <row r="1528" spans="1:18" x14ac:dyDescent="0.3">
      <c r="A1528" s="11" t="s">
        <v>3408</v>
      </c>
      <c r="B1528" s="70" t="s">
        <v>3409</v>
      </c>
      <c r="C1528" s="7"/>
      <c r="D1528" s="2"/>
      <c r="E1528" s="8"/>
      <c r="F1528" s="6"/>
      <c r="G1528" s="12"/>
    </row>
    <row r="1529" spans="1:18" x14ac:dyDescent="0.3">
      <c r="A1529" s="11" t="s">
        <v>3410</v>
      </c>
      <c r="B1529" s="70" t="s">
        <v>3411</v>
      </c>
      <c r="C1529" s="7"/>
      <c r="D1529" s="2"/>
      <c r="E1529" s="8"/>
      <c r="F1529" s="6"/>
      <c r="G1529" s="12"/>
    </row>
    <row r="1530" spans="1:18" x14ac:dyDescent="0.3">
      <c r="A1530" s="11" t="s">
        <v>1458</v>
      </c>
      <c r="B1530" s="7">
        <v>27560</v>
      </c>
      <c r="C1530" s="7">
        <v>14.749000000000001</v>
      </c>
      <c r="D1530" s="2">
        <f>C1530-C1527</f>
        <v>-2.6999999999999247E-2</v>
      </c>
      <c r="E1530" s="8">
        <f>E1527-F1527</f>
        <v>14.799903967154808</v>
      </c>
      <c r="F1530" s="6">
        <f>F1527</f>
        <v>1.9579050416054823E-3</v>
      </c>
      <c r="G1530" s="12">
        <f t="shared" si="405"/>
        <v>-5.0903967154807717E-2</v>
      </c>
    </row>
    <row r="1531" spans="1:18" x14ac:dyDescent="0.3">
      <c r="A1531" s="11" t="s">
        <v>1459</v>
      </c>
      <c r="B1531" s="7">
        <v>27580</v>
      </c>
      <c r="C1531" s="7">
        <v>14.744999999999999</v>
      </c>
      <c r="D1531" s="2">
        <f t="shared" si="401"/>
        <v>-4.0000000000013358E-3</v>
      </c>
      <c r="E1531" s="8">
        <f t="shared" si="404"/>
        <v>14.797946062113203</v>
      </c>
      <c r="F1531" s="6">
        <f t="shared" si="400"/>
        <v>1.9579050416054823E-3</v>
      </c>
      <c r="G1531" s="12">
        <f t="shared" si="405"/>
        <v>-5.2946062113203851E-2</v>
      </c>
    </row>
    <row r="1532" spans="1:18" x14ac:dyDescent="0.3">
      <c r="A1532" s="11" t="s">
        <v>1460</v>
      </c>
      <c r="B1532" s="7">
        <v>27600</v>
      </c>
      <c r="C1532" s="7">
        <v>14.746</v>
      </c>
      <c r="D1532" s="2">
        <f t="shared" si="401"/>
        <v>1.0000000000012221E-3</v>
      </c>
      <c r="E1532" s="8">
        <f t="shared" si="404"/>
        <v>14.795988157071598</v>
      </c>
      <c r="F1532" s="6">
        <f t="shared" si="400"/>
        <v>1.9579050416054823E-3</v>
      </c>
      <c r="G1532" s="12">
        <f t="shared" si="405"/>
        <v>-4.9988157071597428E-2</v>
      </c>
    </row>
    <row r="1533" spans="1:18" x14ac:dyDescent="0.3">
      <c r="A1533" s="11" t="s">
        <v>1461</v>
      </c>
      <c r="B1533" s="7">
        <v>27620</v>
      </c>
      <c r="C1533" s="7">
        <v>14.776</v>
      </c>
      <c r="D1533" s="2">
        <f t="shared" si="401"/>
        <v>2.9999999999999361E-2</v>
      </c>
      <c r="E1533" s="8">
        <f t="shared" si="404"/>
        <v>14.794030252029993</v>
      </c>
      <c r="F1533" s="6">
        <f t="shared" si="400"/>
        <v>1.9579050416054823E-3</v>
      </c>
      <c r="G1533" s="12">
        <f t="shared" si="405"/>
        <v>-1.8030252029992866E-2</v>
      </c>
    </row>
    <row r="1534" spans="1:18" x14ac:dyDescent="0.3">
      <c r="A1534" s="11" t="s">
        <v>1462</v>
      </c>
      <c r="B1534" s="7">
        <v>27640</v>
      </c>
      <c r="C1534" s="7">
        <v>14.765000000000001</v>
      </c>
      <c r="D1534" s="2">
        <f t="shared" si="401"/>
        <v>-1.0999999999999233E-2</v>
      </c>
      <c r="E1534" s="8">
        <f t="shared" si="404"/>
        <v>14.792072346988387</v>
      </c>
      <c r="F1534" s="6">
        <f t="shared" si="400"/>
        <v>1.9579050416054823E-3</v>
      </c>
      <c r="G1534" s="12">
        <f t="shared" si="405"/>
        <v>-2.7072346988386897E-2</v>
      </c>
    </row>
    <row r="1535" spans="1:18" x14ac:dyDescent="0.3">
      <c r="A1535" s="11" t="s">
        <v>1463</v>
      </c>
      <c r="B1535" s="7">
        <v>27660</v>
      </c>
      <c r="C1535" s="7">
        <v>14.768000000000001</v>
      </c>
      <c r="D1535" s="2">
        <f>C1535-C1534</f>
        <v>3.0000000000001137E-3</v>
      </c>
      <c r="E1535" s="8">
        <f t="shared" si="404"/>
        <v>14.790114441946782</v>
      </c>
      <c r="F1535" s="6">
        <f t="shared" si="400"/>
        <v>1.9579050416054823E-3</v>
      </c>
      <c r="G1535" s="12">
        <f>C1535-E1535</f>
        <v>-2.2114441946781582E-2</v>
      </c>
    </row>
    <row r="1536" spans="1:18" x14ac:dyDescent="0.3">
      <c r="A1536" s="11" t="s">
        <v>1464</v>
      </c>
      <c r="B1536" s="7">
        <v>27680</v>
      </c>
      <c r="C1536" s="7">
        <v>14.769</v>
      </c>
      <c r="D1536" s="2">
        <f t="shared" si="401"/>
        <v>9.9999999999944578E-4</v>
      </c>
      <c r="E1536" s="8">
        <f t="shared" si="404"/>
        <v>14.788156536905177</v>
      </c>
      <c r="F1536" s="6">
        <f t="shared" si="400"/>
        <v>1.9579050416054823E-3</v>
      </c>
      <c r="G1536" s="12">
        <f t="shared" ref="G1536" si="406">C1536-E1536</f>
        <v>-1.9156536905176935E-2</v>
      </c>
    </row>
    <row r="1537" spans="1:7" x14ac:dyDescent="0.3">
      <c r="A1537" s="11" t="s">
        <v>1465</v>
      </c>
      <c r="B1537" s="7">
        <v>27700</v>
      </c>
      <c r="C1537" s="7">
        <v>14.763999999999999</v>
      </c>
      <c r="D1537" s="2">
        <f t="shared" si="401"/>
        <v>-5.0000000000007816E-3</v>
      </c>
      <c r="E1537" s="8">
        <f t="shared" si="404"/>
        <v>14.786198631863572</v>
      </c>
      <c r="F1537" s="6">
        <f t="shared" si="400"/>
        <v>1.9579050416054823E-3</v>
      </c>
      <c r="G1537" s="12">
        <f t="shared" si="405"/>
        <v>-2.2198631863572515E-2</v>
      </c>
    </row>
    <row r="1538" spans="1:7" x14ac:dyDescent="0.3">
      <c r="A1538" s="11" t="s">
        <v>1466</v>
      </c>
      <c r="B1538" s="7">
        <v>27720</v>
      </c>
      <c r="C1538" s="7">
        <v>14.78</v>
      </c>
      <c r="D1538" s="2">
        <f t="shared" si="401"/>
        <v>1.6000000000000014E-2</v>
      </c>
      <c r="E1538" s="8">
        <f t="shared" si="404"/>
        <v>14.784240726821967</v>
      </c>
      <c r="F1538" s="6">
        <f t="shared" si="400"/>
        <v>1.9579050416054823E-3</v>
      </c>
      <c r="G1538" s="12">
        <f t="shared" si="405"/>
        <v>-4.2407268219673E-3</v>
      </c>
    </row>
    <row r="1539" spans="1:7" x14ac:dyDescent="0.3">
      <c r="A1539" s="11" t="s">
        <v>1467</v>
      </c>
      <c r="B1539" s="7">
        <v>27740</v>
      </c>
      <c r="C1539" s="7">
        <v>14.803000000000001</v>
      </c>
      <c r="D1539" s="2">
        <f t="shared" si="401"/>
        <v>2.3000000000001464E-2</v>
      </c>
      <c r="E1539" s="8">
        <f t="shared" si="404"/>
        <v>14.782282821780361</v>
      </c>
      <c r="F1539" s="6">
        <f t="shared" si="400"/>
        <v>1.9579050416054823E-3</v>
      </c>
      <c r="G1539" s="12">
        <f t="shared" si="405"/>
        <v>2.0717178219639365E-2</v>
      </c>
    </row>
    <row r="1540" spans="1:7" x14ac:dyDescent="0.3">
      <c r="A1540" s="11" t="s">
        <v>1468</v>
      </c>
      <c r="B1540" s="7">
        <v>27760</v>
      </c>
      <c r="C1540" s="7">
        <v>14.791</v>
      </c>
      <c r="D1540" s="2">
        <f t="shared" si="401"/>
        <v>-1.2000000000000455E-2</v>
      </c>
      <c r="E1540" s="8">
        <f t="shared" si="404"/>
        <v>14.780324916738756</v>
      </c>
      <c r="F1540" s="6">
        <f t="shared" si="400"/>
        <v>1.9579050416054823E-3</v>
      </c>
      <c r="G1540" s="12">
        <f t="shared" si="405"/>
        <v>1.0675083261244112E-2</v>
      </c>
    </row>
    <row r="1541" spans="1:7" x14ac:dyDescent="0.3">
      <c r="A1541" s="11" t="s">
        <v>1469</v>
      </c>
      <c r="B1541" s="7">
        <v>27780</v>
      </c>
      <c r="C1541" s="7">
        <v>14.782999999999999</v>
      </c>
      <c r="D1541" s="2">
        <f t="shared" si="401"/>
        <v>-8.0000000000008953E-3</v>
      </c>
      <c r="E1541" s="8">
        <f t="shared" si="404"/>
        <v>14.778367011697151</v>
      </c>
      <c r="F1541" s="6">
        <f t="shared" si="400"/>
        <v>1.9579050416054823E-3</v>
      </c>
      <c r="G1541" s="12">
        <f t="shared" si="405"/>
        <v>4.6329883028484176E-3</v>
      </c>
    </row>
    <row r="1542" spans="1:7" x14ac:dyDescent="0.3">
      <c r="A1542" s="11" t="s">
        <v>1470</v>
      </c>
      <c r="B1542" s="7">
        <v>27800</v>
      </c>
      <c r="C1542" s="7">
        <v>14.773999999999999</v>
      </c>
      <c r="D1542" s="2">
        <f t="shared" si="401"/>
        <v>-9.0000000000003411E-3</v>
      </c>
      <c r="E1542" s="8">
        <f t="shared" si="404"/>
        <v>14.776409106655546</v>
      </c>
      <c r="F1542" s="6">
        <f t="shared" si="400"/>
        <v>1.9579050416054823E-3</v>
      </c>
      <c r="G1542" s="12">
        <f t="shared" si="405"/>
        <v>-2.4091066555467222E-3</v>
      </c>
    </row>
    <row r="1543" spans="1:7" x14ac:dyDescent="0.3">
      <c r="A1543" s="11" t="s">
        <v>1471</v>
      </c>
      <c r="B1543" s="7">
        <v>27820</v>
      </c>
      <c r="C1543" s="7">
        <v>14.731</v>
      </c>
      <c r="D1543" s="2">
        <f t="shared" si="401"/>
        <v>-4.2999999999999261E-2</v>
      </c>
      <c r="E1543" s="8">
        <f t="shared" si="404"/>
        <v>14.774451201613941</v>
      </c>
      <c r="F1543" s="6">
        <f t="shared" si="400"/>
        <v>1.9579050416054823E-3</v>
      </c>
      <c r="G1543" s="12">
        <f t="shared" si="405"/>
        <v>-4.3451201613940782E-2</v>
      </c>
    </row>
    <row r="1544" spans="1:7" x14ac:dyDescent="0.3">
      <c r="A1544" s="11" t="s">
        <v>1472</v>
      </c>
      <c r="B1544" s="7">
        <v>27840</v>
      </c>
      <c r="C1544" s="7">
        <v>14.718999999999999</v>
      </c>
      <c r="D1544" s="2">
        <f t="shared" si="401"/>
        <v>-1.2000000000000455E-2</v>
      </c>
      <c r="E1544" s="8">
        <f t="shared" si="404"/>
        <v>14.772493296572335</v>
      </c>
      <c r="F1544" s="6">
        <f t="shared" si="400"/>
        <v>1.9579050416054823E-3</v>
      </c>
      <c r="G1544" s="12">
        <f t="shared" ref="G1544:G1556" si="407">C1544-E1544</f>
        <v>-5.3493296572336035E-2</v>
      </c>
    </row>
    <row r="1545" spans="1:7" x14ac:dyDescent="0.3">
      <c r="A1545" s="11" t="s">
        <v>3412</v>
      </c>
      <c r="B1545" s="70" t="s">
        <v>3414</v>
      </c>
      <c r="C1545" s="7"/>
      <c r="D1545" s="2"/>
      <c r="E1545" s="8"/>
      <c r="F1545" s="6"/>
      <c r="G1545" s="12"/>
    </row>
    <row r="1546" spans="1:7" x14ac:dyDescent="0.3">
      <c r="A1546" s="11" t="s">
        <v>1473</v>
      </c>
      <c r="B1546" s="7">
        <v>27860</v>
      </c>
      <c r="C1546" s="7">
        <v>14.711</v>
      </c>
      <c r="D1546" s="2">
        <f>C1546-C1544</f>
        <v>-7.9999999999991189E-3</v>
      </c>
      <c r="E1546" s="8">
        <f>E1544-F1544</f>
        <v>14.77053539153073</v>
      </c>
      <c r="F1546" s="6">
        <f>F1544</f>
        <v>1.9579050416054823E-3</v>
      </c>
      <c r="G1546" s="12">
        <f t="shared" si="407"/>
        <v>-5.9535391530729953E-2</v>
      </c>
    </row>
    <row r="1547" spans="1:7" x14ac:dyDescent="0.3">
      <c r="A1547" s="11" t="s">
        <v>3413</v>
      </c>
      <c r="B1547" s="70" t="s">
        <v>3415</v>
      </c>
      <c r="C1547" s="7"/>
      <c r="D1547" s="2"/>
      <c r="E1547" s="8"/>
      <c r="F1547" s="6"/>
      <c r="G1547" s="12"/>
    </row>
    <row r="1548" spans="1:7" x14ac:dyDescent="0.3">
      <c r="A1548" s="11" t="s">
        <v>1474</v>
      </c>
      <c r="B1548" s="7">
        <v>27880</v>
      </c>
      <c r="C1548" s="7">
        <v>14.727</v>
      </c>
      <c r="D1548" s="2">
        <f>C1548-C1546</f>
        <v>1.6000000000000014E-2</v>
      </c>
      <c r="E1548" s="8">
        <f>E1546-F1546</f>
        <v>14.768577486489125</v>
      </c>
      <c r="F1548" s="6">
        <f>F1546</f>
        <v>1.9579050416054823E-3</v>
      </c>
      <c r="G1548" s="12">
        <f t="shared" si="407"/>
        <v>-4.1577486489124738E-2</v>
      </c>
    </row>
    <row r="1549" spans="1:7" x14ac:dyDescent="0.3">
      <c r="A1549" s="11" t="s">
        <v>1475</v>
      </c>
      <c r="B1549" s="7">
        <v>27900</v>
      </c>
      <c r="C1549" s="7">
        <v>14.749000000000001</v>
      </c>
      <c r="D1549" s="2">
        <f t="shared" si="401"/>
        <v>2.2000000000000242E-2</v>
      </c>
      <c r="E1549" s="8">
        <f t="shared" si="404"/>
        <v>14.76661958144752</v>
      </c>
      <c r="F1549" s="6">
        <f t="shared" si="400"/>
        <v>1.9579050416054823E-3</v>
      </c>
      <c r="G1549" s="12">
        <f t="shared" si="407"/>
        <v>-1.7619581447519295E-2</v>
      </c>
    </row>
    <row r="1550" spans="1:7" x14ac:dyDescent="0.3">
      <c r="A1550" s="11" t="s">
        <v>1476</v>
      </c>
      <c r="B1550" s="7">
        <v>27920</v>
      </c>
      <c r="C1550" s="7">
        <v>14.67</v>
      </c>
      <c r="D1550" s="2">
        <f t="shared" si="401"/>
        <v>-7.9000000000000625E-2</v>
      </c>
      <c r="E1550" s="8">
        <f t="shared" si="404"/>
        <v>14.764661676405915</v>
      </c>
      <c r="F1550" s="6">
        <f t="shared" si="400"/>
        <v>1.9579050416054823E-3</v>
      </c>
      <c r="G1550" s="12">
        <f t="shared" si="407"/>
        <v>-9.4661676405914719E-2</v>
      </c>
    </row>
    <row r="1551" spans="1:7" x14ac:dyDescent="0.3">
      <c r="A1551" s="11" t="s">
        <v>1477</v>
      </c>
      <c r="B1551" s="7">
        <v>27940</v>
      </c>
      <c r="C1551" s="7">
        <v>14.621</v>
      </c>
      <c r="D1551" s="2">
        <f t="shared" si="401"/>
        <v>-4.8999999999999488E-2</v>
      </c>
      <c r="E1551" s="8">
        <f t="shared" si="404"/>
        <v>14.762703771364309</v>
      </c>
      <c r="F1551" s="6">
        <f t="shared" si="400"/>
        <v>1.9579050416054823E-3</v>
      </c>
      <c r="G1551" s="12">
        <f t="shared" si="407"/>
        <v>-0.14170377136430901</v>
      </c>
    </row>
    <row r="1552" spans="1:7" x14ac:dyDescent="0.3">
      <c r="A1552" s="11" t="s">
        <v>1478</v>
      </c>
      <c r="B1552" s="7">
        <v>27960</v>
      </c>
      <c r="C1552" s="7">
        <v>14.614000000000001</v>
      </c>
      <c r="D1552" s="2">
        <f t="shared" si="401"/>
        <v>-6.9999999999996732E-3</v>
      </c>
      <c r="E1552" s="8">
        <f t="shared" si="404"/>
        <v>14.760745866322704</v>
      </c>
      <c r="F1552" s="6">
        <f t="shared" si="400"/>
        <v>1.9579050416054823E-3</v>
      </c>
      <c r="G1552" s="12">
        <f t="shared" si="407"/>
        <v>-0.14674586632270348</v>
      </c>
    </row>
    <row r="1553" spans="1:18" x14ac:dyDescent="0.3">
      <c r="A1553" s="11" t="s">
        <v>1479</v>
      </c>
      <c r="B1553" s="7">
        <v>27980</v>
      </c>
      <c r="C1553" s="7">
        <v>14.617000000000001</v>
      </c>
      <c r="D1553" s="2">
        <f t="shared" si="401"/>
        <v>3.0000000000001137E-3</v>
      </c>
      <c r="E1553" s="8">
        <f t="shared" si="404"/>
        <v>14.758787961281099</v>
      </c>
      <c r="F1553" s="6">
        <f t="shared" si="400"/>
        <v>1.9579050416054823E-3</v>
      </c>
      <c r="G1553" s="12">
        <f t="shared" si="407"/>
        <v>-0.14178796128109816</v>
      </c>
    </row>
    <row r="1554" spans="1:18" x14ac:dyDescent="0.3">
      <c r="A1554" s="13" t="s">
        <v>1480</v>
      </c>
      <c r="B1554" s="24"/>
      <c r="C1554" s="25"/>
      <c r="D1554" s="25"/>
      <c r="E1554" s="25"/>
      <c r="F1554" s="25"/>
      <c r="G1554" s="26"/>
    </row>
    <row r="1555" spans="1:18" x14ac:dyDescent="0.3">
      <c r="A1555" s="11" t="s">
        <v>1481</v>
      </c>
      <c r="B1555" s="7">
        <v>28000</v>
      </c>
      <c r="C1555" s="7">
        <v>14.657999999999999</v>
      </c>
      <c r="D1555" s="2">
        <f>C1555-C1553</f>
        <v>4.0999999999998593E-2</v>
      </c>
      <c r="E1555" s="8">
        <f>E1553-F1553</f>
        <v>14.756830056239494</v>
      </c>
      <c r="F1555" s="6">
        <f>F1553</f>
        <v>1.9579050416054823E-3</v>
      </c>
      <c r="G1555" s="12">
        <f t="shared" si="407"/>
        <v>-9.8830056239494368E-2</v>
      </c>
    </row>
    <row r="1556" spans="1:18" x14ac:dyDescent="0.3">
      <c r="A1556" s="11" t="s">
        <v>1482</v>
      </c>
      <c r="B1556" s="7">
        <v>28020</v>
      </c>
      <c r="C1556" s="7">
        <v>14.71</v>
      </c>
      <c r="D1556" s="2">
        <f t="shared" si="401"/>
        <v>5.2000000000001378E-2</v>
      </c>
      <c r="E1556" s="8">
        <f t="shared" ref="E1556" si="408">E1555-F1555</f>
        <v>14.754872151197889</v>
      </c>
      <c r="F1556" s="6">
        <f t="shared" ref="F1556:F1626" si="409">F1555</f>
        <v>1.9579050416054823E-3</v>
      </c>
      <c r="G1556" s="12">
        <f t="shared" si="407"/>
        <v>-4.4872151197887788E-2</v>
      </c>
    </row>
    <row r="1557" spans="1:18" x14ac:dyDescent="0.3">
      <c r="A1557" s="11" t="s">
        <v>1483</v>
      </c>
      <c r="B1557" s="7">
        <v>28040</v>
      </c>
      <c r="C1557" s="7">
        <v>14.734999999999999</v>
      </c>
      <c r="D1557" s="2">
        <f t="shared" si="401"/>
        <v>2.4999999999998579E-2</v>
      </c>
      <c r="E1557" s="8">
        <f t="shared" ref="E1557:E1559" si="410">E1556-F1556</f>
        <v>14.752914246156283</v>
      </c>
      <c r="F1557" s="6">
        <f t="shared" si="409"/>
        <v>1.9579050416054823E-3</v>
      </c>
      <c r="G1557" s="12">
        <f t="shared" ref="G1557:G1615" si="411">C1557-E1557</f>
        <v>-1.7914246156284008E-2</v>
      </c>
    </row>
    <row r="1558" spans="1:18" x14ac:dyDescent="0.3">
      <c r="A1558" s="11" t="s">
        <v>1484</v>
      </c>
      <c r="B1558" s="7">
        <v>28060</v>
      </c>
      <c r="C1558" s="7">
        <v>14.75</v>
      </c>
      <c r="D1558" s="2">
        <f t="shared" si="401"/>
        <v>1.5000000000000568E-2</v>
      </c>
      <c r="E1558" s="8">
        <f t="shared" si="410"/>
        <v>14.750956341114678</v>
      </c>
      <c r="F1558" s="6">
        <f t="shared" si="409"/>
        <v>1.9579050416054823E-3</v>
      </c>
      <c r="G1558" s="12">
        <f t="shared" si="411"/>
        <v>-9.5634111467823857E-4</v>
      </c>
    </row>
    <row r="1559" spans="1:18" x14ac:dyDescent="0.3">
      <c r="A1559" s="11" t="s">
        <v>1485</v>
      </c>
      <c r="B1559" s="7">
        <v>28080</v>
      </c>
      <c r="C1559" s="7">
        <v>14.749000000000001</v>
      </c>
      <c r="D1559" s="2">
        <f t="shared" si="401"/>
        <v>-9.9999999999944578E-4</v>
      </c>
      <c r="E1559" s="8">
        <f t="shared" si="410"/>
        <v>14.748998436073073</v>
      </c>
      <c r="F1559" s="6">
        <f t="shared" si="409"/>
        <v>1.9579050416054823E-3</v>
      </c>
      <c r="G1559" s="12">
        <f t="shared" si="411"/>
        <v>1.5639269275169454E-6</v>
      </c>
    </row>
    <row r="1560" spans="1:18" x14ac:dyDescent="0.3">
      <c r="A1560" s="21"/>
      <c r="B1560" s="22"/>
      <c r="C1560" s="22"/>
      <c r="D1560" s="22"/>
      <c r="E1560" s="22"/>
      <c r="F1560" s="22"/>
      <c r="G1560" s="23"/>
      <c r="H1560" s="4" t="s">
        <v>3229</v>
      </c>
      <c r="J1560" s="4"/>
      <c r="O1560" s="3">
        <f>1/O1561</f>
        <v>3.1075201988812925E-4</v>
      </c>
      <c r="P1560" s="3">
        <f>O1560*20</f>
        <v>6.2150403977625848E-3</v>
      </c>
      <c r="Q1560" s="3" t="s">
        <v>3202</v>
      </c>
      <c r="R1560" s="3">
        <v>3218</v>
      </c>
    </row>
    <row r="1561" spans="1:18" x14ac:dyDescent="0.3">
      <c r="A1561" s="11" t="s">
        <v>1486</v>
      </c>
      <c r="B1561" s="7">
        <v>28100</v>
      </c>
      <c r="C1561" s="7">
        <v>14.836</v>
      </c>
      <c r="D1561" s="2">
        <f>C1561-C1559</f>
        <v>8.6999999999999744E-2</v>
      </c>
      <c r="E1561" s="8">
        <f>E1559+F1561</f>
        <v>14.755213476470836</v>
      </c>
      <c r="F1561" s="6">
        <f>P1560</f>
        <v>6.2150403977625848E-3</v>
      </c>
      <c r="G1561" s="12">
        <f>C1561-E1561</f>
        <v>8.0786523529164711E-2</v>
      </c>
      <c r="H1561" s="3">
        <f>B1559</f>
        <v>28080</v>
      </c>
      <c r="I1561" s="3">
        <f>B1575</f>
        <v>28360</v>
      </c>
      <c r="J1561" s="3">
        <f>I1561-H1561</f>
        <v>280</v>
      </c>
      <c r="K1561" s="5">
        <f>E1559</f>
        <v>14.748998436073073</v>
      </c>
      <c r="L1561" s="3">
        <f>C1575</f>
        <v>14.836</v>
      </c>
      <c r="M1561" s="5">
        <f>L1561-K1561</f>
        <v>8.7001563926927261E-2</v>
      </c>
      <c r="N1561" s="3">
        <f>J1561/M1561</f>
        <v>3218.3329512923747</v>
      </c>
      <c r="O1561" s="3">
        <v>3218</v>
      </c>
    </row>
    <row r="1562" spans="1:18" x14ac:dyDescent="0.3">
      <c r="A1562" s="11" t="s">
        <v>1487</v>
      </c>
      <c r="B1562" s="7">
        <v>28120</v>
      </c>
      <c r="C1562" s="7">
        <v>14.864000000000001</v>
      </c>
      <c r="D1562" s="2">
        <f t="shared" si="401"/>
        <v>2.8000000000000469E-2</v>
      </c>
      <c r="E1562" s="8">
        <f>E1561+F1561</f>
        <v>14.761428516868598</v>
      </c>
      <c r="F1562" s="6">
        <f t="shared" ref="F1562" si="412">F1561</f>
        <v>6.2150403977625848E-3</v>
      </c>
      <c r="G1562" s="12">
        <f t="shared" ref="G1562" si="413">C1562-E1562</f>
        <v>0.10257148313140263</v>
      </c>
    </row>
    <row r="1563" spans="1:18" x14ac:dyDescent="0.3">
      <c r="A1563" s="11" t="s">
        <v>1488</v>
      </c>
      <c r="B1563" s="7">
        <v>28140</v>
      </c>
      <c r="C1563" s="7">
        <v>14.887</v>
      </c>
      <c r="D1563" s="2">
        <f t="shared" si="401"/>
        <v>2.2999999999999687E-2</v>
      </c>
      <c r="E1563" s="8">
        <f t="shared" ref="E1563:E1575" si="414">E1562+F1562</f>
        <v>14.767643557266361</v>
      </c>
      <c r="F1563" s="6">
        <f t="shared" si="409"/>
        <v>6.2150403977625848E-3</v>
      </c>
      <c r="G1563" s="12">
        <f t="shared" si="411"/>
        <v>0.11935644273363977</v>
      </c>
    </row>
    <row r="1564" spans="1:18" x14ac:dyDescent="0.3">
      <c r="A1564" s="11" t="s">
        <v>1489</v>
      </c>
      <c r="B1564" s="7">
        <v>28160</v>
      </c>
      <c r="C1564" s="7">
        <v>14.914</v>
      </c>
      <c r="D1564" s="2">
        <f t="shared" si="401"/>
        <v>2.6999999999999247E-2</v>
      </c>
      <c r="E1564" s="8">
        <f t="shared" si="414"/>
        <v>14.773858597664123</v>
      </c>
      <c r="F1564" s="6">
        <f t="shared" si="409"/>
        <v>6.2150403977625848E-3</v>
      </c>
      <c r="G1564" s="12">
        <f t="shared" si="411"/>
        <v>0.14014140233587646</v>
      </c>
    </row>
    <row r="1565" spans="1:18" x14ac:dyDescent="0.3">
      <c r="A1565" s="11" t="s">
        <v>1490</v>
      </c>
      <c r="B1565" s="7">
        <v>28180</v>
      </c>
      <c r="C1565" s="7">
        <v>14.946</v>
      </c>
      <c r="D1565" s="2">
        <f t="shared" si="401"/>
        <v>3.2000000000000028E-2</v>
      </c>
      <c r="E1565" s="8">
        <f t="shared" si="414"/>
        <v>14.780073638061886</v>
      </c>
      <c r="F1565" s="6">
        <f t="shared" si="409"/>
        <v>6.2150403977625848E-3</v>
      </c>
      <c r="G1565" s="12">
        <f t="shared" si="411"/>
        <v>0.16592636193811394</v>
      </c>
    </row>
    <row r="1566" spans="1:18" x14ac:dyDescent="0.3">
      <c r="A1566" s="11" t="s">
        <v>1491</v>
      </c>
      <c r="B1566" s="7">
        <v>28200</v>
      </c>
      <c r="C1566" s="7">
        <v>14.965999999999999</v>
      </c>
      <c r="D1566" s="2">
        <f t="shared" ref="D1566:D1641" si="415">C1566-C1565</f>
        <v>1.9999999999999574E-2</v>
      </c>
      <c r="E1566" s="8">
        <f t="shared" si="414"/>
        <v>14.786288678459648</v>
      </c>
      <c r="F1566" s="6">
        <f t="shared" si="409"/>
        <v>6.2150403977625848E-3</v>
      </c>
      <c r="G1566" s="12">
        <f t="shared" si="411"/>
        <v>0.17971132154035097</v>
      </c>
    </row>
    <row r="1567" spans="1:18" x14ac:dyDescent="0.3">
      <c r="A1567" s="11" t="s">
        <v>3227</v>
      </c>
      <c r="B1567" s="62" t="s">
        <v>3228</v>
      </c>
      <c r="C1567" s="25"/>
      <c r="D1567" s="25"/>
      <c r="E1567" s="25"/>
      <c r="F1567" s="25"/>
      <c r="G1567" s="26"/>
    </row>
    <row r="1568" spans="1:18" x14ac:dyDescent="0.3">
      <c r="A1568" s="11" t="s">
        <v>1492</v>
      </c>
      <c r="B1568" s="7">
        <v>28220</v>
      </c>
      <c r="C1568" s="7">
        <v>14.946</v>
      </c>
      <c r="D1568" s="2">
        <f>C1568-C1566</f>
        <v>-1.9999999999999574E-2</v>
      </c>
      <c r="E1568" s="8">
        <f>E1566+F1566</f>
        <v>14.792503718857411</v>
      </c>
      <c r="F1568" s="6">
        <f>F1566</f>
        <v>6.2150403977625848E-3</v>
      </c>
      <c r="G1568" s="12">
        <f t="shared" si="411"/>
        <v>0.15349628114258884</v>
      </c>
    </row>
    <row r="1569" spans="1:18" x14ac:dyDescent="0.3">
      <c r="A1569" s="11" t="s">
        <v>1493</v>
      </c>
      <c r="B1569" s="7">
        <v>28240</v>
      </c>
      <c r="C1569" s="7">
        <v>14.920999999999999</v>
      </c>
      <c r="D1569" s="2">
        <f t="shared" si="415"/>
        <v>-2.5000000000000355E-2</v>
      </c>
      <c r="E1569" s="8">
        <f t="shared" si="414"/>
        <v>14.798718759255173</v>
      </c>
      <c r="F1569" s="6">
        <f t="shared" si="409"/>
        <v>6.2150403977625848E-3</v>
      </c>
      <c r="G1569" s="12">
        <f t="shared" si="411"/>
        <v>0.12228124074482594</v>
      </c>
    </row>
    <row r="1570" spans="1:18" x14ac:dyDescent="0.3">
      <c r="A1570" s="11" t="s">
        <v>1494</v>
      </c>
      <c r="B1570" s="7">
        <v>28260</v>
      </c>
      <c r="C1570" s="7">
        <v>14.878</v>
      </c>
      <c r="D1570" s="2">
        <f t="shared" si="415"/>
        <v>-4.2999999999999261E-2</v>
      </c>
      <c r="E1570" s="8">
        <f t="shared" si="414"/>
        <v>14.804933799652936</v>
      </c>
      <c r="F1570" s="6">
        <f t="shared" si="409"/>
        <v>6.2150403977625848E-3</v>
      </c>
      <c r="G1570" s="12">
        <f t="shared" si="411"/>
        <v>7.3066200347064125E-2</v>
      </c>
    </row>
    <row r="1571" spans="1:18" x14ac:dyDescent="0.3">
      <c r="A1571" s="11" t="s">
        <v>1495</v>
      </c>
      <c r="B1571" s="7">
        <v>28280</v>
      </c>
      <c r="C1571" s="7">
        <v>14.863</v>
      </c>
      <c r="D1571" s="2">
        <f t="shared" si="415"/>
        <v>-1.5000000000000568E-2</v>
      </c>
      <c r="E1571" s="8">
        <f t="shared" si="414"/>
        <v>14.811148840050699</v>
      </c>
      <c r="F1571" s="6">
        <f t="shared" si="409"/>
        <v>6.2150403977625848E-3</v>
      </c>
      <c r="G1571" s="12">
        <f t="shared" si="411"/>
        <v>5.1851159949301007E-2</v>
      </c>
    </row>
    <row r="1572" spans="1:18" x14ac:dyDescent="0.3">
      <c r="A1572" s="11" t="s">
        <v>1496</v>
      </c>
      <c r="B1572" s="7">
        <v>28300</v>
      </c>
      <c r="C1572" s="7">
        <v>14.853</v>
      </c>
      <c r="D1572" s="2">
        <f t="shared" si="415"/>
        <v>-9.9999999999997868E-3</v>
      </c>
      <c r="E1572" s="8">
        <f t="shared" si="414"/>
        <v>14.817363880448461</v>
      </c>
      <c r="F1572" s="6">
        <f t="shared" si="409"/>
        <v>6.2150403977625848E-3</v>
      </c>
      <c r="G1572" s="12">
        <f t="shared" si="411"/>
        <v>3.563611955153867E-2</v>
      </c>
    </row>
    <row r="1573" spans="1:18" x14ac:dyDescent="0.3">
      <c r="A1573" s="11" t="s">
        <v>1497</v>
      </c>
      <c r="B1573" s="7">
        <v>28320</v>
      </c>
      <c r="C1573" s="7">
        <v>14.811999999999999</v>
      </c>
      <c r="D1573" s="2">
        <f t="shared" si="415"/>
        <v>-4.1000000000000369E-2</v>
      </c>
      <c r="E1573" s="8">
        <f t="shared" si="414"/>
        <v>14.823578920846224</v>
      </c>
      <c r="F1573" s="6">
        <f t="shared" si="409"/>
        <v>6.2150403977625848E-3</v>
      </c>
      <c r="G1573" s="12">
        <f t="shared" si="411"/>
        <v>-1.157892084622425E-2</v>
      </c>
    </row>
    <row r="1574" spans="1:18" x14ac:dyDescent="0.3">
      <c r="A1574" s="11" t="s">
        <v>1498</v>
      </c>
      <c r="B1574" s="7">
        <v>28340</v>
      </c>
      <c r="C1574" s="7">
        <v>14.813000000000001</v>
      </c>
      <c r="D1574" s="2">
        <f t="shared" si="415"/>
        <v>1.0000000000012221E-3</v>
      </c>
      <c r="E1574" s="8">
        <f t="shared" si="414"/>
        <v>14.829793961243986</v>
      </c>
      <c r="F1574" s="6">
        <f t="shared" si="409"/>
        <v>6.2150403977625848E-3</v>
      </c>
      <c r="G1574" s="12">
        <f t="shared" si="411"/>
        <v>-1.6793961243985578E-2</v>
      </c>
    </row>
    <row r="1575" spans="1:18" x14ac:dyDescent="0.3">
      <c r="A1575" s="11" t="s">
        <v>1499</v>
      </c>
      <c r="B1575" s="7">
        <v>28360</v>
      </c>
      <c r="C1575" s="7">
        <v>14.836</v>
      </c>
      <c r="D1575" s="2">
        <f t="shared" si="415"/>
        <v>2.2999999999999687E-2</v>
      </c>
      <c r="E1575" s="8">
        <f t="shared" si="414"/>
        <v>14.836009001641749</v>
      </c>
      <c r="F1575" s="6">
        <f t="shared" si="409"/>
        <v>6.2150403977625848E-3</v>
      </c>
      <c r="G1575" s="12">
        <f t="shared" si="411"/>
        <v>-9.0016417484406475E-6</v>
      </c>
    </row>
    <row r="1576" spans="1:18" x14ac:dyDescent="0.3">
      <c r="A1576" s="21"/>
      <c r="B1576" s="22"/>
      <c r="C1576" s="22"/>
      <c r="D1576" s="22"/>
      <c r="E1576" s="22"/>
      <c r="F1576" s="22"/>
      <c r="G1576" s="23"/>
      <c r="H1576" s="4" t="s">
        <v>3288</v>
      </c>
      <c r="J1576" s="4"/>
      <c r="O1576" s="3">
        <f>1/O1577</f>
        <v>7.3421439060205576E-4</v>
      </c>
      <c r="P1576" s="3">
        <f>O1576*20</f>
        <v>1.4684287812041116E-2</v>
      </c>
      <c r="Q1576" s="3" t="s">
        <v>3200</v>
      </c>
      <c r="R1576" s="3">
        <v>1362</v>
      </c>
    </row>
    <row r="1577" spans="1:18" x14ac:dyDescent="0.3">
      <c r="A1577" s="11" t="s">
        <v>1500</v>
      </c>
      <c r="B1577" s="7">
        <v>28380</v>
      </c>
      <c r="C1577" s="7">
        <v>14.865</v>
      </c>
      <c r="D1577" s="2">
        <f>C1577-C1575</f>
        <v>2.8999999999999915E-2</v>
      </c>
      <c r="E1577" s="8">
        <f>E1575-F1577</f>
        <v>14.821324713829707</v>
      </c>
      <c r="F1577" s="6">
        <f>P1576</f>
        <v>1.4684287812041116E-2</v>
      </c>
      <c r="G1577" s="12">
        <f t="shared" si="411"/>
        <v>4.3675286170293148E-2</v>
      </c>
      <c r="H1577" s="3">
        <f>B1575</f>
        <v>28360</v>
      </c>
      <c r="I1577" s="3">
        <f>B1595</f>
        <v>28680</v>
      </c>
      <c r="J1577" s="3">
        <f>I1577-H1577</f>
        <v>320</v>
      </c>
      <c r="K1577" s="5">
        <f>E1575</f>
        <v>14.836009001641749</v>
      </c>
      <c r="L1577" s="3">
        <f>C1595</f>
        <v>14.601000000000001</v>
      </c>
      <c r="M1577" s="5">
        <f>L1577-K1577</f>
        <v>-0.23500900164174787</v>
      </c>
      <c r="N1577" s="3">
        <f>J1577/M1577</f>
        <v>-1361.6499698501507</v>
      </c>
      <c r="O1577" s="3">
        <v>1362</v>
      </c>
    </row>
    <row r="1578" spans="1:18" x14ac:dyDescent="0.3">
      <c r="A1578" s="11" t="s">
        <v>1501</v>
      </c>
      <c r="B1578" s="7">
        <v>28400</v>
      </c>
      <c r="C1578" s="7">
        <v>14.848000000000001</v>
      </c>
      <c r="D1578" s="2">
        <f>C1578-C1577</f>
        <v>-1.699999999999946E-2</v>
      </c>
      <c r="E1578" s="8">
        <f>E1577-F1578</f>
        <v>14.806640426017665</v>
      </c>
      <c r="F1578" s="6">
        <f>P1576</f>
        <v>1.4684287812041116E-2</v>
      </c>
      <c r="G1578" s="12">
        <f>C1578-E1578</f>
        <v>4.1359573982335363E-2</v>
      </c>
    </row>
    <row r="1579" spans="1:18" x14ac:dyDescent="0.3">
      <c r="A1579" s="11" t="s">
        <v>3225</v>
      </c>
      <c r="B1579" s="62" t="s">
        <v>3226</v>
      </c>
      <c r="C1579" s="25"/>
      <c r="D1579" s="25"/>
      <c r="E1579" s="25"/>
      <c r="F1579" s="25"/>
      <c r="G1579" s="26"/>
      <c r="K1579" s="5"/>
      <c r="M1579" s="5"/>
    </row>
    <row r="1580" spans="1:18" x14ac:dyDescent="0.3">
      <c r="A1580" s="11" t="s">
        <v>1502</v>
      </c>
      <c r="B1580" s="7">
        <v>28420</v>
      </c>
      <c r="C1580" s="7">
        <v>14.853</v>
      </c>
      <c r="D1580" s="2">
        <f>C1580-C1578</f>
        <v>4.9999999999990052E-3</v>
      </c>
      <c r="E1580" s="8">
        <f>E1578-F1578</f>
        <v>14.791956138205624</v>
      </c>
      <c r="F1580" s="6">
        <f t="shared" ref="F1580" si="416">F1578</f>
        <v>1.4684287812041116E-2</v>
      </c>
      <c r="G1580" s="12">
        <f t="shared" ref="G1580" si="417">C1580-E1580</f>
        <v>6.1043861794376042E-2</v>
      </c>
    </row>
    <row r="1581" spans="1:18" x14ac:dyDescent="0.3">
      <c r="A1581" s="11" t="s">
        <v>1503</v>
      </c>
      <c r="B1581" s="7">
        <v>28440</v>
      </c>
      <c r="C1581" s="7">
        <v>14.864000000000001</v>
      </c>
      <c r="D1581" s="2">
        <f t="shared" si="415"/>
        <v>1.1000000000001009E-2</v>
      </c>
      <c r="E1581" s="8">
        <f t="shared" ref="E1581:E1595" si="418">E1580-F1580</f>
        <v>14.777271850393582</v>
      </c>
      <c r="F1581" s="6">
        <f t="shared" si="409"/>
        <v>1.4684287812041116E-2</v>
      </c>
      <c r="G1581" s="12">
        <f t="shared" si="411"/>
        <v>8.6728149606418725E-2</v>
      </c>
    </row>
    <row r="1582" spans="1:18" x14ac:dyDescent="0.3">
      <c r="A1582" s="11" t="s">
        <v>1504</v>
      </c>
      <c r="B1582" s="7">
        <v>28460</v>
      </c>
      <c r="C1582" s="7">
        <v>14.826000000000001</v>
      </c>
      <c r="D1582" s="2">
        <f>C1582-C1581</f>
        <v>-3.8000000000000256E-2</v>
      </c>
      <c r="E1582" s="8">
        <f t="shared" si="418"/>
        <v>14.76258756258154</v>
      </c>
      <c r="F1582" s="6">
        <f>F1581</f>
        <v>1.4684287812041116E-2</v>
      </c>
      <c r="G1582" s="12">
        <f t="shared" si="411"/>
        <v>6.3412437418460144E-2</v>
      </c>
    </row>
    <row r="1583" spans="1:18" x14ac:dyDescent="0.3">
      <c r="A1583" s="11" t="s">
        <v>1505</v>
      </c>
      <c r="B1583" s="7">
        <v>28480</v>
      </c>
      <c r="C1583" s="7">
        <v>14.750999999999999</v>
      </c>
      <c r="D1583" s="2">
        <f>C1583-C1582</f>
        <v>-7.5000000000001066E-2</v>
      </c>
      <c r="E1583" s="8">
        <f>E1582-F1582</f>
        <v>14.747903274769499</v>
      </c>
      <c r="F1583" s="6">
        <f>F1582</f>
        <v>1.4684287812041116E-2</v>
      </c>
      <c r="G1583" s="12">
        <f t="shared" si="411"/>
        <v>3.096725230500752E-3</v>
      </c>
    </row>
    <row r="1584" spans="1:18" x14ac:dyDescent="0.3">
      <c r="A1584" s="11" t="s">
        <v>1506</v>
      </c>
      <c r="B1584" s="7">
        <v>28500</v>
      </c>
      <c r="C1584" s="7">
        <v>14.702</v>
      </c>
      <c r="D1584" s="2">
        <f t="shared" si="415"/>
        <v>-4.8999999999999488E-2</v>
      </c>
      <c r="E1584" s="8">
        <f t="shared" si="418"/>
        <v>14.733218986957457</v>
      </c>
      <c r="F1584" s="6">
        <f t="shared" si="409"/>
        <v>1.4684287812041116E-2</v>
      </c>
      <c r="G1584" s="12">
        <f t="shared" si="411"/>
        <v>-3.1218986957457062E-2</v>
      </c>
    </row>
    <row r="1585" spans="1:18" x14ac:dyDescent="0.3">
      <c r="A1585" s="11"/>
      <c r="B1585" s="62" t="s">
        <v>3230</v>
      </c>
      <c r="C1585" s="63"/>
      <c r="D1585" s="63"/>
      <c r="E1585" s="63"/>
      <c r="F1585" s="63"/>
      <c r="G1585" s="64"/>
    </row>
    <row r="1586" spans="1:18" x14ac:dyDescent="0.3">
      <c r="A1586" s="11" t="s">
        <v>1507</v>
      </c>
      <c r="B1586" s="7">
        <v>28520</v>
      </c>
      <c r="C1586" s="7">
        <v>14.656000000000001</v>
      </c>
      <c r="D1586" s="2">
        <f>C1586-C1584</f>
        <v>-4.5999999999999375E-2</v>
      </c>
      <c r="E1586" s="8">
        <f>E1584-F1584</f>
        <v>14.718534699145415</v>
      </c>
      <c r="F1586" s="6">
        <f>F1584</f>
        <v>1.4684287812041116E-2</v>
      </c>
      <c r="G1586" s="12">
        <f t="shared" si="411"/>
        <v>-6.2534699145414763E-2</v>
      </c>
    </row>
    <row r="1587" spans="1:18" x14ac:dyDescent="0.3">
      <c r="A1587" s="11" t="s">
        <v>1508</v>
      </c>
      <c r="B1587" s="7">
        <v>28540</v>
      </c>
      <c r="C1587" s="7">
        <v>14.627000000000001</v>
      </c>
      <c r="D1587" s="2">
        <f t="shared" si="415"/>
        <v>-2.8999999999999915E-2</v>
      </c>
      <c r="E1587" s="8">
        <f t="shared" si="418"/>
        <v>14.703850411333374</v>
      </c>
      <c r="F1587" s="6">
        <f t="shared" si="409"/>
        <v>1.4684287812041116E-2</v>
      </c>
      <c r="G1587" s="12">
        <f t="shared" si="411"/>
        <v>-7.6850411333373003E-2</v>
      </c>
    </row>
    <row r="1588" spans="1:18" x14ac:dyDescent="0.3">
      <c r="A1588" s="11" t="s">
        <v>3231</v>
      </c>
      <c r="B1588" s="62" t="s">
        <v>3194</v>
      </c>
      <c r="C1588" s="63"/>
      <c r="D1588" s="63"/>
      <c r="E1588" s="63"/>
      <c r="F1588" s="63"/>
      <c r="G1588" s="64"/>
    </row>
    <row r="1589" spans="1:18" x14ac:dyDescent="0.3">
      <c r="A1589" s="11" t="s">
        <v>1509</v>
      </c>
      <c r="B1589" s="7">
        <v>28560</v>
      </c>
      <c r="C1589" s="7">
        <v>14.590999999999999</v>
      </c>
      <c r="D1589" s="2">
        <f>C1589-C1587</f>
        <v>-3.6000000000001364E-2</v>
      </c>
      <c r="E1589" s="8">
        <f>E1587-F1587</f>
        <v>14.689166123521332</v>
      </c>
      <c r="F1589" s="6">
        <f>F1587</f>
        <v>1.4684287812041116E-2</v>
      </c>
      <c r="G1589" s="12">
        <f t="shared" si="411"/>
        <v>-9.8166123521332693E-2</v>
      </c>
    </row>
    <row r="1590" spans="1:18" x14ac:dyDescent="0.3">
      <c r="A1590" s="11" t="s">
        <v>1510</v>
      </c>
      <c r="B1590" s="7">
        <v>28580</v>
      </c>
      <c r="C1590" s="7">
        <v>14.59</v>
      </c>
      <c r="D1590" s="2">
        <f t="shared" si="415"/>
        <v>-9.9999999999944578E-4</v>
      </c>
      <c r="E1590" s="8">
        <f t="shared" si="418"/>
        <v>14.67448183570929</v>
      </c>
      <c r="F1590" s="6">
        <f t="shared" si="409"/>
        <v>1.4684287812041116E-2</v>
      </c>
      <c r="G1590" s="12">
        <f t="shared" si="411"/>
        <v>-8.4481835709290465E-2</v>
      </c>
    </row>
    <row r="1591" spans="1:18" x14ac:dyDescent="0.3">
      <c r="A1591" s="11" t="s">
        <v>1511</v>
      </c>
      <c r="B1591" s="7">
        <v>28600</v>
      </c>
      <c r="C1591" s="7">
        <v>14.605</v>
      </c>
      <c r="D1591" s="2">
        <f t="shared" si="415"/>
        <v>1.5000000000000568E-2</v>
      </c>
      <c r="E1591" s="8">
        <f t="shared" si="418"/>
        <v>14.659797547897249</v>
      </c>
      <c r="F1591" s="6">
        <f t="shared" si="409"/>
        <v>1.4684287812041116E-2</v>
      </c>
      <c r="G1591" s="12">
        <f t="shared" si="411"/>
        <v>-5.4797547897248222E-2</v>
      </c>
    </row>
    <row r="1592" spans="1:18" x14ac:dyDescent="0.3">
      <c r="A1592" s="11" t="s">
        <v>1512</v>
      </c>
      <c r="B1592" s="7">
        <v>28620</v>
      </c>
      <c r="C1592" s="7">
        <v>14.581</v>
      </c>
      <c r="D1592" s="2">
        <f t="shared" si="415"/>
        <v>-2.4000000000000909E-2</v>
      </c>
      <c r="E1592" s="8">
        <f t="shared" si="418"/>
        <v>14.645113260085207</v>
      </c>
      <c r="F1592" s="6">
        <f t="shared" si="409"/>
        <v>1.4684287812041116E-2</v>
      </c>
      <c r="G1592" s="12">
        <f t="shared" si="411"/>
        <v>-6.4113260085207457E-2</v>
      </c>
    </row>
    <row r="1593" spans="1:18" x14ac:dyDescent="0.3">
      <c r="A1593" s="11" t="s">
        <v>1513</v>
      </c>
      <c r="B1593" s="7">
        <v>28640</v>
      </c>
      <c r="C1593" s="7">
        <v>14.579000000000001</v>
      </c>
      <c r="D1593" s="2">
        <f t="shared" si="415"/>
        <v>-1.9999999999988916E-3</v>
      </c>
      <c r="E1593" s="8">
        <f t="shared" si="418"/>
        <v>14.630428972273165</v>
      </c>
      <c r="F1593" s="6">
        <f t="shared" si="409"/>
        <v>1.4684287812041116E-2</v>
      </c>
      <c r="G1593" s="12">
        <f t="shared" si="411"/>
        <v>-5.1428972273164675E-2</v>
      </c>
    </row>
    <row r="1594" spans="1:18" x14ac:dyDescent="0.3">
      <c r="A1594" s="11" t="s">
        <v>1514</v>
      </c>
      <c r="B1594" s="7">
        <v>28660</v>
      </c>
      <c r="C1594" s="7">
        <v>14.590999999999999</v>
      </c>
      <c r="D1594" s="2">
        <f t="shared" si="415"/>
        <v>1.1999999999998678E-2</v>
      </c>
      <c r="E1594" s="8">
        <f t="shared" si="418"/>
        <v>14.615744684461124</v>
      </c>
      <c r="F1594" s="6">
        <f t="shared" si="409"/>
        <v>1.4684287812041116E-2</v>
      </c>
      <c r="G1594" s="12">
        <f t="shared" si="411"/>
        <v>-2.4744684461124322E-2</v>
      </c>
    </row>
    <row r="1595" spans="1:18" x14ac:dyDescent="0.3">
      <c r="A1595" s="11" t="s">
        <v>1515</v>
      </c>
      <c r="B1595" s="7">
        <v>28680</v>
      </c>
      <c r="C1595" s="7">
        <v>14.601000000000001</v>
      </c>
      <c r="D1595" s="2">
        <f t="shared" si="415"/>
        <v>1.0000000000001563E-2</v>
      </c>
      <c r="E1595" s="8">
        <f t="shared" si="418"/>
        <v>14.601060396649082</v>
      </c>
      <c r="F1595" s="6">
        <f t="shared" si="409"/>
        <v>1.4684287812041116E-2</v>
      </c>
      <c r="G1595" s="12">
        <f t="shared" si="411"/>
        <v>-6.0396649081084774E-5</v>
      </c>
    </row>
    <row r="1596" spans="1:18" x14ac:dyDescent="0.3">
      <c r="A1596" s="21"/>
      <c r="B1596" s="22"/>
      <c r="C1596" s="22"/>
      <c r="D1596" s="22"/>
      <c r="E1596" s="22"/>
      <c r="F1596" s="22"/>
      <c r="G1596" s="23"/>
      <c r="H1596" s="4" t="s">
        <v>3486</v>
      </c>
      <c r="J1596" s="4"/>
      <c r="O1596" s="3">
        <f>1/O1597</f>
        <v>1.0346611484738747E-4</v>
      </c>
      <c r="P1596" s="3">
        <f>O1596*20</f>
        <v>2.0693222969477496E-3</v>
      </c>
      <c r="Q1596" s="3" t="s">
        <v>3202</v>
      </c>
      <c r="R1596" s="3">
        <v>9665</v>
      </c>
    </row>
    <row r="1597" spans="1:18" x14ac:dyDescent="0.3">
      <c r="A1597" s="11" t="s">
        <v>1516</v>
      </c>
      <c r="B1597" s="7">
        <v>28700</v>
      </c>
      <c r="C1597" s="7">
        <v>14.621</v>
      </c>
      <c r="D1597" s="2">
        <f>C1597-C1595</f>
        <v>1.9999999999999574E-2</v>
      </c>
      <c r="E1597" s="8">
        <f>E1595+F1597</f>
        <v>14.603129718946029</v>
      </c>
      <c r="F1597" s="6">
        <f>P1596</f>
        <v>2.0693222969477496E-3</v>
      </c>
      <c r="G1597" s="12">
        <f>C1597-E1597</f>
        <v>1.7870281053971482E-2</v>
      </c>
      <c r="H1597" s="3">
        <f>B1595</f>
        <v>28680</v>
      </c>
      <c r="I1597" s="3">
        <f>B1629</f>
        <v>29240</v>
      </c>
      <c r="J1597" s="3">
        <f>I1597-H1597</f>
        <v>560</v>
      </c>
      <c r="K1597" s="5">
        <f>E1595</f>
        <v>14.601060396649082</v>
      </c>
      <c r="L1597" s="3">
        <f>C1629</f>
        <v>14.659000000000001</v>
      </c>
      <c r="M1597" s="5">
        <f>L1597-K1597</f>
        <v>5.7939603350918745E-2</v>
      </c>
      <c r="N1597" s="3">
        <f>J1597/M1597</f>
        <v>9665.2370332652627</v>
      </c>
      <c r="O1597" s="3">
        <v>9665</v>
      </c>
    </row>
    <row r="1598" spans="1:18" x14ac:dyDescent="0.3">
      <c r="A1598" s="11" t="s">
        <v>1517</v>
      </c>
      <c r="B1598" s="7">
        <v>28720</v>
      </c>
      <c r="C1598" s="7">
        <v>14.584</v>
      </c>
      <c r="D1598" s="2">
        <f t="shared" si="415"/>
        <v>-3.700000000000081E-2</v>
      </c>
      <c r="E1598" s="8">
        <f>E1597+F1597</f>
        <v>14.605199041242976</v>
      </c>
      <c r="F1598" s="6">
        <f t="shared" ref="F1598" si="419">F1597</f>
        <v>2.0693222969477496E-3</v>
      </c>
      <c r="G1598" s="12">
        <f t="shared" ref="G1598" si="420">C1598-E1598</f>
        <v>-2.1199041242976335E-2</v>
      </c>
    </row>
    <row r="1599" spans="1:18" x14ac:dyDescent="0.3">
      <c r="A1599" s="11" t="s">
        <v>1518</v>
      </c>
      <c r="B1599" s="7">
        <v>28740</v>
      </c>
      <c r="C1599" s="7">
        <v>14.608000000000001</v>
      </c>
      <c r="D1599" s="2">
        <f t="shared" si="415"/>
        <v>2.4000000000000909E-2</v>
      </c>
      <c r="E1599" s="8">
        <f t="shared" ref="E1599:E1612" si="421">E1598+F1598</f>
        <v>14.607268363539923</v>
      </c>
      <c r="F1599" s="6">
        <f t="shared" si="409"/>
        <v>2.0693222969477496E-3</v>
      </c>
      <c r="G1599" s="12">
        <f t="shared" si="411"/>
        <v>7.3163646007756711E-4</v>
      </c>
    </row>
    <row r="1600" spans="1:18" x14ac:dyDescent="0.3">
      <c r="A1600" s="11" t="s">
        <v>1519</v>
      </c>
      <c r="B1600" s="7">
        <v>28760</v>
      </c>
      <c r="C1600" s="7">
        <v>14.657</v>
      </c>
      <c r="D1600" s="2">
        <f t="shared" si="415"/>
        <v>4.8999999999999488E-2</v>
      </c>
      <c r="E1600" s="8">
        <f t="shared" si="421"/>
        <v>14.60933768583687</v>
      </c>
      <c r="F1600" s="6">
        <f t="shared" si="409"/>
        <v>2.0693222969477496E-3</v>
      </c>
      <c r="G1600" s="12">
        <f t="shared" si="411"/>
        <v>4.7662314163130048E-2</v>
      </c>
    </row>
    <row r="1601" spans="1:7" x14ac:dyDescent="0.3">
      <c r="A1601" s="11" t="s">
        <v>1520</v>
      </c>
      <c r="B1601" s="7">
        <v>28780</v>
      </c>
      <c r="C1601" s="7">
        <v>14.695</v>
      </c>
      <c r="D1601" s="2">
        <f t="shared" si="415"/>
        <v>3.8000000000000256E-2</v>
      </c>
      <c r="E1601" s="8">
        <f t="shared" si="421"/>
        <v>14.611407008133817</v>
      </c>
      <c r="F1601" s="6">
        <f t="shared" si="409"/>
        <v>2.0693222969477496E-3</v>
      </c>
      <c r="G1601" s="12">
        <f t="shared" si="411"/>
        <v>8.3592991866183297E-2</v>
      </c>
    </row>
    <row r="1602" spans="1:7" x14ac:dyDescent="0.3">
      <c r="A1602" s="11" t="s">
        <v>1521</v>
      </c>
      <c r="B1602" s="7">
        <v>28800</v>
      </c>
      <c r="C1602" s="7">
        <v>14.731</v>
      </c>
      <c r="D1602" s="2">
        <f t="shared" si="415"/>
        <v>3.5999999999999588E-2</v>
      </c>
      <c r="E1602" s="8">
        <f t="shared" si="421"/>
        <v>14.613476330430764</v>
      </c>
      <c r="F1602" s="6">
        <f t="shared" si="409"/>
        <v>2.0693222969477496E-3</v>
      </c>
      <c r="G1602" s="12">
        <f t="shared" si="411"/>
        <v>0.11752366956923588</v>
      </c>
    </row>
    <row r="1603" spans="1:7" x14ac:dyDescent="0.3">
      <c r="A1603" s="11" t="s">
        <v>1522</v>
      </c>
      <c r="B1603" s="7">
        <v>28820</v>
      </c>
      <c r="C1603" s="7">
        <v>14.742000000000001</v>
      </c>
      <c r="D1603" s="2">
        <f t="shared" si="415"/>
        <v>1.1000000000001009E-2</v>
      </c>
      <c r="E1603" s="8">
        <f t="shared" si="421"/>
        <v>14.615545652727711</v>
      </c>
      <c r="F1603" s="6">
        <f t="shared" si="409"/>
        <v>2.0693222969477496E-3</v>
      </c>
      <c r="G1603" s="12">
        <f t="shared" si="411"/>
        <v>0.12645434727228988</v>
      </c>
    </row>
    <row r="1604" spans="1:7" x14ac:dyDescent="0.3">
      <c r="A1604" s="11" t="s">
        <v>1523</v>
      </c>
      <c r="B1604" s="7">
        <v>28840</v>
      </c>
      <c r="C1604" s="7">
        <v>14.766</v>
      </c>
      <c r="D1604" s="2">
        <f t="shared" si="415"/>
        <v>2.3999999999999133E-2</v>
      </c>
      <c r="E1604" s="8">
        <f t="shared" si="421"/>
        <v>14.617614975024658</v>
      </c>
      <c r="F1604" s="6">
        <f t="shared" si="409"/>
        <v>2.0693222969477496E-3</v>
      </c>
      <c r="G1604" s="12">
        <f t="shared" si="411"/>
        <v>0.14838502497534201</v>
      </c>
    </row>
    <row r="1605" spans="1:7" x14ac:dyDescent="0.3">
      <c r="A1605" s="11" t="s">
        <v>1524</v>
      </c>
      <c r="B1605" s="7">
        <v>28860</v>
      </c>
      <c r="C1605" s="7">
        <v>14.779</v>
      </c>
      <c r="D1605" s="2">
        <f>C1605-C1604</f>
        <v>1.2999999999999901E-2</v>
      </c>
      <c r="E1605" s="8">
        <f>E1604+F1604</f>
        <v>14.619684297321605</v>
      </c>
      <c r="F1605" s="6">
        <f>F1604</f>
        <v>2.0693222969477496E-3</v>
      </c>
      <c r="G1605" s="12">
        <f t="shared" si="411"/>
        <v>0.1593157026783949</v>
      </c>
    </row>
    <row r="1606" spans="1:7" x14ac:dyDescent="0.3">
      <c r="A1606" s="11" t="s">
        <v>3416</v>
      </c>
      <c r="B1606" s="70" t="s">
        <v>3417</v>
      </c>
      <c r="C1606" s="7"/>
      <c r="D1606" s="2"/>
      <c r="E1606" s="8"/>
      <c r="F1606" s="6"/>
      <c r="G1606" s="12"/>
    </row>
    <row r="1607" spans="1:7" x14ac:dyDescent="0.3">
      <c r="A1607" s="11" t="s">
        <v>1525</v>
      </c>
      <c r="B1607" s="7">
        <v>28880</v>
      </c>
      <c r="C1607" s="7">
        <v>14.826000000000001</v>
      </c>
      <c r="D1607" s="2">
        <f>C1607-C1605</f>
        <v>4.7000000000000597E-2</v>
      </c>
      <c r="E1607" s="8">
        <f>E1605+F1605</f>
        <v>14.621753619618552</v>
      </c>
      <c r="F1607" s="6">
        <f>F1605</f>
        <v>2.0693222969477496E-3</v>
      </c>
      <c r="G1607" s="12">
        <f t="shared" si="411"/>
        <v>0.20424638038144849</v>
      </c>
    </row>
    <row r="1608" spans="1:7" x14ac:dyDescent="0.3">
      <c r="A1608" s="11" t="s">
        <v>1526</v>
      </c>
      <c r="B1608" s="7">
        <v>28900</v>
      </c>
      <c r="C1608" s="7">
        <v>14.853999999999999</v>
      </c>
      <c r="D1608" s="2">
        <f t="shared" si="415"/>
        <v>2.7999999999998693E-2</v>
      </c>
      <c r="E1608" s="8">
        <f t="shared" si="421"/>
        <v>14.623822941915499</v>
      </c>
      <c r="F1608" s="6">
        <f t="shared" si="409"/>
        <v>2.0693222969477496E-3</v>
      </c>
      <c r="G1608" s="12">
        <f t="shared" si="411"/>
        <v>0.23017705808450017</v>
      </c>
    </row>
    <row r="1609" spans="1:7" x14ac:dyDescent="0.3">
      <c r="A1609" s="11" t="s">
        <v>1527</v>
      </c>
      <c r="B1609" s="7">
        <v>28920</v>
      </c>
      <c r="C1609" s="7">
        <v>14.863</v>
      </c>
      <c r="D1609" s="2">
        <f t="shared" si="415"/>
        <v>9.0000000000003411E-3</v>
      </c>
      <c r="E1609" s="8">
        <f t="shared" si="421"/>
        <v>14.625892264212446</v>
      </c>
      <c r="F1609" s="6">
        <f t="shared" si="409"/>
        <v>2.0693222969477496E-3</v>
      </c>
      <c r="G1609" s="12">
        <f t="shared" si="411"/>
        <v>0.23710773578755351</v>
      </c>
    </row>
    <row r="1610" spans="1:7" x14ac:dyDescent="0.3">
      <c r="A1610" s="11" t="s">
        <v>1528</v>
      </c>
      <c r="B1610" s="7">
        <v>28940</v>
      </c>
      <c r="C1610" s="7">
        <v>14.91</v>
      </c>
      <c r="D1610" s="2">
        <f t="shared" si="415"/>
        <v>4.7000000000000597E-2</v>
      </c>
      <c r="E1610" s="8">
        <f t="shared" si="421"/>
        <v>14.627961586509393</v>
      </c>
      <c r="F1610" s="6">
        <f t="shared" si="409"/>
        <v>2.0693222969477496E-3</v>
      </c>
      <c r="G1610" s="12">
        <f t="shared" si="411"/>
        <v>0.2820384134906071</v>
      </c>
    </row>
    <row r="1611" spans="1:7" x14ac:dyDescent="0.3">
      <c r="A1611" s="11" t="s">
        <v>1529</v>
      </c>
      <c r="B1611" s="7">
        <v>28960</v>
      </c>
      <c r="C1611" s="7">
        <v>14.901</v>
      </c>
      <c r="D1611" s="2">
        <f t="shared" si="415"/>
        <v>-9.0000000000003411E-3</v>
      </c>
      <c r="E1611" s="8">
        <f t="shared" si="421"/>
        <v>14.63003090880634</v>
      </c>
      <c r="F1611" s="6">
        <f t="shared" si="409"/>
        <v>2.0693222969477496E-3</v>
      </c>
      <c r="G1611" s="12">
        <f t="shared" si="411"/>
        <v>0.27096909119365975</v>
      </c>
    </row>
    <row r="1612" spans="1:7" x14ac:dyDescent="0.3">
      <c r="A1612" s="11" t="s">
        <v>1530</v>
      </c>
      <c r="B1612" s="7">
        <v>28980</v>
      </c>
      <c r="C1612" s="7">
        <v>14.897</v>
      </c>
      <c r="D1612" s="2">
        <f t="shared" si="415"/>
        <v>-3.9999999999995595E-3</v>
      </c>
      <c r="E1612" s="8">
        <f t="shared" si="421"/>
        <v>14.632100231103287</v>
      </c>
      <c r="F1612" s="6">
        <f t="shared" si="409"/>
        <v>2.0693222969477496E-3</v>
      </c>
      <c r="G1612" s="12">
        <f t="shared" si="411"/>
        <v>0.26489976889671318</v>
      </c>
    </row>
    <row r="1613" spans="1:7" x14ac:dyDescent="0.3">
      <c r="A1613" s="11" t="s">
        <v>3418</v>
      </c>
      <c r="B1613" s="62" t="s">
        <v>3419</v>
      </c>
      <c r="C1613" s="25"/>
      <c r="D1613" s="71"/>
      <c r="E1613" s="72"/>
      <c r="F1613" s="22"/>
      <c r="G1613" s="73"/>
    </row>
    <row r="1614" spans="1:7" x14ac:dyDescent="0.3">
      <c r="A1614" s="13" t="s">
        <v>1531</v>
      </c>
      <c r="B1614" s="24"/>
      <c r="C1614" s="25"/>
      <c r="D1614" s="25"/>
      <c r="E1614" s="25"/>
      <c r="F1614" s="25"/>
      <c r="G1614" s="26"/>
    </row>
    <row r="1615" spans="1:7" x14ac:dyDescent="0.3">
      <c r="A1615" s="11" t="s">
        <v>1532</v>
      </c>
      <c r="B1615" s="7">
        <v>29000</v>
      </c>
      <c r="C1615" s="7">
        <v>14.891</v>
      </c>
      <c r="D1615" s="2">
        <f>C1615-C1612</f>
        <v>-6.0000000000002274E-3</v>
      </c>
      <c r="E1615" s="8">
        <f>E1612+F1612</f>
        <v>14.634169553400234</v>
      </c>
      <c r="F1615" s="6">
        <f>F1612</f>
        <v>2.0693222969477496E-3</v>
      </c>
      <c r="G1615" s="12">
        <f t="shared" si="411"/>
        <v>0.25683044659976595</v>
      </c>
    </row>
    <row r="1616" spans="1:7" x14ac:dyDescent="0.3">
      <c r="A1616" s="11" t="s">
        <v>1533</v>
      </c>
      <c r="B1616" s="7">
        <v>29020</v>
      </c>
      <c r="C1616" s="7">
        <v>14.866</v>
      </c>
      <c r="D1616" s="2">
        <f t="shared" si="415"/>
        <v>-2.5000000000000355E-2</v>
      </c>
      <c r="E1616" s="8">
        <f t="shared" ref="E1616:E1627" si="422">E1615+F1615</f>
        <v>14.636238875697181</v>
      </c>
      <c r="F1616" s="6">
        <f t="shared" si="409"/>
        <v>2.0693222969477496E-3</v>
      </c>
      <c r="G1616" s="12">
        <f t="shared" ref="G1616:G1620" si="423">C1616-E1616</f>
        <v>0.22976112430281859</v>
      </c>
    </row>
    <row r="1617" spans="1:18" x14ac:dyDescent="0.3">
      <c r="A1617" s="11" t="s">
        <v>1534</v>
      </c>
      <c r="B1617" s="7">
        <v>29040</v>
      </c>
      <c r="C1617" s="7">
        <v>14.821999999999999</v>
      </c>
      <c r="D1617" s="2">
        <f t="shared" si="415"/>
        <v>-4.4000000000000483E-2</v>
      </c>
      <c r="E1617" s="8">
        <f t="shared" si="422"/>
        <v>14.638308197994128</v>
      </c>
      <c r="F1617" s="6">
        <f t="shared" si="409"/>
        <v>2.0693222969477496E-3</v>
      </c>
      <c r="G1617" s="12">
        <f t="shared" si="423"/>
        <v>0.1836918020058711</v>
      </c>
    </row>
    <row r="1618" spans="1:18" x14ac:dyDescent="0.3">
      <c r="A1618" s="11" t="s">
        <v>1535</v>
      </c>
      <c r="B1618" s="7">
        <v>29060</v>
      </c>
      <c r="C1618" s="7">
        <v>14.791</v>
      </c>
      <c r="D1618" s="2">
        <f t="shared" si="415"/>
        <v>-3.0999999999998806E-2</v>
      </c>
      <c r="E1618" s="8">
        <f t="shared" si="422"/>
        <v>14.640377520291075</v>
      </c>
      <c r="F1618" s="6">
        <f t="shared" si="409"/>
        <v>2.0693222969477496E-3</v>
      </c>
      <c r="G1618" s="12">
        <f t="shared" si="423"/>
        <v>0.15062247970892528</v>
      </c>
    </row>
    <row r="1619" spans="1:18" x14ac:dyDescent="0.3">
      <c r="A1619" s="11" t="s">
        <v>1536</v>
      </c>
      <c r="B1619" s="7">
        <v>29080</v>
      </c>
      <c r="C1619" s="7">
        <v>14.888</v>
      </c>
      <c r="D1619" s="2">
        <f t="shared" si="415"/>
        <v>9.6999999999999531E-2</v>
      </c>
      <c r="E1619" s="8">
        <f t="shared" si="422"/>
        <v>14.642446842588022</v>
      </c>
      <c r="F1619" s="6">
        <f t="shared" si="409"/>
        <v>2.0693222969477496E-3</v>
      </c>
      <c r="G1619" s="12">
        <f t="shared" si="423"/>
        <v>0.24555315741197781</v>
      </c>
    </row>
    <row r="1620" spans="1:18" x14ac:dyDescent="0.3">
      <c r="A1620" s="11" t="s">
        <v>1537</v>
      </c>
      <c r="B1620" s="7">
        <v>29100</v>
      </c>
      <c r="C1620" s="7">
        <v>14.87</v>
      </c>
      <c r="D1620" s="2">
        <f t="shared" si="415"/>
        <v>-1.8000000000000682E-2</v>
      </c>
      <c r="E1620" s="8">
        <f t="shared" si="422"/>
        <v>14.644516164884969</v>
      </c>
      <c r="F1620" s="6">
        <f t="shared" si="409"/>
        <v>2.0693222969477496E-3</v>
      </c>
      <c r="G1620" s="12">
        <f t="shared" si="423"/>
        <v>0.22548383511503012</v>
      </c>
    </row>
    <row r="1621" spans="1:18" x14ac:dyDescent="0.3">
      <c r="A1621" s="11" t="s">
        <v>1538</v>
      </c>
      <c r="B1621" s="7">
        <v>29120</v>
      </c>
      <c r="C1621" s="7">
        <v>14.819000000000001</v>
      </c>
      <c r="D1621" s="2">
        <f>C1621-C1620</f>
        <v>-5.099999999999838E-2</v>
      </c>
      <c r="E1621" s="8">
        <f t="shared" si="422"/>
        <v>14.646585487181916</v>
      </c>
      <c r="F1621" s="6">
        <f>F1620</f>
        <v>2.0693222969477496E-3</v>
      </c>
      <c r="G1621" s="12">
        <f>C1621-E1621</f>
        <v>0.17241451281808473</v>
      </c>
    </row>
    <row r="1622" spans="1:18" x14ac:dyDescent="0.3">
      <c r="A1622" s="11" t="s">
        <v>3420</v>
      </c>
      <c r="B1622" s="70" t="s">
        <v>3421</v>
      </c>
      <c r="C1622" s="7"/>
      <c r="D1622" s="2"/>
      <c r="E1622" s="8"/>
      <c r="F1622" s="6"/>
      <c r="G1622" s="12"/>
    </row>
    <row r="1623" spans="1:18" x14ac:dyDescent="0.3">
      <c r="A1623" s="11" t="s">
        <v>1539</v>
      </c>
      <c r="B1623" s="7">
        <v>29140</v>
      </c>
      <c r="C1623" s="7">
        <v>14.739000000000001</v>
      </c>
      <c r="D1623" s="2">
        <f>C1623-C1621</f>
        <v>-8.0000000000000071E-2</v>
      </c>
      <c r="E1623" s="8">
        <f>E1621+F1621</f>
        <v>14.648654809478863</v>
      </c>
      <c r="F1623" s="6">
        <f t="shared" ref="F1623" si="424">F1621</f>
        <v>2.0693222969477496E-3</v>
      </c>
      <c r="G1623" s="12">
        <f t="shared" ref="G1623" si="425">C1623-E1623</f>
        <v>9.0345190521137653E-2</v>
      </c>
    </row>
    <row r="1624" spans="1:18" x14ac:dyDescent="0.3">
      <c r="A1624" s="11" t="s">
        <v>1540</v>
      </c>
      <c r="B1624" s="7">
        <v>29160</v>
      </c>
      <c r="C1624" s="7">
        <v>14.747</v>
      </c>
      <c r="D1624" s="2">
        <f t="shared" si="415"/>
        <v>7.9999999999991189E-3</v>
      </c>
      <c r="E1624" s="8">
        <f t="shared" si="422"/>
        <v>14.65072413177581</v>
      </c>
      <c r="F1624" s="6">
        <f t="shared" si="409"/>
        <v>2.0693222969477496E-3</v>
      </c>
      <c r="G1624" s="12">
        <f t="shared" ref="G1624:G1634" si="426">C1624-E1624</f>
        <v>9.6275868224189765E-2</v>
      </c>
    </row>
    <row r="1625" spans="1:18" x14ac:dyDescent="0.3">
      <c r="A1625" s="11" t="s">
        <v>1541</v>
      </c>
      <c r="B1625" s="7">
        <v>29180</v>
      </c>
      <c r="C1625" s="7">
        <v>14.824</v>
      </c>
      <c r="D1625" s="2">
        <f t="shared" si="415"/>
        <v>7.6999999999999957E-2</v>
      </c>
      <c r="E1625" s="8">
        <f t="shared" si="422"/>
        <v>14.652793454072757</v>
      </c>
      <c r="F1625" s="6">
        <f t="shared" si="409"/>
        <v>2.0693222969477496E-3</v>
      </c>
      <c r="G1625" s="12">
        <f t="shared" si="426"/>
        <v>0.17120654592724271</v>
      </c>
    </row>
    <row r="1626" spans="1:18" x14ac:dyDescent="0.3">
      <c r="A1626" s="11" t="s">
        <v>1542</v>
      </c>
      <c r="B1626" s="7">
        <v>29200</v>
      </c>
      <c r="C1626" s="7">
        <v>14.657999999999999</v>
      </c>
      <c r="D1626" s="2">
        <f t="shared" si="415"/>
        <v>-0.16600000000000037</v>
      </c>
      <c r="E1626" s="8">
        <f t="shared" si="422"/>
        <v>14.654862776369704</v>
      </c>
      <c r="F1626" s="6">
        <f t="shared" si="409"/>
        <v>2.0693222969477496E-3</v>
      </c>
      <c r="G1626" s="12">
        <f t="shared" si="426"/>
        <v>3.1372236302953382E-3</v>
      </c>
    </row>
    <row r="1627" spans="1:18" x14ac:dyDescent="0.3">
      <c r="A1627" s="11" t="s">
        <v>1543</v>
      </c>
      <c r="B1627" s="7">
        <v>29220</v>
      </c>
      <c r="C1627" s="7">
        <v>14.673</v>
      </c>
      <c r="D1627" s="2">
        <f t="shared" si="415"/>
        <v>1.5000000000000568E-2</v>
      </c>
      <c r="E1627" s="8">
        <f t="shared" si="422"/>
        <v>14.656932098666651</v>
      </c>
      <c r="F1627" s="6">
        <f t="shared" ref="F1627:F1693" si="427">F1626</f>
        <v>2.0693222969477496E-3</v>
      </c>
      <c r="G1627" s="12">
        <f t="shared" si="426"/>
        <v>1.60679013333489E-2</v>
      </c>
    </row>
    <row r="1628" spans="1:18" x14ac:dyDescent="0.3">
      <c r="A1628" s="11" t="s">
        <v>3422</v>
      </c>
      <c r="B1628" s="70" t="s">
        <v>3423</v>
      </c>
      <c r="C1628" s="7"/>
      <c r="D1628" s="2"/>
      <c r="E1628" s="8"/>
      <c r="F1628" s="6"/>
      <c r="G1628" s="12"/>
    </row>
    <row r="1629" spans="1:18" x14ac:dyDescent="0.3">
      <c r="A1629" s="11" t="s">
        <v>1544</v>
      </c>
      <c r="B1629" s="7">
        <v>29240</v>
      </c>
      <c r="C1629" s="7">
        <v>14.659000000000001</v>
      </c>
      <c r="D1629" s="2">
        <f>C1629-C1627</f>
        <v>-1.3999999999999346E-2</v>
      </c>
      <c r="E1629" s="8">
        <f>E1627+F1627</f>
        <v>14.659001420963598</v>
      </c>
      <c r="F1629" s="6">
        <f>F1627</f>
        <v>2.0693222969477496E-3</v>
      </c>
      <c r="G1629" s="12">
        <f t="shared" si="426"/>
        <v>-1.420963597453806E-6</v>
      </c>
    </row>
    <row r="1630" spans="1:18" x14ac:dyDescent="0.3">
      <c r="A1630" s="11"/>
      <c r="B1630" s="7"/>
      <c r="C1630" s="7"/>
      <c r="D1630" s="2"/>
      <c r="E1630" s="8"/>
      <c r="F1630" s="6"/>
      <c r="G1630" s="12"/>
      <c r="H1630" s="4" t="s">
        <v>3296</v>
      </c>
      <c r="J1630" s="4"/>
      <c r="O1630" s="3">
        <f>1/O1631</f>
        <v>1.4450867052023121E-3</v>
      </c>
      <c r="P1630" s="3">
        <f>O1630*20</f>
        <v>2.8901734104046242E-2</v>
      </c>
      <c r="Q1630" s="3" t="s">
        <v>3200</v>
      </c>
      <c r="R1630" s="3">
        <v>687</v>
      </c>
    </row>
    <row r="1631" spans="1:18" x14ac:dyDescent="0.3">
      <c r="A1631" s="11" t="s">
        <v>1545</v>
      </c>
      <c r="B1631" s="7">
        <v>29260</v>
      </c>
      <c r="C1631" s="7">
        <v>14.638</v>
      </c>
      <c r="D1631" s="2">
        <f>C1631-C1629</f>
        <v>-2.1000000000000796E-2</v>
      </c>
      <c r="E1631" s="8">
        <f>E1629-F1631</f>
        <v>14.630099686859552</v>
      </c>
      <c r="F1631" s="6">
        <f>P1630</f>
        <v>2.8901734104046242E-2</v>
      </c>
      <c r="G1631" s="12">
        <f t="shared" si="426"/>
        <v>7.9003131404480342E-3</v>
      </c>
      <c r="H1631" s="3">
        <f>B1629</f>
        <v>29240</v>
      </c>
      <c r="I1631" s="3">
        <f>B1669</f>
        <v>30000</v>
      </c>
      <c r="J1631" s="3">
        <f>I1631-H1631</f>
        <v>760</v>
      </c>
      <c r="K1631" s="5">
        <f>E1629</f>
        <v>14.659001420963598</v>
      </c>
      <c r="L1631" s="3">
        <f>C1669</f>
        <v>13.56</v>
      </c>
      <c r="M1631" s="5">
        <f>L1631-K1631</f>
        <v>-1.0990014209635977</v>
      </c>
      <c r="N1631" s="3">
        <f>J1631/M1631</f>
        <v>-691.53686747159679</v>
      </c>
      <c r="O1631" s="3">
        <v>692</v>
      </c>
    </row>
    <row r="1632" spans="1:18" x14ac:dyDescent="0.3">
      <c r="A1632" s="11" t="s">
        <v>1546</v>
      </c>
      <c r="B1632" s="7">
        <v>29280</v>
      </c>
      <c r="C1632" s="7">
        <v>14.603999999999999</v>
      </c>
      <c r="D1632" s="2">
        <f>C1632-C1631</f>
        <v>-3.4000000000000696E-2</v>
      </c>
      <c r="E1632" s="8">
        <f>E1631-F1631</f>
        <v>14.601197952755506</v>
      </c>
      <c r="F1632" s="6">
        <f>F1631</f>
        <v>2.8901734104046242E-2</v>
      </c>
      <c r="G1632" s="12">
        <f t="shared" si="426"/>
        <v>2.8020472444936217E-3</v>
      </c>
    </row>
    <row r="1633" spans="1:7" x14ac:dyDescent="0.3">
      <c r="A1633" s="11" t="s">
        <v>1547</v>
      </c>
      <c r="B1633" s="7">
        <v>29300</v>
      </c>
      <c r="C1633" s="7">
        <v>14.568</v>
      </c>
      <c r="D1633" s="2">
        <f t="shared" si="415"/>
        <v>-3.5999999999999588E-2</v>
      </c>
      <c r="E1633" s="8">
        <f t="shared" ref="E1633:E1645" si="428">E1632-F1632</f>
        <v>14.572296218651459</v>
      </c>
      <c r="F1633" s="6">
        <f t="shared" si="427"/>
        <v>2.8901734104046242E-2</v>
      </c>
      <c r="G1633" s="12">
        <f t="shared" si="426"/>
        <v>-4.2962186514596823E-3</v>
      </c>
    </row>
    <row r="1634" spans="1:7" x14ac:dyDescent="0.3">
      <c r="A1634" s="11" t="s">
        <v>1548</v>
      </c>
      <c r="B1634" s="7">
        <v>29320</v>
      </c>
      <c r="C1634" s="7">
        <v>14.64</v>
      </c>
      <c r="D1634" s="2">
        <f t="shared" si="415"/>
        <v>7.2000000000000952E-2</v>
      </c>
      <c r="E1634" s="8">
        <f t="shared" si="428"/>
        <v>14.543394484547413</v>
      </c>
      <c r="F1634" s="6">
        <f t="shared" si="427"/>
        <v>2.8901734104046242E-2</v>
      </c>
      <c r="G1634" s="12">
        <f t="shared" si="426"/>
        <v>9.6605515452587554E-2</v>
      </c>
    </row>
    <row r="1635" spans="1:7" x14ac:dyDescent="0.3">
      <c r="A1635" s="11" t="s">
        <v>1549</v>
      </c>
      <c r="B1635" s="7">
        <v>29340</v>
      </c>
      <c r="C1635" s="7">
        <v>14.571999999999999</v>
      </c>
      <c r="D1635" s="2">
        <f t="shared" si="415"/>
        <v>-6.8000000000001393E-2</v>
      </c>
      <c r="E1635" s="8">
        <f t="shared" si="428"/>
        <v>14.514492750443367</v>
      </c>
      <c r="F1635" s="6">
        <f t="shared" si="427"/>
        <v>2.8901734104046242E-2</v>
      </c>
      <c r="G1635" s="12">
        <f t="shared" ref="G1635:G1645" si="429">C1635-E1635</f>
        <v>5.7507249556632445E-2</v>
      </c>
    </row>
    <row r="1636" spans="1:7" x14ac:dyDescent="0.3">
      <c r="A1636" s="11" t="s">
        <v>1550</v>
      </c>
      <c r="B1636" s="7">
        <v>29360</v>
      </c>
      <c r="C1636" s="7">
        <v>14.417</v>
      </c>
      <c r="D1636" s="2">
        <f t="shared" si="415"/>
        <v>-0.15499999999999936</v>
      </c>
      <c r="E1636" s="8">
        <f t="shared" si="428"/>
        <v>14.48559101633932</v>
      </c>
      <c r="F1636" s="6">
        <f t="shared" si="427"/>
        <v>2.8901734104046242E-2</v>
      </c>
      <c r="G1636" s="12">
        <f t="shared" si="429"/>
        <v>-6.8591016339320632E-2</v>
      </c>
    </row>
    <row r="1637" spans="1:7" x14ac:dyDescent="0.3">
      <c r="A1637" s="11" t="s">
        <v>1551</v>
      </c>
      <c r="B1637" s="7">
        <v>29380</v>
      </c>
      <c r="C1637" s="7">
        <v>14.38</v>
      </c>
      <c r="D1637" s="2">
        <f t="shared" si="415"/>
        <v>-3.6999999999999034E-2</v>
      </c>
      <c r="E1637" s="8">
        <f t="shared" si="428"/>
        <v>14.456689282235274</v>
      </c>
      <c r="F1637" s="6">
        <f t="shared" si="427"/>
        <v>2.8901734104046242E-2</v>
      </c>
      <c r="G1637" s="12">
        <f t="shared" si="429"/>
        <v>-7.6689282235273382E-2</v>
      </c>
    </row>
    <row r="1638" spans="1:7" x14ac:dyDescent="0.3">
      <c r="A1638" s="11" t="s">
        <v>1552</v>
      </c>
      <c r="B1638" s="7">
        <v>29400</v>
      </c>
      <c r="C1638" s="7">
        <v>14.388</v>
      </c>
      <c r="D1638" s="2">
        <f t="shared" si="415"/>
        <v>7.9999999999991189E-3</v>
      </c>
      <c r="E1638" s="8">
        <f t="shared" si="428"/>
        <v>14.427787548131228</v>
      </c>
      <c r="F1638" s="6">
        <f t="shared" si="427"/>
        <v>2.8901734104046242E-2</v>
      </c>
      <c r="G1638" s="12">
        <f t="shared" si="429"/>
        <v>-3.9787548131227979E-2</v>
      </c>
    </row>
    <row r="1639" spans="1:7" x14ac:dyDescent="0.3">
      <c r="A1639" s="11" t="s">
        <v>1553</v>
      </c>
      <c r="B1639" s="7">
        <v>29420</v>
      </c>
      <c r="C1639" s="7">
        <v>14.349</v>
      </c>
      <c r="D1639" s="2">
        <f t="shared" si="415"/>
        <v>-3.8999999999999702E-2</v>
      </c>
      <c r="E1639" s="8">
        <f t="shared" si="428"/>
        <v>14.398885814027182</v>
      </c>
      <c r="F1639" s="6">
        <f t="shared" si="427"/>
        <v>2.8901734104046242E-2</v>
      </c>
      <c r="G1639" s="12">
        <f t="shared" si="429"/>
        <v>-4.9885814027181397E-2</v>
      </c>
    </row>
    <row r="1640" spans="1:7" x14ac:dyDescent="0.3">
      <c r="A1640" s="11" t="s">
        <v>1554</v>
      </c>
      <c r="B1640" s="7">
        <v>29440</v>
      </c>
      <c r="C1640" s="7">
        <v>14.307</v>
      </c>
      <c r="D1640" s="2">
        <f t="shared" si="415"/>
        <v>-4.1999999999999815E-2</v>
      </c>
      <c r="E1640" s="8">
        <f t="shared" si="428"/>
        <v>14.369984079923135</v>
      </c>
      <c r="F1640" s="6">
        <f t="shared" si="427"/>
        <v>2.8901734104046242E-2</v>
      </c>
      <c r="G1640" s="12">
        <f t="shared" si="429"/>
        <v>-6.2984079923134928E-2</v>
      </c>
    </row>
    <row r="1641" spans="1:7" x14ac:dyDescent="0.3">
      <c r="A1641" s="11" t="s">
        <v>1555</v>
      </c>
      <c r="B1641" s="7">
        <v>29460</v>
      </c>
      <c r="C1641" s="7">
        <v>14.26</v>
      </c>
      <c r="D1641" s="2">
        <f t="shared" si="415"/>
        <v>-4.7000000000000597E-2</v>
      </c>
      <c r="E1641" s="8">
        <f t="shared" si="428"/>
        <v>14.341082345819089</v>
      </c>
      <c r="F1641" s="6">
        <f t="shared" si="427"/>
        <v>2.8901734104046242E-2</v>
      </c>
      <c r="G1641" s="12">
        <f t="shared" si="429"/>
        <v>-8.1082345819089241E-2</v>
      </c>
    </row>
    <row r="1642" spans="1:7" x14ac:dyDescent="0.3">
      <c r="A1642" s="11" t="s">
        <v>1556</v>
      </c>
      <c r="B1642" s="7">
        <v>29480</v>
      </c>
      <c r="C1642" s="7">
        <v>14.217000000000001</v>
      </c>
      <c r="D1642" s="2">
        <f t="shared" ref="D1642:D1708" si="430">C1642-C1641</f>
        <v>-4.2999999999999261E-2</v>
      </c>
      <c r="E1642" s="8">
        <f t="shared" si="428"/>
        <v>14.312180611715043</v>
      </c>
      <c r="F1642" s="6">
        <f t="shared" si="427"/>
        <v>2.8901734104046242E-2</v>
      </c>
      <c r="G1642" s="12">
        <f t="shared" si="429"/>
        <v>-9.5180611715042218E-2</v>
      </c>
    </row>
    <row r="1643" spans="1:7" x14ac:dyDescent="0.3">
      <c r="A1643" s="11" t="s">
        <v>1557</v>
      </c>
      <c r="B1643" s="7">
        <v>29500</v>
      </c>
      <c r="C1643" s="7">
        <v>14.192</v>
      </c>
      <c r="D1643" s="2">
        <f t="shared" si="430"/>
        <v>-2.5000000000000355E-2</v>
      </c>
      <c r="E1643" s="8">
        <f t="shared" si="428"/>
        <v>14.283278877610996</v>
      </c>
      <c r="F1643" s="6">
        <f t="shared" si="427"/>
        <v>2.8901734104046242E-2</v>
      </c>
      <c r="G1643" s="12">
        <f t="shared" si="429"/>
        <v>-9.127887761099629E-2</v>
      </c>
    </row>
    <row r="1644" spans="1:7" x14ac:dyDescent="0.3">
      <c r="A1644" s="11" t="s">
        <v>1558</v>
      </c>
      <c r="B1644" s="7">
        <v>29520</v>
      </c>
      <c r="C1644" s="7">
        <v>14.153</v>
      </c>
      <c r="D1644" s="2">
        <f t="shared" si="430"/>
        <v>-3.8999999999999702E-2</v>
      </c>
      <c r="E1644" s="8">
        <f t="shared" si="428"/>
        <v>14.25437714350695</v>
      </c>
      <c r="F1644" s="6">
        <f t="shared" si="427"/>
        <v>2.8901734104046242E-2</v>
      </c>
      <c r="G1644" s="12">
        <f t="shared" si="429"/>
        <v>-0.10137714350694971</v>
      </c>
    </row>
    <row r="1645" spans="1:7" x14ac:dyDescent="0.3">
      <c r="A1645" s="11" t="s">
        <v>1559</v>
      </c>
      <c r="B1645" s="7">
        <v>29540</v>
      </c>
      <c r="C1645" s="7">
        <v>14.122</v>
      </c>
      <c r="D1645" s="2">
        <f t="shared" si="430"/>
        <v>-3.1000000000000583E-2</v>
      </c>
      <c r="E1645" s="8">
        <f t="shared" si="428"/>
        <v>14.225475409402904</v>
      </c>
      <c r="F1645" s="6">
        <f t="shared" si="427"/>
        <v>2.8901734104046242E-2</v>
      </c>
      <c r="G1645" s="12">
        <f t="shared" si="429"/>
        <v>-0.10347540940290401</v>
      </c>
    </row>
    <row r="1646" spans="1:7" x14ac:dyDescent="0.3">
      <c r="A1646" s="11" t="s">
        <v>1560</v>
      </c>
      <c r="B1646" s="7">
        <v>29560</v>
      </c>
      <c r="C1646" s="7">
        <v>14.041</v>
      </c>
      <c r="D1646" s="2">
        <f t="shared" si="430"/>
        <v>-8.0999999999999517E-2</v>
      </c>
      <c r="E1646" s="8">
        <f t="shared" ref="E1646:E1656" si="431">E1645-F1645</f>
        <v>14.196573675298858</v>
      </c>
      <c r="F1646" s="6">
        <f t="shared" si="427"/>
        <v>2.8901734104046242E-2</v>
      </c>
      <c r="G1646" s="12">
        <f t="shared" ref="G1646:G1656" si="432">C1646-E1646</f>
        <v>-0.15557367529885724</v>
      </c>
    </row>
    <row r="1647" spans="1:7" x14ac:dyDescent="0.3">
      <c r="A1647" s="11" t="s">
        <v>1561</v>
      </c>
      <c r="B1647" s="7">
        <v>29580</v>
      </c>
      <c r="C1647" s="7">
        <v>14.025</v>
      </c>
      <c r="D1647" s="2">
        <f t="shared" si="430"/>
        <v>-1.6000000000000014E-2</v>
      </c>
      <c r="E1647" s="8">
        <f t="shared" si="431"/>
        <v>14.167671941194811</v>
      </c>
      <c r="F1647" s="6">
        <f t="shared" si="427"/>
        <v>2.8901734104046242E-2</v>
      </c>
      <c r="G1647" s="12">
        <f t="shared" si="432"/>
        <v>-0.14267194119481097</v>
      </c>
    </row>
    <row r="1648" spans="1:7" x14ac:dyDescent="0.3">
      <c r="A1648" s="11" t="s">
        <v>1562</v>
      </c>
      <c r="B1648" s="7">
        <v>29600</v>
      </c>
      <c r="C1648" s="7">
        <v>13.983000000000001</v>
      </c>
      <c r="D1648" s="2">
        <f t="shared" si="430"/>
        <v>-4.1999999999999815E-2</v>
      </c>
      <c r="E1648" s="8">
        <f t="shared" si="431"/>
        <v>14.138770207090765</v>
      </c>
      <c r="F1648" s="6">
        <f t="shared" si="427"/>
        <v>2.8901734104046242E-2</v>
      </c>
      <c r="G1648" s="12">
        <f t="shared" si="432"/>
        <v>-0.1557702070907645</v>
      </c>
    </row>
    <row r="1649" spans="1:7" x14ac:dyDescent="0.3">
      <c r="A1649" s="11" t="s">
        <v>1563</v>
      </c>
      <c r="B1649" s="7">
        <v>29620</v>
      </c>
      <c r="C1649" s="7">
        <v>13.974</v>
      </c>
      <c r="D1649" s="2">
        <f t="shared" si="430"/>
        <v>-9.0000000000003411E-3</v>
      </c>
      <c r="E1649" s="8">
        <f t="shared" si="431"/>
        <v>14.109868472986719</v>
      </c>
      <c r="F1649" s="6">
        <f t="shared" si="427"/>
        <v>2.8901734104046242E-2</v>
      </c>
      <c r="G1649" s="12">
        <f t="shared" si="432"/>
        <v>-0.13586847298671856</v>
      </c>
    </row>
    <row r="1650" spans="1:7" x14ac:dyDescent="0.3">
      <c r="A1650" s="11" t="s">
        <v>1564</v>
      </c>
      <c r="B1650" s="7">
        <v>29640</v>
      </c>
      <c r="C1650" s="7">
        <v>13.96</v>
      </c>
      <c r="D1650" s="2">
        <f t="shared" si="430"/>
        <v>-1.3999999999999346E-2</v>
      </c>
      <c r="E1650" s="8">
        <f t="shared" si="431"/>
        <v>14.080966738882672</v>
      </c>
      <c r="F1650" s="6">
        <f t="shared" si="427"/>
        <v>2.8901734104046242E-2</v>
      </c>
      <c r="G1650" s="12">
        <f t="shared" si="432"/>
        <v>-0.12096673888267162</v>
      </c>
    </row>
    <row r="1651" spans="1:7" x14ac:dyDescent="0.3">
      <c r="A1651" s="11" t="s">
        <v>1565</v>
      </c>
      <c r="B1651" s="7">
        <v>29660</v>
      </c>
      <c r="C1651" s="7">
        <v>13.952</v>
      </c>
      <c r="D1651" s="2">
        <f t="shared" si="430"/>
        <v>-8.0000000000008953E-3</v>
      </c>
      <c r="E1651" s="8">
        <f t="shared" si="431"/>
        <v>14.052065004778626</v>
      </c>
      <c r="F1651" s="6">
        <f t="shared" si="427"/>
        <v>2.8901734104046242E-2</v>
      </c>
      <c r="G1651" s="12">
        <f t="shared" si="432"/>
        <v>-0.10006500477862623</v>
      </c>
    </row>
    <row r="1652" spans="1:7" x14ac:dyDescent="0.3">
      <c r="A1652" s="11" t="s">
        <v>1566</v>
      </c>
      <c r="B1652" s="7">
        <v>29680</v>
      </c>
      <c r="C1652" s="7">
        <v>13.942</v>
      </c>
      <c r="D1652" s="2">
        <f t="shared" si="430"/>
        <v>-9.9999999999997868E-3</v>
      </c>
      <c r="E1652" s="8">
        <f t="shared" si="431"/>
        <v>14.02316327067458</v>
      </c>
      <c r="F1652" s="6">
        <f t="shared" si="427"/>
        <v>2.8901734104046242E-2</v>
      </c>
      <c r="G1652" s="12">
        <f t="shared" si="432"/>
        <v>-8.1163270674579735E-2</v>
      </c>
    </row>
    <row r="1653" spans="1:7" x14ac:dyDescent="0.3">
      <c r="A1653" s="11" t="s">
        <v>1567</v>
      </c>
      <c r="B1653" s="7">
        <v>29700</v>
      </c>
      <c r="C1653" s="7">
        <v>13.909000000000001</v>
      </c>
      <c r="D1653" s="2">
        <f t="shared" si="430"/>
        <v>-3.2999999999999474E-2</v>
      </c>
      <c r="E1653" s="8">
        <f t="shared" si="431"/>
        <v>13.994261536570534</v>
      </c>
      <c r="F1653" s="6">
        <f t="shared" si="427"/>
        <v>2.8901734104046242E-2</v>
      </c>
      <c r="G1653" s="12">
        <f t="shared" si="432"/>
        <v>-8.5261536570532925E-2</v>
      </c>
    </row>
    <row r="1654" spans="1:7" x14ac:dyDescent="0.3">
      <c r="A1654" s="11" t="s">
        <v>1568</v>
      </c>
      <c r="B1654" s="7">
        <v>29720</v>
      </c>
      <c r="C1654" s="7">
        <v>13.879</v>
      </c>
      <c r="D1654" s="2">
        <f t="shared" si="430"/>
        <v>-3.0000000000001137E-2</v>
      </c>
      <c r="E1654" s="8">
        <f t="shared" si="431"/>
        <v>13.965359802466487</v>
      </c>
      <c r="F1654" s="6">
        <f t="shared" si="427"/>
        <v>2.8901734104046242E-2</v>
      </c>
      <c r="G1654" s="12">
        <f t="shared" si="432"/>
        <v>-8.6359802466487778E-2</v>
      </c>
    </row>
    <row r="1655" spans="1:7" x14ac:dyDescent="0.3">
      <c r="A1655" s="11" t="s">
        <v>1569</v>
      </c>
      <c r="B1655" s="7">
        <v>29740</v>
      </c>
      <c r="C1655" s="7">
        <v>13.842000000000001</v>
      </c>
      <c r="D1655" s="2">
        <f t="shared" si="430"/>
        <v>-3.6999999999999034E-2</v>
      </c>
      <c r="E1655" s="8">
        <f t="shared" si="431"/>
        <v>13.936458068362441</v>
      </c>
      <c r="F1655" s="6">
        <f t="shared" si="427"/>
        <v>2.8901734104046242E-2</v>
      </c>
      <c r="G1655" s="12">
        <f t="shared" si="432"/>
        <v>-9.4458068362440528E-2</v>
      </c>
    </row>
    <row r="1656" spans="1:7" x14ac:dyDescent="0.3">
      <c r="A1656" s="11" t="s">
        <v>1570</v>
      </c>
      <c r="B1656" s="7">
        <v>29760</v>
      </c>
      <c r="C1656" s="7">
        <v>13.811</v>
      </c>
      <c r="D1656" s="2">
        <f t="shared" si="430"/>
        <v>-3.1000000000000583E-2</v>
      </c>
      <c r="E1656" s="8">
        <f t="shared" si="431"/>
        <v>13.907556334258395</v>
      </c>
      <c r="F1656" s="6">
        <f t="shared" si="427"/>
        <v>2.8901734104046242E-2</v>
      </c>
      <c r="G1656" s="12">
        <f t="shared" si="432"/>
        <v>-9.6556334258394827E-2</v>
      </c>
    </row>
    <row r="1657" spans="1:7" x14ac:dyDescent="0.3">
      <c r="A1657" s="11" t="s">
        <v>1571</v>
      </c>
      <c r="B1657" s="7">
        <v>29780</v>
      </c>
      <c r="C1657" s="7">
        <v>13.791</v>
      </c>
      <c r="D1657" s="2">
        <f t="shared" si="430"/>
        <v>-1.9999999999999574E-2</v>
      </c>
      <c r="E1657" s="8">
        <f t="shared" ref="E1657:E1673" si="433">E1656-F1656</f>
        <v>13.878654600154348</v>
      </c>
      <c r="F1657" s="6">
        <f t="shared" si="427"/>
        <v>2.8901734104046242E-2</v>
      </c>
      <c r="G1657" s="12">
        <f t="shared" ref="G1657:G1673" si="434">C1657-E1657</f>
        <v>-8.7654600154348117E-2</v>
      </c>
    </row>
    <row r="1658" spans="1:7" x14ac:dyDescent="0.3">
      <c r="A1658" s="11" t="s">
        <v>1572</v>
      </c>
      <c r="B1658" s="7">
        <v>29800</v>
      </c>
      <c r="C1658" s="7">
        <v>13.760999999999999</v>
      </c>
      <c r="D1658" s="2">
        <f t="shared" si="430"/>
        <v>-3.0000000000001137E-2</v>
      </c>
      <c r="E1658" s="8">
        <f t="shared" si="433"/>
        <v>13.849752866050302</v>
      </c>
      <c r="F1658" s="6">
        <f t="shared" si="427"/>
        <v>2.8901734104046242E-2</v>
      </c>
      <c r="G1658" s="12">
        <f t="shared" si="434"/>
        <v>-8.875286605030297E-2</v>
      </c>
    </row>
    <row r="1659" spans="1:7" x14ac:dyDescent="0.3">
      <c r="A1659" s="11" t="s">
        <v>1573</v>
      </c>
      <c r="B1659" s="7">
        <v>29820</v>
      </c>
      <c r="C1659" s="7">
        <v>13.785</v>
      </c>
      <c r="D1659" s="2">
        <f t="shared" si="430"/>
        <v>2.4000000000000909E-2</v>
      </c>
      <c r="E1659" s="8">
        <f t="shared" si="433"/>
        <v>13.820851131946256</v>
      </c>
      <c r="F1659" s="6">
        <f t="shared" si="427"/>
        <v>2.8901734104046242E-2</v>
      </c>
      <c r="G1659" s="12">
        <f t="shared" si="434"/>
        <v>-3.5851131946255776E-2</v>
      </c>
    </row>
    <row r="1660" spans="1:7" x14ac:dyDescent="0.3">
      <c r="A1660" s="11" t="s">
        <v>1574</v>
      </c>
      <c r="B1660" s="7">
        <v>29840</v>
      </c>
      <c r="C1660" s="7">
        <v>13.759</v>
      </c>
      <c r="D1660" s="2">
        <f t="shared" si="430"/>
        <v>-2.5999999999999801E-2</v>
      </c>
      <c r="E1660" s="8">
        <f t="shared" si="433"/>
        <v>13.79194939784221</v>
      </c>
      <c r="F1660" s="6">
        <f t="shared" si="427"/>
        <v>2.8901734104046242E-2</v>
      </c>
      <c r="G1660" s="12">
        <f t="shared" si="434"/>
        <v>-3.2949397842209294E-2</v>
      </c>
    </row>
    <row r="1661" spans="1:7" x14ac:dyDescent="0.3">
      <c r="A1661" s="11" t="s">
        <v>1575</v>
      </c>
      <c r="B1661" s="7">
        <v>29860</v>
      </c>
      <c r="C1661" s="7">
        <v>13.746</v>
      </c>
      <c r="D1661" s="2">
        <f t="shared" si="430"/>
        <v>-1.2999999999999901E-2</v>
      </c>
      <c r="E1661" s="8">
        <f t="shared" si="433"/>
        <v>13.763047663738163</v>
      </c>
      <c r="F1661" s="6">
        <f t="shared" si="427"/>
        <v>2.8901734104046242E-2</v>
      </c>
      <c r="G1661" s="12">
        <f t="shared" si="434"/>
        <v>-1.704766373816291E-2</v>
      </c>
    </row>
    <row r="1662" spans="1:7" x14ac:dyDescent="0.3">
      <c r="A1662" s="11" t="s">
        <v>1576</v>
      </c>
      <c r="B1662" s="7">
        <v>29880</v>
      </c>
      <c r="C1662" s="7">
        <v>13.714</v>
      </c>
      <c r="D1662" s="2">
        <f t="shared" si="430"/>
        <v>-3.2000000000000028E-2</v>
      </c>
      <c r="E1662" s="8">
        <f t="shared" si="433"/>
        <v>13.734145929634117</v>
      </c>
      <c r="F1662" s="6">
        <f t="shared" si="427"/>
        <v>2.8901734104046242E-2</v>
      </c>
      <c r="G1662" s="12">
        <f t="shared" si="434"/>
        <v>-2.0145929634116655E-2</v>
      </c>
    </row>
    <row r="1663" spans="1:7" x14ac:dyDescent="0.3">
      <c r="A1663" s="11" t="s">
        <v>1577</v>
      </c>
      <c r="B1663" s="7">
        <v>29900</v>
      </c>
      <c r="C1663" s="7">
        <v>13.673999999999999</v>
      </c>
      <c r="D1663" s="2">
        <f t="shared" si="430"/>
        <v>-4.0000000000000924E-2</v>
      </c>
      <c r="E1663" s="8">
        <f t="shared" si="433"/>
        <v>13.705244195530071</v>
      </c>
      <c r="F1663" s="6">
        <f t="shared" si="427"/>
        <v>2.8901734104046242E-2</v>
      </c>
      <c r="G1663" s="12">
        <f t="shared" si="434"/>
        <v>-3.1244195530071295E-2</v>
      </c>
    </row>
    <row r="1664" spans="1:7" x14ac:dyDescent="0.3">
      <c r="A1664" s="11" t="s">
        <v>1578</v>
      </c>
      <c r="B1664" s="7">
        <v>29920</v>
      </c>
      <c r="C1664" s="7">
        <v>13.648999999999999</v>
      </c>
      <c r="D1664" s="2">
        <f t="shared" si="430"/>
        <v>-2.5000000000000355E-2</v>
      </c>
      <c r="E1664" s="8">
        <f t="shared" si="433"/>
        <v>13.676342461426024</v>
      </c>
      <c r="F1664" s="6">
        <f t="shared" si="427"/>
        <v>2.8901734104046242E-2</v>
      </c>
      <c r="G1664" s="12">
        <f t="shared" si="434"/>
        <v>-2.7342461426025366E-2</v>
      </c>
    </row>
    <row r="1665" spans="1:18" x14ac:dyDescent="0.3">
      <c r="A1665" s="11" t="s">
        <v>1579</v>
      </c>
      <c r="B1665" s="7">
        <v>29940</v>
      </c>
      <c r="C1665" s="7">
        <v>13.606</v>
      </c>
      <c r="D1665" s="2">
        <f t="shared" si="430"/>
        <v>-4.2999999999999261E-2</v>
      </c>
      <c r="E1665" s="8">
        <f t="shared" si="433"/>
        <v>13.647440727321978</v>
      </c>
      <c r="F1665" s="6">
        <f t="shared" si="427"/>
        <v>2.8901734104046242E-2</v>
      </c>
      <c r="G1665" s="12">
        <f t="shared" si="434"/>
        <v>-4.1440727321978343E-2</v>
      </c>
    </row>
    <row r="1666" spans="1:18" x14ac:dyDescent="0.3">
      <c r="A1666" s="11" t="s">
        <v>1580</v>
      </c>
      <c r="B1666" s="7">
        <v>29960</v>
      </c>
      <c r="C1666" s="7">
        <v>13.539</v>
      </c>
      <c r="D1666" s="2">
        <f t="shared" si="430"/>
        <v>-6.7000000000000171E-2</v>
      </c>
      <c r="E1666" s="8">
        <f t="shared" si="433"/>
        <v>13.618538993217932</v>
      </c>
      <c r="F1666" s="6">
        <f t="shared" si="427"/>
        <v>2.8901734104046242E-2</v>
      </c>
      <c r="G1666" s="12">
        <f t="shared" si="434"/>
        <v>-7.953899321793223E-2</v>
      </c>
    </row>
    <row r="1667" spans="1:18" x14ac:dyDescent="0.3">
      <c r="A1667" s="11" t="s">
        <v>1581</v>
      </c>
      <c r="B1667" s="7">
        <v>29980</v>
      </c>
      <c r="C1667" s="7">
        <v>13.532999999999999</v>
      </c>
      <c r="D1667" s="2">
        <f t="shared" si="430"/>
        <v>-6.0000000000002274E-3</v>
      </c>
      <c r="E1667" s="8">
        <f t="shared" si="433"/>
        <v>13.589637259113886</v>
      </c>
      <c r="F1667" s="6">
        <f t="shared" si="427"/>
        <v>2.8901734104046242E-2</v>
      </c>
      <c r="G1667" s="12">
        <f t="shared" si="434"/>
        <v>-5.6637259113886174E-2</v>
      </c>
    </row>
    <row r="1668" spans="1:18" x14ac:dyDescent="0.3">
      <c r="A1668" s="13" t="s">
        <v>1582</v>
      </c>
      <c r="B1668" s="24"/>
      <c r="C1668" s="25"/>
      <c r="D1668" s="25"/>
      <c r="E1668" s="25"/>
      <c r="F1668" s="25"/>
      <c r="G1668" s="26"/>
    </row>
    <row r="1669" spans="1:18" x14ac:dyDescent="0.3">
      <c r="A1669" s="11" t="s">
        <v>1583</v>
      </c>
      <c r="B1669" s="7">
        <v>30000</v>
      </c>
      <c r="C1669" s="7">
        <v>13.56</v>
      </c>
      <c r="D1669" s="2">
        <f>C1669-C1667</f>
        <v>2.7000000000001023E-2</v>
      </c>
      <c r="E1669" s="8">
        <f>E1667-F1667</f>
        <v>13.560735525009839</v>
      </c>
      <c r="F1669" s="6">
        <f>F1667</f>
        <v>2.8901734104046242E-2</v>
      </c>
      <c r="G1669" s="12">
        <f t="shared" si="434"/>
        <v>-7.3552500983886659E-4</v>
      </c>
    </row>
    <row r="1670" spans="1:18" x14ac:dyDescent="0.3">
      <c r="A1670" s="21"/>
      <c r="B1670" s="22"/>
      <c r="C1670" s="22"/>
      <c r="D1670" s="22"/>
      <c r="E1670" s="22"/>
      <c r="F1670" s="22"/>
      <c r="G1670" s="23"/>
      <c r="H1670" s="4" t="s">
        <v>3487</v>
      </c>
      <c r="J1670" s="4"/>
      <c r="O1670" s="3">
        <f>1/O1671</f>
        <v>8.2236842105263153E-4</v>
      </c>
      <c r="P1670" s="3">
        <f>O1670*20</f>
        <v>1.6447368421052631E-2</v>
      </c>
      <c r="Q1670" s="3" t="s">
        <v>3200</v>
      </c>
      <c r="R1670" s="3">
        <v>1216</v>
      </c>
    </row>
    <row r="1671" spans="1:18" x14ac:dyDescent="0.3">
      <c r="A1671" s="11" t="s">
        <v>1584</v>
      </c>
      <c r="B1671" s="7">
        <v>30020</v>
      </c>
      <c r="C1671" s="7">
        <v>13.553000000000001</v>
      </c>
      <c r="D1671" s="2">
        <f>C1671-C1669</f>
        <v>-6.9999999999996732E-3</v>
      </c>
      <c r="E1671" s="8">
        <f>E1669-F1671</f>
        <v>13.544288156588786</v>
      </c>
      <c r="F1671" s="6">
        <f>P1670</f>
        <v>1.6447368421052631E-2</v>
      </c>
      <c r="G1671" s="12">
        <f>C1671-E1671</f>
        <v>8.7118434112145593E-3</v>
      </c>
      <c r="H1671" s="3">
        <f>B1669</f>
        <v>30000</v>
      </c>
      <c r="I1671" s="3">
        <f>B1730</f>
        <v>31100</v>
      </c>
      <c r="J1671" s="3">
        <f>I1671-H1671</f>
        <v>1100</v>
      </c>
      <c r="K1671" s="5">
        <f>E1669</f>
        <v>13.560735525009839</v>
      </c>
      <c r="L1671" s="3">
        <f>C1730</f>
        <v>12.656000000000001</v>
      </c>
      <c r="M1671" s="5">
        <f>L1671-K1671</f>
        <v>-0.90473552500983878</v>
      </c>
      <c r="N1671" s="3">
        <f>J1671/M1671</f>
        <v>-1215.8249229663418</v>
      </c>
      <c r="O1671" s="3">
        <v>1216</v>
      </c>
    </row>
    <row r="1672" spans="1:18" x14ac:dyDescent="0.3">
      <c r="A1672" s="11" t="s">
        <v>1585</v>
      </c>
      <c r="B1672" s="7">
        <v>30040</v>
      </c>
      <c r="C1672" s="7">
        <v>13.526999999999999</v>
      </c>
      <c r="D1672" s="2">
        <f t="shared" si="430"/>
        <v>-2.6000000000001577E-2</v>
      </c>
      <c r="E1672" s="8">
        <f>E1671-F1671</f>
        <v>13.527840788167733</v>
      </c>
      <c r="F1672" s="6">
        <f t="shared" ref="F1672" si="435">F1671</f>
        <v>1.6447368421052631E-2</v>
      </c>
      <c r="G1672" s="12">
        <f t="shared" ref="G1672" si="436">C1672-E1672</f>
        <v>-8.4078816773391907E-4</v>
      </c>
    </row>
    <row r="1673" spans="1:18" x14ac:dyDescent="0.3">
      <c r="A1673" s="11" t="s">
        <v>1586</v>
      </c>
      <c r="B1673" s="7">
        <v>30060</v>
      </c>
      <c r="C1673" s="7">
        <v>13.456</v>
      </c>
      <c r="D1673" s="2">
        <f t="shared" si="430"/>
        <v>-7.099999999999973E-2</v>
      </c>
      <c r="E1673" s="8">
        <f t="shared" si="433"/>
        <v>13.51139341974668</v>
      </c>
      <c r="F1673" s="6">
        <f t="shared" si="427"/>
        <v>1.6447368421052631E-2</v>
      </c>
      <c r="G1673" s="12">
        <f t="shared" si="434"/>
        <v>-5.539341974668055E-2</v>
      </c>
    </row>
    <row r="1674" spans="1:18" x14ac:dyDescent="0.3">
      <c r="A1674" s="11" t="s">
        <v>1587</v>
      </c>
      <c r="B1674" s="7">
        <v>30080</v>
      </c>
      <c r="C1674" s="7">
        <v>13.478</v>
      </c>
      <c r="D1674" s="2">
        <f t="shared" si="430"/>
        <v>2.2000000000000242E-2</v>
      </c>
      <c r="E1674" s="8">
        <f t="shared" ref="E1674:E1682" si="437">E1673-F1673</f>
        <v>13.494946051325627</v>
      </c>
      <c r="F1674" s="6">
        <f t="shared" si="427"/>
        <v>1.6447368421052631E-2</v>
      </c>
      <c r="G1674" s="12">
        <f t="shared" ref="G1674:G1682" si="438">C1674-E1674</f>
        <v>-1.6946051325627209E-2</v>
      </c>
    </row>
    <row r="1675" spans="1:18" x14ac:dyDescent="0.3">
      <c r="A1675" s="11" t="s">
        <v>1588</v>
      </c>
      <c r="B1675" s="7">
        <v>30100</v>
      </c>
      <c r="C1675" s="7">
        <v>13.467000000000001</v>
      </c>
      <c r="D1675" s="2">
        <f t="shared" si="430"/>
        <v>-1.0999999999999233E-2</v>
      </c>
      <c r="E1675" s="8">
        <f t="shared" si="437"/>
        <v>13.478498682904574</v>
      </c>
      <c r="F1675" s="6">
        <f t="shared" si="427"/>
        <v>1.6447368421052631E-2</v>
      </c>
      <c r="G1675" s="12">
        <f t="shared" si="438"/>
        <v>-1.1498682904573343E-2</v>
      </c>
    </row>
    <row r="1676" spans="1:18" x14ac:dyDescent="0.3">
      <c r="A1676" s="11" t="s">
        <v>1589</v>
      </c>
      <c r="B1676" s="7">
        <v>30120</v>
      </c>
      <c r="C1676" s="7">
        <v>13.445</v>
      </c>
      <c r="D1676" s="2">
        <f t="shared" si="430"/>
        <v>-2.2000000000000242E-2</v>
      </c>
      <c r="E1676" s="8">
        <f t="shared" si="437"/>
        <v>13.462051314483521</v>
      </c>
      <c r="F1676" s="6">
        <f t="shared" si="427"/>
        <v>1.6447368421052631E-2</v>
      </c>
      <c r="G1676" s="12">
        <f t="shared" si="438"/>
        <v>-1.7051314483520486E-2</v>
      </c>
    </row>
    <row r="1677" spans="1:18" x14ac:dyDescent="0.3">
      <c r="A1677" s="11" t="s">
        <v>1590</v>
      </c>
      <c r="B1677" s="7">
        <v>30140</v>
      </c>
      <c r="C1677" s="7">
        <v>13.414999999999999</v>
      </c>
      <c r="D1677" s="2">
        <f t="shared" si="430"/>
        <v>-3.0000000000001137E-2</v>
      </c>
      <c r="E1677" s="8">
        <f t="shared" si="437"/>
        <v>13.445603946062468</v>
      </c>
      <c r="F1677" s="6">
        <f t="shared" si="427"/>
        <v>1.6447368421052631E-2</v>
      </c>
      <c r="G1677" s="12">
        <f t="shared" si="438"/>
        <v>-3.0603946062468523E-2</v>
      </c>
    </row>
    <row r="1678" spans="1:18" x14ac:dyDescent="0.3">
      <c r="A1678" s="11" t="s">
        <v>1591</v>
      </c>
      <c r="B1678" s="7">
        <v>30160</v>
      </c>
      <c r="C1678" s="7">
        <v>13.412000000000001</v>
      </c>
      <c r="D1678" s="2">
        <f t="shared" si="430"/>
        <v>-2.9999999999983373E-3</v>
      </c>
      <c r="E1678" s="8">
        <f t="shared" si="437"/>
        <v>13.429156577641415</v>
      </c>
      <c r="F1678" s="6">
        <f t="shared" si="427"/>
        <v>1.6447368421052631E-2</v>
      </c>
      <c r="G1678" s="12">
        <f t="shared" si="438"/>
        <v>-1.7156577641413762E-2</v>
      </c>
    </row>
    <row r="1679" spans="1:18" x14ac:dyDescent="0.3">
      <c r="A1679" s="11" t="s">
        <v>1592</v>
      </c>
      <c r="B1679" s="7">
        <v>30180</v>
      </c>
      <c r="C1679" s="7">
        <v>13.401</v>
      </c>
      <c r="D1679" s="2">
        <f t="shared" si="430"/>
        <v>-1.1000000000001009E-2</v>
      </c>
      <c r="E1679" s="8">
        <f t="shared" si="437"/>
        <v>13.412709209220361</v>
      </c>
      <c r="F1679" s="6">
        <f t="shared" si="427"/>
        <v>1.6447368421052631E-2</v>
      </c>
      <c r="G1679" s="12">
        <f t="shared" si="438"/>
        <v>-1.1709209220361672E-2</v>
      </c>
    </row>
    <row r="1680" spans="1:18" x14ac:dyDescent="0.3">
      <c r="A1680" s="11" t="s">
        <v>1593</v>
      </c>
      <c r="B1680" s="7">
        <v>30200</v>
      </c>
      <c r="C1680" s="7">
        <v>13.391</v>
      </c>
      <c r="D1680" s="2">
        <f t="shared" si="430"/>
        <v>-9.9999999999997868E-3</v>
      </c>
      <c r="E1680" s="8">
        <f t="shared" si="437"/>
        <v>13.396261840799308</v>
      </c>
      <c r="F1680" s="6">
        <f t="shared" si="427"/>
        <v>1.6447368421052631E-2</v>
      </c>
      <c r="G1680" s="12">
        <f t="shared" si="438"/>
        <v>-5.2618407993083594E-3</v>
      </c>
    </row>
    <row r="1681" spans="1:7" x14ac:dyDescent="0.3">
      <c r="A1681" s="11" t="s">
        <v>1594</v>
      </c>
      <c r="B1681" s="7">
        <v>30220</v>
      </c>
      <c r="C1681" s="7">
        <v>13.388999999999999</v>
      </c>
      <c r="D1681" s="2">
        <f t="shared" si="430"/>
        <v>-2.0000000000006679E-3</v>
      </c>
      <c r="E1681" s="8">
        <f t="shared" si="437"/>
        <v>13.379814472378255</v>
      </c>
      <c r="F1681" s="6">
        <f t="shared" si="427"/>
        <v>1.6447368421052631E-2</v>
      </c>
      <c r="G1681" s="12">
        <f t="shared" si="438"/>
        <v>9.1855276217440718E-3</v>
      </c>
    </row>
    <row r="1682" spans="1:7" x14ac:dyDescent="0.3">
      <c r="A1682" s="11" t="s">
        <v>1595</v>
      </c>
      <c r="B1682" s="7">
        <v>30240</v>
      </c>
      <c r="C1682" s="7">
        <v>13.378</v>
      </c>
      <c r="D1682" s="2">
        <f t="shared" si="430"/>
        <v>-1.0999999999999233E-2</v>
      </c>
      <c r="E1682" s="8">
        <f t="shared" si="437"/>
        <v>13.363367103957202</v>
      </c>
      <c r="F1682" s="6">
        <f t="shared" si="427"/>
        <v>1.6447368421052631E-2</v>
      </c>
      <c r="G1682" s="12">
        <f t="shared" si="438"/>
        <v>1.4632896042797938E-2</v>
      </c>
    </row>
    <row r="1683" spans="1:7" x14ac:dyDescent="0.3">
      <c r="A1683" s="11" t="s">
        <v>1596</v>
      </c>
      <c r="B1683" s="7">
        <v>30260</v>
      </c>
      <c r="C1683" s="7">
        <v>13.374000000000001</v>
      </c>
      <c r="D1683" s="2">
        <f t="shared" si="430"/>
        <v>-3.9999999999995595E-3</v>
      </c>
      <c r="E1683" s="8">
        <f t="shared" ref="E1683:E1698" si="439">E1682-F1682</f>
        <v>13.346919735536149</v>
      </c>
      <c r="F1683" s="6">
        <f t="shared" si="427"/>
        <v>1.6447368421052631E-2</v>
      </c>
      <c r="G1683" s="12">
        <f t="shared" ref="G1683:G1701" si="440">C1683-E1683</f>
        <v>2.7080264463851478E-2</v>
      </c>
    </row>
    <row r="1684" spans="1:7" x14ac:dyDescent="0.3">
      <c r="A1684" s="11" t="s">
        <v>1597</v>
      </c>
      <c r="B1684" s="7">
        <v>30280</v>
      </c>
      <c r="C1684" s="7">
        <v>13.38</v>
      </c>
      <c r="D1684" s="2">
        <f t="shared" si="430"/>
        <v>6.0000000000002274E-3</v>
      </c>
      <c r="E1684" s="8">
        <f t="shared" si="439"/>
        <v>13.330472367115096</v>
      </c>
      <c r="F1684" s="6">
        <f t="shared" si="427"/>
        <v>1.6447368421052631E-2</v>
      </c>
      <c r="G1684" s="12">
        <f t="shared" si="440"/>
        <v>4.9527632884904804E-2</v>
      </c>
    </row>
    <row r="1685" spans="1:7" x14ac:dyDescent="0.3">
      <c r="A1685" s="11" t="s">
        <v>1598</v>
      </c>
      <c r="B1685" s="7">
        <v>30300</v>
      </c>
      <c r="C1685" s="7">
        <v>13.358000000000001</v>
      </c>
      <c r="D1685" s="2">
        <f t="shared" si="430"/>
        <v>-2.2000000000000242E-2</v>
      </c>
      <c r="E1685" s="8">
        <f t="shared" si="439"/>
        <v>13.314024998694043</v>
      </c>
      <c r="F1685" s="6">
        <f t="shared" si="427"/>
        <v>1.6447368421052631E-2</v>
      </c>
      <c r="G1685" s="12">
        <f t="shared" si="440"/>
        <v>4.3975001305957662E-2</v>
      </c>
    </row>
    <row r="1686" spans="1:7" x14ac:dyDescent="0.3">
      <c r="A1686" s="11" t="s">
        <v>1599</v>
      </c>
      <c r="B1686" s="7">
        <v>30320</v>
      </c>
      <c r="C1686" s="7">
        <v>13.364000000000001</v>
      </c>
      <c r="D1686" s="2">
        <f t="shared" si="430"/>
        <v>6.0000000000002274E-3</v>
      </c>
      <c r="E1686" s="8">
        <f t="shared" si="439"/>
        <v>13.29757763027299</v>
      </c>
      <c r="F1686" s="6">
        <f t="shared" si="427"/>
        <v>1.6447368421052631E-2</v>
      </c>
      <c r="G1686" s="12">
        <f t="shared" si="440"/>
        <v>6.6422369727010988E-2</v>
      </c>
    </row>
    <row r="1687" spans="1:7" x14ac:dyDescent="0.3">
      <c r="A1687" s="11" t="s">
        <v>1600</v>
      </c>
      <c r="B1687" s="7">
        <v>30340</v>
      </c>
      <c r="C1687" s="7">
        <v>13.358000000000001</v>
      </c>
      <c r="D1687" s="2">
        <f t="shared" si="430"/>
        <v>-6.0000000000002274E-3</v>
      </c>
      <c r="E1687" s="8">
        <f t="shared" si="439"/>
        <v>13.281130261851937</v>
      </c>
      <c r="F1687" s="6">
        <f t="shared" si="427"/>
        <v>1.6447368421052631E-2</v>
      </c>
      <c r="G1687" s="12">
        <f t="shared" si="440"/>
        <v>7.686973814806386E-2</v>
      </c>
    </row>
    <row r="1688" spans="1:7" x14ac:dyDescent="0.3">
      <c r="A1688" s="11" t="s">
        <v>1601</v>
      </c>
      <c r="B1688" s="7">
        <v>30360</v>
      </c>
      <c r="C1688" s="7">
        <v>13.324999999999999</v>
      </c>
      <c r="D1688" s="2">
        <f t="shared" si="430"/>
        <v>-3.3000000000001251E-2</v>
      </c>
      <c r="E1688" s="8">
        <f t="shared" si="439"/>
        <v>13.264682893430884</v>
      </c>
      <c r="F1688" s="6">
        <f t="shared" si="427"/>
        <v>1.6447368421052631E-2</v>
      </c>
      <c r="G1688" s="12">
        <f t="shared" si="440"/>
        <v>6.0317106569115708E-2</v>
      </c>
    </row>
    <row r="1689" spans="1:7" x14ac:dyDescent="0.3">
      <c r="A1689" s="11" t="s">
        <v>1602</v>
      </c>
      <c r="B1689" s="7">
        <v>30380</v>
      </c>
      <c r="C1689" s="7">
        <v>13.304</v>
      </c>
      <c r="D1689" s="2">
        <f t="shared" si="430"/>
        <v>-2.0999999999999019E-2</v>
      </c>
      <c r="E1689" s="8">
        <f t="shared" si="439"/>
        <v>13.24823552500983</v>
      </c>
      <c r="F1689" s="6">
        <f t="shared" si="427"/>
        <v>1.6447368421052631E-2</v>
      </c>
      <c r="G1689" s="12">
        <f t="shared" si="440"/>
        <v>5.5764474990169788E-2</v>
      </c>
    </row>
    <row r="1690" spans="1:7" x14ac:dyDescent="0.3">
      <c r="A1690" s="11" t="s">
        <v>1603</v>
      </c>
      <c r="B1690" s="7">
        <v>30400</v>
      </c>
      <c r="C1690" s="7">
        <v>13.292</v>
      </c>
      <c r="D1690" s="2">
        <f t="shared" si="430"/>
        <v>-1.2000000000000455E-2</v>
      </c>
      <c r="E1690" s="8">
        <f t="shared" si="439"/>
        <v>13.231788156588777</v>
      </c>
      <c r="F1690" s="6">
        <f t="shared" si="427"/>
        <v>1.6447368421052631E-2</v>
      </c>
      <c r="G1690" s="12">
        <f t="shared" si="440"/>
        <v>6.0211843411222432E-2</v>
      </c>
    </row>
    <row r="1691" spans="1:7" x14ac:dyDescent="0.3">
      <c r="A1691" s="11" t="s">
        <v>1604</v>
      </c>
      <c r="B1691" s="7">
        <v>30420</v>
      </c>
      <c r="C1691" s="7">
        <v>13.289</v>
      </c>
      <c r="D1691" s="2">
        <f t="shared" si="430"/>
        <v>-3.0000000000001137E-3</v>
      </c>
      <c r="E1691" s="8">
        <f t="shared" si="439"/>
        <v>13.215340788167724</v>
      </c>
      <c r="F1691" s="6">
        <f t="shared" si="427"/>
        <v>1.6447368421052631E-2</v>
      </c>
      <c r="G1691" s="12">
        <f t="shared" si="440"/>
        <v>7.3659211832275417E-2</v>
      </c>
    </row>
    <row r="1692" spans="1:7" x14ac:dyDescent="0.3">
      <c r="A1692" s="11" t="s">
        <v>1605</v>
      </c>
      <c r="B1692" s="7">
        <v>30440</v>
      </c>
      <c r="C1692" s="7">
        <v>13.29</v>
      </c>
      <c r="D1692" s="2">
        <f t="shared" si="430"/>
        <v>9.9999999999944578E-4</v>
      </c>
      <c r="E1692" s="8">
        <f t="shared" si="439"/>
        <v>13.198893419746671</v>
      </c>
      <c r="F1692" s="6">
        <f t="shared" si="427"/>
        <v>1.6447368421052631E-2</v>
      </c>
      <c r="G1692" s="12">
        <f t="shared" si="440"/>
        <v>9.1106580253327962E-2</v>
      </c>
    </row>
    <row r="1693" spans="1:7" x14ac:dyDescent="0.3">
      <c r="A1693" s="11" t="s">
        <v>1606</v>
      </c>
      <c r="B1693" s="7">
        <v>30460</v>
      </c>
      <c r="C1693" s="7">
        <v>13.273999999999999</v>
      </c>
      <c r="D1693" s="2">
        <f t="shared" si="430"/>
        <v>-1.6000000000000014E-2</v>
      </c>
      <c r="E1693" s="8">
        <f t="shared" si="439"/>
        <v>13.182446051325618</v>
      </c>
      <c r="F1693" s="6">
        <f t="shared" si="427"/>
        <v>1.6447368421052631E-2</v>
      </c>
      <c r="G1693" s="12">
        <f t="shared" si="440"/>
        <v>9.1553948674381047E-2</v>
      </c>
    </row>
    <row r="1694" spans="1:7" x14ac:dyDescent="0.3">
      <c r="A1694" s="11" t="s">
        <v>1607</v>
      </c>
      <c r="B1694" s="7">
        <v>30480</v>
      </c>
      <c r="C1694" s="7">
        <v>13.227</v>
      </c>
      <c r="D1694" s="2">
        <f t="shared" si="430"/>
        <v>-4.699999999999882E-2</v>
      </c>
      <c r="E1694" s="8">
        <f t="shared" si="439"/>
        <v>13.165998682904565</v>
      </c>
      <c r="F1694" s="6">
        <f t="shared" ref="F1694:F1760" si="441">F1693</f>
        <v>1.6447368421052631E-2</v>
      </c>
      <c r="G1694" s="12">
        <f t="shared" si="440"/>
        <v>6.1001317095435326E-2</v>
      </c>
    </row>
    <row r="1695" spans="1:7" x14ac:dyDescent="0.3">
      <c r="A1695" s="11" t="s">
        <v>1608</v>
      </c>
      <c r="B1695" s="7">
        <v>30500</v>
      </c>
      <c r="C1695" s="7">
        <v>13.196999999999999</v>
      </c>
      <c r="D1695" s="2">
        <f t="shared" si="430"/>
        <v>-3.0000000000001137E-2</v>
      </c>
      <c r="E1695" s="8">
        <f t="shared" si="439"/>
        <v>13.149551314483512</v>
      </c>
      <c r="F1695" s="6">
        <f t="shared" si="441"/>
        <v>1.6447368421052631E-2</v>
      </c>
      <c r="G1695" s="12">
        <f t="shared" si="440"/>
        <v>4.7448685516487288E-2</v>
      </c>
    </row>
    <row r="1696" spans="1:7" x14ac:dyDescent="0.3">
      <c r="A1696" s="11" t="s">
        <v>1609</v>
      </c>
      <c r="B1696" s="7">
        <v>30520</v>
      </c>
      <c r="C1696" s="7">
        <v>13.204000000000001</v>
      </c>
      <c r="D1696" s="2">
        <f t="shared" si="430"/>
        <v>7.0000000000014495E-3</v>
      </c>
      <c r="E1696" s="8">
        <f t="shared" si="439"/>
        <v>13.133103946062459</v>
      </c>
      <c r="F1696" s="6">
        <f t="shared" si="441"/>
        <v>1.6447368421052631E-2</v>
      </c>
      <c r="G1696" s="12">
        <f t="shared" si="440"/>
        <v>7.0896053937541836E-2</v>
      </c>
    </row>
    <row r="1697" spans="1:13" x14ac:dyDescent="0.3">
      <c r="A1697" s="11" t="s">
        <v>1610</v>
      </c>
      <c r="B1697" s="7">
        <v>30540</v>
      </c>
      <c r="C1697" s="7">
        <v>13.186</v>
      </c>
      <c r="D1697" s="2">
        <f t="shared" si="430"/>
        <v>-1.8000000000000682E-2</v>
      </c>
      <c r="E1697" s="8">
        <f t="shared" si="439"/>
        <v>13.116656577641406</v>
      </c>
      <c r="F1697" s="6">
        <f t="shared" si="441"/>
        <v>1.6447368421052631E-2</v>
      </c>
      <c r="G1697" s="12">
        <f t="shared" si="440"/>
        <v>6.9343422358594253E-2</v>
      </c>
    </row>
    <row r="1698" spans="1:13" x14ac:dyDescent="0.3">
      <c r="A1698" s="11" t="s">
        <v>1611</v>
      </c>
      <c r="B1698" s="7">
        <v>30560</v>
      </c>
      <c r="C1698" s="7">
        <v>13.170999999999999</v>
      </c>
      <c r="D1698" s="2">
        <f>C1698-C1697</f>
        <v>-1.5000000000000568E-2</v>
      </c>
      <c r="E1698" s="8">
        <f t="shared" si="439"/>
        <v>13.100209209220353</v>
      </c>
      <c r="F1698" s="6">
        <f>F1697</f>
        <v>1.6447368421052631E-2</v>
      </c>
      <c r="G1698" s="12">
        <f t="shared" si="440"/>
        <v>7.0790790779646784E-2</v>
      </c>
      <c r="K1698" s="5"/>
      <c r="M1698" s="5"/>
    </row>
    <row r="1699" spans="1:13" x14ac:dyDescent="0.3">
      <c r="A1699" s="11" t="s">
        <v>3424</v>
      </c>
      <c r="B1699" s="70" t="s">
        <v>3425</v>
      </c>
      <c r="C1699" s="7"/>
      <c r="D1699" s="2"/>
      <c r="E1699" s="8"/>
      <c r="F1699" s="6"/>
      <c r="G1699" s="12"/>
      <c r="K1699" s="5"/>
      <c r="M1699" s="5"/>
    </row>
    <row r="1700" spans="1:13" x14ac:dyDescent="0.3">
      <c r="A1700" s="11" t="s">
        <v>1612</v>
      </c>
      <c r="B1700" s="7">
        <v>30580</v>
      </c>
      <c r="C1700" s="7">
        <v>13.144</v>
      </c>
      <c r="D1700" s="2">
        <f>C1700-C1698</f>
        <v>-2.6999999999999247E-2</v>
      </c>
      <c r="E1700" s="8">
        <f>E1698-F1700</f>
        <v>13.083761840799299</v>
      </c>
      <c r="F1700" s="6">
        <f>F1698</f>
        <v>1.6447368421052631E-2</v>
      </c>
      <c r="G1700" s="12">
        <f t="shared" si="440"/>
        <v>6.0238159200700636E-2</v>
      </c>
    </row>
    <row r="1701" spans="1:13" x14ac:dyDescent="0.3">
      <c r="A1701" s="11" t="s">
        <v>1613</v>
      </c>
      <c r="B1701" s="7">
        <v>30600</v>
      </c>
      <c r="C1701" s="7">
        <v>13.134</v>
      </c>
      <c r="D1701" s="2">
        <f t="shared" si="430"/>
        <v>-9.9999999999997868E-3</v>
      </c>
      <c r="E1701" s="8">
        <f t="shared" ref="E1701:E1720" si="442">E1700-F1701</f>
        <v>13.067314472378246</v>
      </c>
      <c r="F1701" s="6">
        <f t="shared" si="441"/>
        <v>1.6447368421052631E-2</v>
      </c>
      <c r="G1701" s="12">
        <f t="shared" si="440"/>
        <v>6.6685527621753948E-2</v>
      </c>
    </row>
    <row r="1702" spans="1:13" x14ac:dyDescent="0.3">
      <c r="A1702" s="11" t="s">
        <v>1614</v>
      </c>
      <c r="B1702" s="7">
        <v>30620</v>
      </c>
      <c r="C1702" s="7">
        <v>13.188000000000001</v>
      </c>
      <c r="D1702" s="2">
        <f t="shared" si="430"/>
        <v>5.400000000000027E-2</v>
      </c>
      <c r="E1702" s="8">
        <f t="shared" si="442"/>
        <v>13.050867103957193</v>
      </c>
      <c r="F1702" s="6">
        <f t="shared" si="441"/>
        <v>1.6447368421052631E-2</v>
      </c>
      <c r="G1702" s="12">
        <f t="shared" ref="G1702:G1724" si="443">C1702-E1702</f>
        <v>0.13713289604280732</v>
      </c>
    </row>
    <row r="1703" spans="1:13" x14ac:dyDescent="0.3">
      <c r="A1703" s="11" t="s">
        <v>1615</v>
      </c>
      <c r="B1703" s="7">
        <v>30640</v>
      </c>
      <c r="C1703" s="7">
        <v>13.111000000000001</v>
      </c>
      <c r="D1703" s="2">
        <f t="shared" si="430"/>
        <v>-7.6999999999999957E-2</v>
      </c>
      <c r="E1703" s="8">
        <f t="shared" si="442"/>
        <v>13.03441973553614</v>
      </c>
      <c r="F1703" s="6">
        <f t="shared" si="441"/>
        <v>1.6447368421052631E-2</v>
      </c>
      <c r="G1703" s="12">
        <f t="shared" si="443"/>
        <v>7.6580264463860459E-2</v>
      </c>
    </row>
    <row r="1704" spans="1:13" x14ac:dyDescent="0.3">
      <c r="A1704" s="11" t="s">
        <v>1616</v>
      </c>
      <c r="B1704" s="7">
        <v>30660</v>
      </c>
      <c r="C1704" s="7">
        <v>13.03</v>
      </c>
      <c r="D1704" s="2">
        <f t="shared" si="430"/>
        <v>-8.1000000000001293E-2</v>
      </c>
      <c r="E1704" s="8">
        <f t="shared" si="442"/>
        <v>13.017972367115087</v>
      </c>
      <c r="F1704" s="6">
        <f t="shared" si="441"/>
        <v>1.6447368421052631E-2</v>
      </c>
      <c r="G1704" s="12">
        <f t="shared" si="443"/>
        <v>1.2027632884912265E-2</v>
      </c>
    </row>
    <row r="1705" spans="1:13" x14ac:dyDescent="0.3">
      <c r="A1705" s="11" t="s">
        <v>3426</v>
      </c>
      <c r="B1705" s="70" t="s">
        <v>3427</v>
      </c>
      <c r="C1705" s="7"/>
      <c r="D1705" s="2"/>
      <c r="E1705" s="8"/>
      <c r="F1705" s="6"/>
      <c r="G1705" s="12"/>
    </row>
    <row r="1706" spans="1:13" x14ac:dyDescent="0.3">
      <c r="A1706" s="11" t="s">
        <v>1617</v>
      </c>
      <c r="B1706" s="7">
        <v>30680</v>
      </c>
      <c r="C1706" s="7">
        <v>12.986000000000001</v>
      </c>
      <c r="D1706" s="2">
        <f>C1706-C1704</f>
        <v>-4.3999999999998707E-2</v>
      </c>
      <c r="E1706" s="8">
        <f>E1704-F1706</f>
        <v>13.001524998694034</v>
      </c>
      <c r="F1706" s="6">
        <f>F1704</f>
        <v>1.6447368421052631E-2</v>
      </c>
      <c r="G1706" s="12">
        <f t="shared" si="443"/>
        <v>-1.5524998694033343E-2</v>
      </c>
    </row>
    <row r="1707" spans="1:13" x14ac:dyDescent="0.3">
      <c r="A1707" s="11" t="s">
        <v>1618</v>
      </c>
      <c r="B1707" s="7">
        <v>30700</v>
      </c>
      <c r="C1707" s="7">
        <v>12.962</v>
      </c>
      <c r="D1707" s="2">
        <f t="shared" si="430"/>
        <v>-2.4000000000000909E-2</v>
      </c>
      <c r="E1707" s="8">
        <f t="shared" si="442"/>
        <v>12.985077630272981</v>
      </c>
      <c r="F1707" s="6">
        <f t="shared" si="441"/>
        <v>1.6447368421052631E-2</v>
      </c>
      <c r="G1707" s="12">
        <f t="shared" si="443"/>
        <v>-2.3077630272981153E-2</v>
      </c>
    </row>
    <row r="1708" spans="1:13" x14ac:dyDescent="0.3">
      <c r="A1708" s="11" t="s">
        <v>1619</v>
      </c>
      <c r="B1708" s="7">
        <v>30720</v>
      </c>
      <c r="C1708" s="7">
        <v>13.004</v>
      </c>
      <c r="D1708" s="2">
        <f t="shared" si="430"/>
        <v>4.1999999999999815E-2</v>
      </c>
      <c r="E1708" s="8">
        <f t="shared" si="442"/>
        <v>12.968630261851928</v>
      </c>
      <c r="F1708" s="6">
        <f t="shared" si="441"/>
        <v>1.6447368421052631E-2</v>
      </c>
      <c r="G1708" s="12">
        <f t="shared" si="443"/>
        <v>3.5369738148071761E-2</v>
      </c>
    </row>
    <row r="1709" spans="1:13" x14ac:dyDescent="0.3">
      <c r="A1709" s="11" t="s">
        <v>1620</v>
      </c>
      <c r="B1709" s="7">
        <v>30740</v>
      </c>
      <c r="C1709" s="7">
        <v>13.028</v>
      </c>
      <c r="D1709" s="2">
        <f>C1709-C1708</f>
        <v>2.4000000000000909E-2</v>
      </c>
      <c r="E1709" s="8">
        <f t="shared" si="442"/>
        <v>12.952182893430875</v>
      </c>
      <c r="F1709" s="6">
        <f>F1708</f>
        <v>1.6447368421052631E-2</v>
      </c>
      <c r="G1709" s="12">
        <f>C1709-E1709</f>
        <v>7.581710656912577E-2</v>
      </c>
    </row>
    <row r="1710" spans="1:13" x14ac:dyDescent="0.3">
      <c r="A1710" s="11" t="s">
        <v>1621</v>
      </c>
      <c r="B1710" s="7">
        <v>30760</v>
      </c>
      <c r="C1710" s="7">
        <v>13.086</v>
      </c>
      <c r="D1710" s="2">
        <f t="shared" ref="D1710:D1779" si="444">C1710-C1709</f>
        <v>5.7999999999999829E-2</v>
      </c>
      <c r="E1710" s="8">
        <f t="shared" si="442"/>
        <v>12.935735525009822</v>
      </c>
      <c r="F1710" s="6">
        <f t="shared" ref="F1710" si="445">F1709</f>
        <v>1.6447368421052631E-2</v>
      </c>
      <c r="G1710" s="12">
        <f t="shared" ref="G1710" si="446">C1710-E1710</f>
        <v>0.1502644749901787</v>
      </c>
    </row>
    <row r="1711" spans="1:13" x14ac:dyDescent="0.3">
      <c r="A1711" s="11" t="s">
        <v>1622</v>
      </c>
      <c r="B1711" s="7">
        <v>30780</v>
      </c>
      <c r="C1711" s="7">
        <v>13.135999999999999</v>
      </c>
      <c r="D1711" s="2">
        <f t="shared" si="444"/>
        <v>4.9999999999998934E-2</v>
      </c>
      <c r="E1711" s="8">
        <f t="shared" si="442"/>
        <v>12.919288156588769</v>
      </c>
      <c r="F1711" s="6">
        <f t="shared" si="441"/>
        <v>1.6447368421052631E-2</v>
      </c>
      <c r="G1711" s="12">
        <f t="shared" si="443"/>
        <v>0.21671184341123073</v>
      </c>
    </row>
    <row r="1712" spans="1:13" x14ac:dyDescent="0.3">
      <c r="A1712" s="11" t="s">
        <v>1623</v>
      </c>
      <c r="B1712" s="7">
        <v>30800</v>
      </c>
      <c r="C1712" s="7">
        <v>13.185</v>
      </c>
      <c r="D1712" s="2">
        <f t="shared" si="444"/>
        <v>4.9000000000001265E-2</v>
      </c>
      <c r="E1712" s="8">
        <f t="shared" si="442"/>
        <v>12.902840788167715</v>
      </c>
      <c r="F1712" s="6">
        <f t="shared" si="441"/>
        <v>1.6447368421052631E-2</v>
      </c>
      <c r="G1712" s="12">
        <f t="shared" si="443"/>
        <v>0.2821592118322851</v>
      </c>
    </row>
    <row r="1713" spans="1:13" x14ac:dyDescent="0.3">
      <c r="A1713" s="11" t="s">
        <v>1624</v>
      </c>
      <c r="B1713" s="7">
        <v>30820</v>
      </c>
      <c r="C1713" s="7">
        <v>13.164999999999999</v>
      </c>
      <c r="D1713" s="2">
        <f t="shared" si="444"/>
        <v>-2.000000000000135E-2</v>
      </c>
      <c r="E1713" s="8">
        <f t="shared" si="442"/>
        <v>12.886393419746662</v>
      </c>
      <c r="F1713" s="6">
        <f t="shared" si="441"/>
        <v>1.6447368421052631E-2</v>
      </c>
      <c r="G1713" s="12">
        <f t="shared" si="443"/>
        <v>0.27860658025333684</v>
      </c>
    </row>
    <row r="1714" spans="1:13" x14ac:dyDescent="0.3">
      <c r="A1714" s="11" t="s">
        <v>1625</v>
      </c>
      <c r="B1714" s="7">
        <v>30840</v>
      </c>
      <c r="C1714" s="7">
        <v>13.069000000000001</v>
      </c>
      <c r="D1714" s="2">
        <f>C1714-C1713</f>
        <v>-9.5999999999998309E-2</v>
      </c>
      <c r="E1714" s="8">
        <f t="shared" si="442"/>
        <v>12.869946051325609</v>
      </c>
      <c r="F1714" s="6">
        <f>F1713</f>
        <v>1.6447368421052631E-2</v>
      </c>
      <c r="G1714" s="12">
        <f>C1714-E1714</f>
        <v>0.19905394867439163</v>
      </c>
      <c r="K1714" s="5"/>
      <c r="M1714" s="5"/>
    </row>
    <row r="1715" spans="1:13" x14ac:dyDescent="0.3">
      <c r="A1715" s="11" t="s">
        <v>1626</v>
      </c>
      <c r="B1715" s="7">
        <v>30860</v>
      </c>
      <c r="C1715" s="7">
        <v>12.981999999999999</v>
      </c>
      <c r="D1715" s="2">
        <f t="shared" si="444"/>
        <v>-8.7000000000001521E-2</v>
      </c>
      <c r="E1715" s="8">
        <f t="shared" si="442"/>
        <v>12.853498682904556</v>
      </c>
      <c r="F1715" s="6">
        <f t="shared" ref="F1715" si="447">F1714</f>
        <v>1.6447368421052631E-2</v>
      </c>
      <c r="G1715" s="12">
        <f t="shared" ref="G1715" si="448">C1715-E1715</f>
        <v>0.12850131709544321</v>
      </c>
    </row>
    <row r="1716" spans="1:13" x14ac:dyDescent="0.3">
      <c r="A1716" s="11" t="s">
        <v>1627</v>
      </c>
      <c r="B1716" s="7">
        <v>30880</v>
      </c>
      <c r="C1716" s="7">
        <v>12.923</v>
      </c>
      <c r="D1716" s="2">
        <f t="shared" si="444"/>
        <v>-5.8999999999999275E-2</v>
      </c>
      <c r="E1716" s="8">
        <f t="shared" si="442"/>
        <v>12.837051314483503</v>
      </c>
      <c r="F1716" s="6">
        <f t="shared" si="441"/>
        <v>1.6447368421052631E-2</v>
      </c>
      <c r="G1716" s="12">
        <f t="shared" si="443"/>
        <v>8.5948685516497036E-2</v>
      </c>
    </row>
    <row r="1717" spans="1:13" x14ac:dyDescent="0.3">
      <c r="A1717" s="11" t="s">
        <v>1628</v>
      </c>
      <c r="B1717" s="7">
        <v>30900</v>
      </c>
      <c r="C1717" s="7">
        <v>12.871</v>
      </c>
      <c r="D1717" s="2">
        <f t="shared" si="444"/>
        <v>-5.1999999999999602E-2</v>
      </c>
      <c r="E1717" s="8">
        <f t="shared" si="442"/>
        <v>12.82060394606245</v>
      </c>
      <c r="F1717" s="6">
        <f t="shared" si="441"/>
        <v>1.6447368421052631E-2</v>
      </c>
      <c r="G1717" s="12">
        <f t="shared" si="443"/>
        <v>5.0396053937550533E-2</v>
      </c>
    </row>
    <row r="1718" spans="1:13" x14ac:dyDescent="0.3">
      <c r="A1718" s="11" t="s">
        <v>1629</v>
      </c>
      <c r="B1718" s="7">
        <v>30920</v>
      </c>
      <c r="C1718" s="7">
        <v>12.79</v>
      </c>
      <c r="D1718" s="2">
        <f t="shared" si="444"/>
        <v>-8.1000000000001293E-2</v>
      </c>
      <c r="E1718" s="8">
        <f t="shared" si="442"/>
        <v>12.804156577641397</v>
      </c>
      <c r="F1718" s="6">
        <f t="shared" si="441"/>
        <v>1.6447368421052631E-2</v>
      </c>
      <c r="G1718" s="12">
        <f t="shared" si="443"/>
        <v>-1.4156577641397661E-2</v>
      </c>
    </row>
    <row r="1719" spans="1:13" x14ac:dyDescent="0.3">
      <c r="A1719" s="11" t="s">
        <v>1630</v>
      </c>
      <c r="B1719" s="7">
        <v>30940</v>
      </c>
      <c r="C1719" s="7">
        <v>12.704000000000001</v>
      </c>
      <c r="D1719" s="2">
        <f t="shared" si="444"/>
        <v>-8.5999999999998522E-2</v>
      </c>
      <c r="E1719" s="8">
        <f t="shared" si="442"/>
        <v>12.787709209220344</v>
      </c>
      <c r="F1719" s="6">
        <f t="shared" si="441"/>
        <v>1.6447368421052631E-2</v>
      </c>
      <c r="G1719" s="12">
        <f t="shared" si="443"/>
        <v>-8.3709209220343084E-2</v>
      </c>
    </row>
    <row r="1720" spans="1:13" x14ac:dyDescent="0.3">
      <c r="A1720" s="11" t="s">
        <v>1631</v>
      </c>
      <c r="B1720" s="7">
        <v>30960</v>
      </c>
      <c r="C1720" s="7">
        <v>12.673</v>
      </c>
      <c r="D1720" s="2">
        <f t="shared" si="444"/>
        <v>-3.1000000000000583E-2</v>
      </c>
      <c r="E1720" s="8">
        <f t="shared" si="442"/>
        <v>12.771261840799291</v>
      </c>
      <c r="F1720" s="6">
        <f t="shared" si="441"/>
        <v>1.6447368421052631E-2</v>
      </c>
      <c r="G1720" s="12">
        <f t="shared" si="443"/>
        <v>-9.8261840799290567E-2</v>
      </c>
    </row>
    <row r="1721" spans="1:13" x14ac:dyDescent="0.3">
      <c r="A1721" s="13" t="s">
        <v>1632</v>
      </c>
      <c r="B1721" s="24"/>
      <c r="C1721" s="25"/>
      <c r="D1721" s="25"/>
      <c r="E1721" s="25"/>
      <c r="F1721" s="25"/>
      <c r="G1721" s="26"/>
    </row>
    <row r="1722" spans="1:13" x14ac:dyDescent="0.3">
      <c r="A1722" s="75" t="s">
        <v>3428</v>
      </c>
      <c r="B1722" s="62" t="s">
        <v>3429</v>
      </c>
      <c r="C1722" s="25"/>
      <c r="D1722" s="25"/>
      <c r="E1722" s="25"/>
      <c r="F1722" s="25"/>
      <c r="G1722" s="26"/>
    </row>
    <row r="1723" spans="1:13" x14ac:dyDescent="0.3">
      <c r="A1723" s="11" t="s">
        <v>1633</v>
      </c>
      <c r="B1723" s="7">
        <v>30980</v>
      </c>
      <c r="C1723" s="7">
        <v>12.651</v>
      </c>
      <c r="D1723" s="2">
        <f>C1723-C1720</f>
        <v>-2.2000000000000242E-2</v>
      </c>
      <c r="E1723" s="8">
        <f>E1720-F1720</f>
        <v>12.754814472378238</v>
      </c>
      <c r="F1723" s="6">
        <f>F1720</f>
        <v>1.6447368421052631E-2</v>
      </c>
      <c r="G1723" s="12">
        <f t="shared" si="443"/>
        <v>-0.10381447237823771</v>
      </c>
    </row>
    <row r="1724" spans="1:13" x14ac:dyDescent="0.3">
      <c r="A1724" s="11" t="s">
        <v>1634</v>
      </c>
      <c r="B1724" s="7">
        <v>31000</v>
      </c>
      <c r="C1724" s="7">
        <v>12.678000000000001</v>
      </c>
      <c r="D1724" s="2">
        <f t="shared" si="444"/>
        <v>2.7000000000001023E-2</v>
      </c>
      <c r="E1724" s="8">
        <f t="shared" ref="E1724:E1730" si="449">E1723-F1723</f>
        <v>12.738367103957184</v>
      </c>
      <c r="F1724" s="6">
        <f t="shared" si="441"/>
        <v>1.6447368421052631E-2</v>
      </c>
      <c r="G1724" s="12">
        <f t="shared" si="443"/>
        <v>-6.0367103957183588E-2</v>
      </c>
    </row>
    <row r="1725" spans="1:13" x14ac:dyDescent="0.3">
      <c r="A1725" s="11" t="s">
        <v>1635</v>
      </c>
      <c r="B1725" s="7">
        <v>31020</v>
      </c>
      <c r="C1725" s="7">
        <v>12.66</v>
      </c>
      <c r="D1725" s="2">
        <f t="shared" si="444"/>
        <v>-1.8000000000000682E-2</v>
      </c>
      <c r="E1725" s="8">
        <f t="shared" si="449"/>
        <v>12.721919735536131</v>
      </c>
      <c r="F1725" s="6">
        <f t="shared" si="441"/>
        <v>1.6447368421052631E-2</v>
      </c>
      <c r="G1725" s="12">
        <f t="shared" ref="G1725:G1741" si="450">C1725-E1725</f>
        <v>-6.1919735536131171E-2</v>
      </c>
    </row>
    <row r="1726" spans="1:13" x14ac:dyDescent="0.3">
      <c r="A1726" s="11" t="s">
        <v>1636</v>
      </c>
      <c r="B1726" s="7">
        <v>31040</v>
      </c>
      <c r="C1726" s="7">
        <v>12.635</v>
      </c>
      <c r="D1726" s="2">
        <f t="shared" si="444"/>
        <v>-2.5000000000000355E-2</v>
      </c>
      <c r="E1726" s="8">
        <f t="shared" si="449"/>
        <v>12.705472367115078</v>
      </c>
      <c r="F1726" s="6">
        <f t="shared" si="441"/>
        <v>1.6447368421052631E-2</v>
      </c>
      <c r="G1726" s="12">
        <f t="shared" si="450"/>
        <v>-7.0472367115078427E-2</v>
      </c>
    </row>
    <row r="1727" spans="1:13" x14ac:dyDescent="0.3">
      <c r="A1727" s="11" t="s">
        <v>1637</v>
      </c>
      <c r="B1727" s="7">
        <v>31060</v>
      </c>
      <c r="C1727" s="7">
        <v>12.65</v>
      </c>
      <c r="D1727" s="2">
        <f>C1727-C1726</f>
        <v>1.5000000000000568E-2</v>
      </c>
      <c r="E1727" s="8">
        <f t="shared" si="449"/>
        <v>12.689024998694025</v>
      </c>
      <c r="F1727" s="6">
        <f t="shared" si="441"/>
        <v>1.6447368421052631E-2</v>
      </c>
      <c r="G1727" s="12">
        <f>C1727-E1727</f>
        <v>-3.902499869402476E-2</v>
      </c>
    </row>
    <row r="1728" spans="1:13" x14ac:dyDescent="0.3">
      <c r="A1728" s="11" t="s">
        <v>3430</v>
      </c>
      <c r="B1728" s="70" t="s">
        <v>3431</v>
      </c>
      <c r="C1728" s="7"/>
      <c r="D1728" s="2"/>
      <c r="E1728" s="8"/>
      <c r="F1728" s="6"/>
      <c r="G1728" s="12"/>
    </row>
    <row r="1729" spans="1:18" x14ac:dyDescent="0.3">
      <c r="A1729" s="11" t="s">
        <v>1638</v>
      </c>
      <c r="B1729" s="7">
        <v>31080</v>
      </c>
      <c r="C1729" s="7">
        <v>12.608000000000001</v>
      </c>
      <c r="D1729" s="2">
        <f>C1729-C1727</f>
        <v>-4.1999999999999815E-2</v>
      </c>
      <c r="E1729" s="8">
        <f>E1727-F1727</f>
        <v>12.672577630272972</v>
      </c>
      <c r="F1729" s="6">
        <f>F1727</f>
        <v>1.6447368421052631E-2</v>
      </c>
      <c r="G1729" s="12">
        <f t="shared" ref="G1729" si="451">C1729-E1729</f>
        <v>-6.4577630272971476E-2</v>
      </c>
    </row>
    <row r="1730" spans="1:18" x14ac:dyDescent="0.3">
      <c r="A1730" s="11" t="s">
        <v>1639</v>
      </c>
      <c r="B1730" s="7">
        <v>31100</v>
      </c>
      <c r="C1730" s="7">
        <v>12.656000000000001</v>
      </c>
      <c r="D1730" s="2">
        <f t="shared" si="444"/>
        <v>4.8000000000000043E-2</v>
      </c>
      <c r="E1730" s="8">
        <f t="shared" si="449"/>
        <v>12.656130261851919</v>
      </c>
      <c r="F1730" s="6">
        <f t="shared" si="441"/>
        <v>1.6447368421052631E-2</v>
      </c>
      <c r="G1730" s="12">
        <f t="shared" si="450"/>
        <v>-1.3026185191833406E-4</v>
      </c>
    </row>
    <row r="1731" spans="1:18" x14ac:dyDescent="0.3">
      <c r="A1731" s="11"/>
      <c r="B1731" s="7"/>
      <c r="C1731" s="7"/>
      <c r="D1731" s="2"/>
      <c r="E1731" s="8"/>
      <c r="F1731" s="6"/>
      <c r="G1731" s="12"/>
      <c r="H1731" s="4" t="s">
        <v>3488</v>
      </c>
      <c r="J1731" s="4"/>
      <c r="O1731" s="3">
        <f>1/O1732</f>
        <v>4.8709206039941551E-4</v>
      </c>
      <c r="P1731" s="3">
        <f>O1731*20</f>
        <v>9.74184120798831E-3</v>
      </c>
      <c r="Q1731" s="3" t="s">
        <v>3202</v>
      </c>
      <c r="R1731" s="3">
        <v>2053</v>
      </c>
    </row>
    <row r="1732" spans="1:18" x14ac:dyDescent="0.3">
      <c r="A1732" s="11" t="s">
        <v>1640</v>
      </c>
      <c r="B1732" s="7">
        <v>31120</v>
      </c>
      <c r="C1732" s="7">
        <v>12.721</v>
      </c>
      <c r="D1732" s="2">
        <f>C1732-C1730</f>
        <v>6.4999999999999503E-2</v>
      </c>
      <c r="E1732" s="8">
        <f>E1730+F1732</f>
        <v>12.665872103059908</v>
      </c>
      <c r="F1732" s="6">
        <f>P1731</f>
        <v>9.74184120798831E-3</v>
      </c>
      <c r="G1732" s="12">
        <f t="shared" si="450"/>
        <v>5.5127896940092569E-2</v>
      </c>
      <c r="H1732" s="3">
        <f>B1730</f>
        <v>31100</v>
      </c>
      <c r="I1732" s="3">
        <f>B1747</f>
        <v>31420</v>
      </c>
      <c r="J1732" s="3">
        <f>I1732-H1732</f>
        <v>320</v>
      </c>
      <c r="K1732" s="5">
        <f>E1730</f>
        <v>12.656130261851919</v>
      </c>
      <c r="L1732" s="3">
        <f>C1747</f>
        <v>12.811999999999999</v>
      </c>
      <c r="M1732" s="5">
        <f>L1732-K1732</f>
        <v>0.15586973814808047</v>
      </c>
      <c r="N1732" s="3">
        <f>J1732/M1732</f>
        <v>2052.9963275872788</v>
      </c>
      <c r="O1732" s="3">
        <v>2053</v>
      </c>
    </row>
    <row r="1733" spans="1:18" x14ac:dyDescent="0.3">
      <c r="A1733" s="11" t="s">
        <v>1641</v>
      </c>
      <c r="B1733" s="7">
        <v>31140</v>
      </c>
      <c r="C1733" s="7">
        <v>12.721</v>
      </c>
      <c r="D1733" s="2">
        <f t="shared" si="444"/>
        <v>0</v>
      </c>
      <c r="E1733" s="8">
        <f t="shared" ref="E1733:E1747" si="452">E1732+F1732</f>
        <v>12.675613944267896</v>
      </c>
      <c r="F1733" s="6">
        <f t="shared" si="441"/>
        <v>9.74184120798831E-3</v>
      </c>
      <c r="G1733" s="12">
        <f t="shared" si="450"/>
        <v>4.5386055732103969E-2</v>
      </c>
    </row>
    <row r="1734" spans="1:18" x14ac:dyDescent="0.3">
      <c r="A1734" s="11" t="s">
        <v>1642</v>
      </c>
      <c r="B1734" s="7">
        <v>31160</v>
      </c>
      <c r="C1734" s="7">
        <v>12.757999999999999</v>
      </c>
      <c r="D1734" s="2">
        <f t="shared" si="444"/>
        <v>3.6999999999999034E-2</v>
      </c>
      <c r="E1734" s="8">
        <f t="shared" si="452"/>
        <v>12.685355785475885</v>
      </c>
      <c r="F1734" s="6">
        <f t="shared" si="441"/>
        <v>9.74184120798831E-3</v>
      </c>
      <c r="G1734" s="12">
        <f t="shared" si="450"/>
        <v>7.2644214524114403E-2</v>
      </c>
    </row>
    <row r="1735" spans="1:18" x14ac:dyDescent="0.3">
      <c r="A1735" s="11" t="s">
        <v>1643</v>
      </c>
      <c r="B1735" s="7">
        <v>31180</v>
      </c>
      <c r="C1735" s="7">
        <v>12.731</v>
      </c>
      <c r="D1735" s="2">
        <f t="shared" si="444"/>
        <v>-2.6999999999999247E-2</v>
      </c>
      <c r="E1735" s="8">
        <f t="shared" si="452"/>
        <v>12.695097626683873</v>
      </c>
      <c r="F1735" s="6">
        <f t="shared" si="441"/>
        <v>9.74184120798831E-3</v>
      </c>
      <c r="G1735" s="12">
        <f t="shared" si="450"/>
        <v>3.5902373316126557E-2</v>
      </c>
    </row>
    <row r="1736" spans="1:18" x14ac:dyDescent="0.3">
      <c r="A1736" s="11" t="s">
        <v>1644</v>
      </c>
      <c r="B1736" s="7">
        <v>31200</v>
      </c>
      <c r="C1736" s="7">
        <v>12.747</v>
      </c>
      <c r="D1736" s="2">
        <f t="shared" si="444"/>
        <v>1.6000000000000014E-2</v>
      </c>
      <c r="E1736" s="8">
        <f t="shared" si="452"/>
        <v>12.704839467891862</v>
      </c>
      <c r="F1736" s="6">
        <f t="shared" si="441"/>
        <v>9.74184120798831E-3</v>
      </c>
      <c r="G1736" s="12">
        <f t="shared" si="450"/>
        <v>4.2160532108137971E-2</v>
      </c>
    </row>
    <row r="1737" spans="1:18" x14ac:dyDescent="0.3">
      <c r="A1737" s="11" t="s">
        <v>1645</v>
      </c>
      <c r="B1737" s="7">
        <v>31220</v>
      </c>
      <c r="C1737" s="7">
        <v>12.757999999999999</v>
      </c>
      <c r="D1737" s="2">
        <f t="shared" si="444"/>
        <v>1.0999999999999233E-2</v>
      </c>
      <c r="E1737" s="8">
        <f t="shared" si="452"/>
        <v>12.714581309099851</v>
      </c>
      <c r="F1737" s="6">
        <f t="shared" si="441"/>
        <v>9.74184120798831E-3</v>
      </c>
      <c r="G1737" s="12">
        <f t="shared" si="450"/>
        <v>4.3418690900148604E-2</v>
      </c>
    </row>
    <row r="1738" spans="1:18" x14ac:dyDescent="0.3">
      <c r="A1738" s="11" t="s">
        <v>1646</v>
      </c>
      <c r="B1738" s="7">
        <v>31240</v>
      </c>
      <c r="C1738" s="7">
        <v>12.787000000000001</v>
      </c>
      <c r="D1738" s="2">
        <f t="shared" si="444"/>
        <v>2.9000000000001691E-2</v>
      </c>
      <c r="E1738" s="8">
        <f t="shared" si="452"/>
        <v>12.724323150307839</v>
      </c>
      <c r="F1738" s="6">
        <f t="shared" si="441"/>
        <v>9.74184120798831E-3</v>
      </c>
      <c r="G1738" s="12">
        <f t="shared" si="450"/>
        <v>6.2676849692161696E-2</v>
      </c>
    </row>
    <row r="1739" spans="1:18" x14ac:dyDescent="0.3">
      <c r="A1739" s="11" t="s">
        <v>1647</v>
      </c>
      <c r="B1739" s="7">
        <v>31260</v>
      </c>
      <c r="C1739" s="7">
        <v>12.803000000000001</v>
      </c>
      <c r="D1739" s="2">
        <f t="shared" si="444"/>
        <v>1.6000000000000014E-2</v>
      </c>
      <c r="E1739" s="8">
        <f t="shared" si="452"/>
        <v>12.734064991515828</v>
      </c>
      <c r="F1739" s="6">
        <f t="shared" si="441"/>
        <v>9.74184120798831E-3</v>
      </c>
      <c r="G1739" s="12">
        <f t="shared" si="450"/>
        <v>6.893500848417311E-2</v>
      </c>
    </row>
    <row r="1740" spans="1:18" x14ac:dyDescent="0.3">
      <c r="A1740" s="11" t="s">
        <v>1648</v>
      </c>
      <c r="B1740" s="7">
        <v>31280</v>
      </c>
      <c r="C1740" s="7">
        <v>12.8</v>
      </c>
      <c r="D1740" s="2">
        <f t="shared" si="444"/>
        <v>-3.0000000000001137E-3</v>
      </c>
      <c r="E1740" s="8">
        <f t="shared" si="452"/>
        <v>12.743806832723816</v>
      </c>
      <c r="F1740" s="6">
        <f t="shared" si="441"/>
        <v>9.74184120798831E-3</v>
      </c>
      <c r="G1740" s="12">
        <f t="shared" si="450"/>
        <v>5.6193167276184397E-2</v>
      </c>
    </row>
    <row r="1741" spans="1:18" x14ac:dyDescent="0.3">
      <c r="A1741" s="11" t="s">
        <v>1649</v>
      </c>
      <c r="B1741" s="7">
        <v>31300</v>
      </c>
      <c r="C1741" s="7">
        <v>12.807</v>
      </c>
      <c r="D1741" s="2">
        <f t="shared" si="444"/>
        <v>6.9999999999996732E-3</v>
      </c>
      <c r="E1741" s="8">
        <f t="shared" si="452"/>
        <v>12.753548673931805</v>
      </c>
      <c r="F1741" s="6">
        <f t="shared" si="441"/>
        <v>9.74184120798831E-3</v>
      </c>
      <c r="G1741" s="12">
        <f t="shared" si="450"/>
        <v>5.345132606819547E-2</v>
      </c>
    </row>
    <row r="1742" spans="1:18" x14ac:dyDescent="0.3">
      <c r="A1742" s="11" t="s">
        <v>1650</v>
      </c>
      <c r="B1742" s="7">
        <v>31320</v>
      </c>
      <c r="C1742" s="7">
        <v>12.821</v>
      </c>
      <c r="D1742" s="2">
        <f t="shared" si="444"/>
        <v>1.3999999999999346E-2</v>
      </c>
      <c r="E1742" s="8">
        <f t="shared" si="452"/>
        <v>12.763290515139794</v>
      </c>
      <c r="F1742" s="6">
        <f t="shared" si="441"/>
        <v>9.74184120798831E-3</v>
      </c>
      <c r="G1742" s="12">
        <f t="shared" ref="G1742:G1757" si="453">C1742-E1742</f>
        <v>5.7709484860206217E-2</v>
      </c>
    </row>
    <row r="1743" spans="1:18" x14ac:dyDescent="0.3">
      <c r="A1743" s="11" t="s">
        <v>1651</v>
      </c>
      <c r="B1743" s="7">
        <v>31340</v>
      </c>
      <c r="C1743" s="7">
        <v>12.824999999999999</v>
      </c>
      <c r="D1743" s="2">
        <f t="shared" si="444"/>
        <v>3.9999999999995595E-3</v>
      </c>
      <c r="E1743" s="8">
        <f t="shared" si="452"/>
        <v>12.773032356347782</v>
      </c>
      <c r="F1743" s="6">
        <f t="shared" si="441"/>
        <v>9.74184120798831E-3</v>
      </c>
      <c r="G1743" s="12">
        <f t="shared" si="453"/>
        <v>5.1967643652217177E-2</v>
      </c>
    </row>
    <row r="1744" spans="1:18" x14ac:dyDescent="0.3">
      <c r="A1744" s="11" t="s">
        <v>1652</v>
      </c>
      <c r="B1744" s="7">
        <v>31360</v>
      </c>
      <c r="C1744" s="7">
        <v>12.821</v>
      </c>
      <c r="D1744" s="2">
        <f t="shared" si="444"/>
        <v>-3.9999999999995595E-3</v>
      </c>
      <c r="E1744" s="8">
        <f t="shared" si="452"/>
        <v>12.782774197555771</v>
      </c>
      <c r="F1744" s="6">
        <f t="shared" si="441"/>
        <v>9.74184120798831E-3</v>
      </c>
      <c r="G1744" s="12">
        <f t="shared" si="453"/>
        <v>3.8225802444229018E-2</v>
      </c>
    </row>
    <row r="1745" spans="1:18" x14ac:dyDescent="0.3">
      <c r="A1745" s="11" t="s">
        <v>1653</v>
      </c>
      <c r="B1745" s="7">
        <v>31380</v>
      </c>
      <c r="C1745" s="7">
        <v>12.826000000000001</v>
      </c>
      <c r="D1745" s="2">
        <f t="shared" si="444"/>
        <v>5.0000000000007816E-3</v>
      </c>
      <c r="E1745" s="8">
        <f t="shared" si="452"/>
        <v>12.792516038763759</v>
      </c>
      <c r="F1745" s="6">
        <f t="shared" si="441"/>
        <v>9.74184120798831E-3</v>
      </c>
      <c r="G1745" s="12">
        <f t="shared" si="453"/>
        <v>3.34839612362412E-2</v>
      </c>
    </row>
    <row r="1746" spans="1:18" x14ac:dyDescent="0.3">
      <c r="A1746" s="11" t="s">
        <v>1654</v>
      </c>
      <c r="B1746" s="7">
        <v>31400</v>
      </c>
      <c r="C1746" s="7">
        <v>12.824999999999999</v>
      </c>
      <c r="D1746" s="2">
        <f t="shared" si="444"/>
        <v>-1.0000000000012221E-3</v>
      </c>
      <c r="E1746" s="8">
        <f t="shared" si="452"/>
        <v>12.802257879971748</v>
      </c>
      <c r="F1746" s="6">
        <f t="shared" si="441"/>
        <v>9.74184120798831E-3</v>
      </c>
      <c r="G1746" s="12">
        <f t="shared" si="453"/>
        <v>2.2742120028251378E-2</v>
      </c>
    </row>
    <row r="1747" spans="1:18" x14ac:dyDescent="0.3">
      <c r="A1747" s="11" t="s">
        <v>1655</v>
      </c>
      <c r="B1747" s="7">
        <v>31420</v>
      </c>
      <c r="C1747" s="7">
        <v>12.811999999999999</v>
      </c>
      <c r="D1747" s="2">
        <f t="shared" si="444"/>
        <v>-1.2999999999999901E-2</v>
      </c>
      <c r="E1747" s="8">
        <f t="shared" si="452"/>
        <v>12.811999721179737</v>
      </c>
      <c r="F1747" s="6">
        <f t="shared" si="441"/>
        <v>9.74184120798831E-3</v>
      </c>
      <c r="G1747" s="12">
        <f t="shared" si="453"/>
        <v>2.7882026287784356E-7</v>
      </c>
    </row>
    <row r="1748" spans="1:18" x14ac:dyDescent="0.3">
      <c r="A1748" s="21"/>
      <c r="B1748" s="22"/>
      <c r="C1748" s="22"/>
      <c r="D1748" s="22"/>
      <c r="E1748" s="22"/>
      <c r="F1748" s="22"/>
      <c r="G1748" s="23"/>
      <c r="H1748" s="4" t="s">
        <v>3489</v>
      </c>
      <c r="J1748" s="4"/>
      <c r="O1748" s="3">
        <f>1/O1749</f>
        <v>2.1706099413935315E-4</v>
      </c>
      <c r="P1748" s="3">
        <f>O1748*20</f>
        <v>4.3412198827870634E-3</v>
      </c>
      <c r="Q1748" s="3" t="s">
        <v>3200</v>
      </c>
      <c r="R1748" s="3">
        <v>4607</v>
      </c>
    </row>
    <row r="1749" spans="1:18" x14ac:dyDescent="0.3">
      <c r="A1749" s="11" t="s">
        <v>1656</v>
      </c>
      <c r="B1749" s="7">
        <v>31440</v>
      </c>
      <c r="C1749" s="7">
        <v>12.648999999999999</v>
      </c>
      <c r="D1749" s="2">
        <f>C1749-C1747</f>
        <v>-0.16300000000000026</v>
      </c>
      <c r="E1749" s="8">
        <f>E1747-F1749</f>
        <v>12.807658501296949</v>
      </c>
      <c r="F1749" s="6">
        <f>P1748</f>
        <v>4.3412198827870634E-3</v>
      </c>
      <c r="G1749" s="12">
        <f>C1749-E1749</f>
        <v>-0.15865850129694969</v>
      </c>
      <c r="H1749" s="3">
        <f>B1747</f>
        <v>31420</v>
      </c>
      <c r="I1749" s="3">
        <f>B1793</f>
        <v>32300</v>
      </c>
      <c r="J1749" s="3">
        <f>I1749-H1749</f>
        <v>880</v>
      </c>
      <c r="K1749" s="5">
        <f>E1747</f>
        <v>12.811999721179737</v>
      </c>
      <c r="L1749" s="3">
        <f>C1793</f>
        <v>12.621</v>
      </c>
      <c r="M1749" s="5">
        <f>L1749-K1749</f>
        <v>-0.19099972117973607</v>
      </c>
      <c r="N1749" s="3">
        <f>J1749/M1749</f>
        <v>-4607.3365686848065</v>
      </c>
      <c r="O1749" s="3">
        <v>4607</v>
      </c>
    </row>
    <row r="1750" spans="1:18" x14ac:dyDescent="0.3">
      <c r="A1750" s="11" t="s">
        <v>1657</v>
      </c>
      <c r="B1750" s="7">
        <v>31460</v>
      </c>
      <c r="C1750" s="7">
        <v>12.785</v>
      </c>
      <c r="D1750" s="2">
        <f t="shared" si="444"/>
        <v>0.13600000000000101</v>
      </c>
      <c r="E1750" s="8">
        <f>E1749-F1749</f>
        <v>12.803317281414161</v>
      </c>
      <c r="F1750" s="6">
        <f t="shared" ref="F1750" si="454">F1749</f>
        <v>4.3412198827870634E-3</v>
      </c>
      <c r="G1750" s="12">
        <f t="shared" ref="G1750" si="455">C1750-E1750</f>
        <v>-1.8317281414161002E-2</v>
      </c>
    </row>
    <row r="1751" spans="1:18" x14ac:dyDescent="0.3">
      <c r="A1751" s="11" t="s">
        <v>1658</v>
      </c>
      <c r="B1751" s="7">
        <v>31480</v>
      </c>
      <c r="C1751" s="7">
        <v>12.791</v>
      </c>
      <c r="D1751" s="2">
        <f t="shared" si="444"/>
        <v>6.0000000000002274E-3</v>
      </c>
      <c r="E1751" s="8">
        <f t="shared" ref="E1751:E1757" si="456">E1750-F1750</f>
        <v>12.798976061531373</v>
      </c>
      <c r="F1751" s="6">
        <f t="shared" si="441"/>
        <v>4.3412198827870634E-3</v>
      </c>
      <c r="G1751" s="12">
        <f t="shared" si="453"/>
        <v>-7.9760615313730909E-3</v>
      </c>
    </row>
    <row r="1752" spans="1:18" x14ac:dyDescent="0.3">
      <c r="A1752" s="11" t="s">
        <v>1659</v>
      </c>
      <c r="B1752" s="7">
        <v>31500</v>
      </c>
      <c r="C1752" s="7">
        <v>12.747</v>
      </c>
      <c r="D1752" s="2">
        <f t="shared" si="444"/>
        <v>-4.4000000000000483E-2</v>
      </c>
      <c r="E1752" s="8">
        <f t="shared" si="456"/>
        <v>12.794634841648586</v>
      </c>
      <c r="F1752" s="6">
        <f t="shared" si="441"/>
        <v>4.3412198827870634E-3</v>
      </c>
      <c r="G1752" s="12">
        <f t="shared" si="453"/>
        <v>-4.7634841648585891E-2</v>
      </c>
    </row>
    <row r="1753" spans="1:18" x14ac:dyDescent="0.3">
      <c r="A1753" s="11" t="s">
        <v>1660</v>
      </c>
      <c r="B1753" s="7">
        <v>31520</v>
      </c>
      <c r="C1753" s="7">
        <v>12.728999999999999</v>
      </c>
      <c r="D1753" s="2">
        <f t="shared" si="444"/>
        <v>-1.8000000000000682E-2</v>
      </c>
      <c r="E1753" s="8">
        <f t="shared" si="456"/>
        <v>12.790293621765798</v>
      </c>
      <c r="F1753" s="6">
        <f t="shared" si="441"/>
        <v>4.3412198827870634E-3</v>
      </c>
      <c r="G1753" s="12">
        <f t="shared" si="453"/>
        <v>-6.1293621765798889E-2</v>
      </c>
    </row>
    <row r="1754" spans="1:18" x14ac:dyDescent="0.3">
      <c r="A1754" s="11" t="s">
        <v>1661</v>
      </c>
      <c r="B1754" s="7">
        <v>31540</v>
      </c>
      <c r="C1754" s="7">
        <v>12.734</v>
      </c>
      <c r="D1754" s="2">
        <f t="shared" si="444"/>
        <v>5.0000000000007816E-3</v>
      </c>
      <c r="E1754" s="8">
        <f t="shared" si="456"/>
        <v>12.78595240188301</v>
      </c>
      <c r="F1754" s="6">
        <f t="shared" si="441"/>
        <v>4.3412198827870634E-3</v>
      </c>
      <c r="G1754" s="12">
        <f t="shared" si="453"/>
        <v>-5.1952401883010424E-2</v>
      </c>
    </row>
    <row r="1755" spans="1:18" x14ac:dyDescent="0.3">
      <c r="A1755" s="11" t="s">
        <v>1662</v>
      </c>
      <c r="B1755" s="7">
        <v>31560</v>
      </c>
      <c r="C1755" s="7">
        <v>12.744</v>
      </c>
      <c r="D1755" s="2">
        <f t="shared" si="444"/>
        <v>9.9999999999997868E-3</v>
      </c>
      <c r="E1755" s="8">
        <f t="shared" si="456"/>
        <v>12.781611182000223</v>
      </c>
      <c r="F1755" s="6">
        <f t="shared" si="441"/>
        <v>4.3412198827870634E-3</v>
      </c>
      <c r="G1755" s="12">
        <f t="shared" si="453"/>
        <v>-3.7611182000222954E-2</v>
      </c>
    </row>
    <row r="1756" spans="1:18" x14ac:dyDescent="0.3">
      <c r="A1756" s="11" t="s">
        <v>1663</v>
      </c>
      <c r="B1756" s="7">
        <v>31580</v>
      </c>
      <c r="C1756" s="7">
        <v>12.742000000000001</v>
      </c>
      <c r="D1756" s="2">
        <f t="shared" si="444"/>
        <v>-1.9999999999988916E-3</v>
      </c>
      <c r="E1756" s="8">
        <f t="shared" si="456"/>
        <v>12.777269962117435</v>
      </c>
      <c r="F1756" s="6">
        <f t="shared" si="441"/>
        <v>4.3412198827870634E-3</v>
      </c>
      <c r="G1756" s="12">
        <f t="shared" si="453"/>
        <v>-3.5269962117434162E-2</v>
      </c>
    </row>
    <row r="1757" spans="1:18" x14ac:dyDescent="0.3">
      <c r="A1757" s="11" t="s">
        <v>1664</v>
      </c>
      <c r="B1757" s="7">
        <v>31600</v>
      </c>
      <c r="C1757" s="7">
        <v>12.77</v>
      </c>
      <c r="D1757" s="2">
        <f t="shared" si="444"/>
        <v>2.7999999999998693E-2</v>
      </c>
      <c r="E1757" s="8">
        <f t="shared" si="456"/>
        <v>12.772928742234647</v>
      </c>
      <c r="F1757" s="6">
        <f t="shared" si="441"/>
        <v>4.3412198827870634E-3</v>
      </c>
      <c r="G1757" s="12">
        <f t="shared" si="453"/>
        <v>-2.9287422346477854E-3</v>
      </c>
    </row>
    <row r="1758" spans="1:18" x14ac:dyDescent="0.3">
      <c r="A1758" s="11" t="s">
        <v>1665</v>
      </c>
      <c r="B1758" s="7">
        <v>31620</v>
      </c>
      <c r="C1758" s="7">
        <v>12.782</v>
      </c>
      <c r="D1758" s="2">
        <f t="shared" si="444"/>
        <v>1.2000000000000455E-2</v>
      </c>
      <c r="E1758" s="8">
        <f t="shared" ref="E1758:E1778" si="457">E1757-F1757</f>
        <v>12.76858752235186</v>
      </c>
      <c r="F1758" s="6">
        <f t="shared" si="441"/>
        <v>4.3412198827870634E-3</v>
      </c>
      <c r="G1758" s="12">
        <f t="shared" ref="G1758:G1778" si="458">C1758-E1758</f>
        <v>1.3412477648140353E-2</v>
      </c>
    </row>
    <row r="1759" spans="1:18" x14ac:dyDescent="0.3">
      <c r="A1759" s="11" t="s">
        <v>1666</v>
      </c>
      <c r="B1759" s="7">
        <v>31640</v>
      </c>
      <c r="C1759" s="7">
        <v>12.782999999999999</v>
      </c>
      <c r="D1759" s="2">
        <f t="shared" si="444"/>
        <v>9.9999999999944578E-4</v>
      </c>
      <c r="E1759" s="8">
        <f t="shared" si="457"/>
        <v>12.764246302469072</v>
      </c>
      <c r="F1759" s="6">
        <f t="shared" si="441"/>
        <v>4.3412198827870634E-3</v>
      </c>
      <c r="G1759" s="12">
        <f t="shared" si="458"/>
        <v>1.8753697530927482E-2</v>
      </c>
    </row>
    <row r="1760" spans="1:18" x14ac:dyDescent="0.3">
      <c r="A1760" s="11" t="s">
        <v>1667</v>
      </c>
      <c r="B1760" s="7">
        <v>31660</v>
      </c>
      <c r="C1760" s="7">
        <v>12.772</v>
      </c>
      <c r="D1760" s="2">
        <f t="shared" si="444"/>
        <v>-1.0999999999999233E-2</v>
      </c>
      <c r="E1760" s="8">
        <f t="shared" si="457"/>
        <v>12.759905082586284</v>
      </c>
      <c r="F1760" s="6">
        <f t="shared" si="441"/>
        <v>4.3412198827870634E-3</v>
      </c>
      <c r="G1760" s="12">
        <f t="shared" si="458"/>
        <v>1.2094917413715933E-2</v>
      </c>
    </row>
    <row r="1761" spans="1:7" x14ac:dyDescent="0.3">
      <c r="A1761" s="11" t="s">
        <v>1668</v>
      </c>
      <c r="B1761" s="7">
        <v>31680</v>
      </c>
      <c r="C1761" s="7">
        <v>12.749000000000001</v>
      </c>
      <c r="D1761" s="2">
        <f t="shared" si="444"/>
        <v>-2.2999999999999687E-2</v>
      </c>
      <c r="E1761" s="8">
        <f t="shared" si="457"/>
        <v>12.755563862703497</v>
      </c>
      <c r="F1761" s="6">
        <f t="shared" ref="F1761:F1826" si="459">F1760</f>
        <v>4.3412198827870634E-3</v>
      </c>
      <c r="G1761" s="12">
        <f t="shared" si="458"/>
        <v>-6.5638627034960706E-3</v>
      </c>
    </row>
    <row r="1762" spans="1:7" x14ac:dyDescent="0.3">
      <c r="A1762" s="11" t="s">
        <v>1669</v>
      </c>
      <c r="B1762" s="7">
        <v>31700</v>
      </c>
      <c r="C1762" s="7">
        <v>12.749000000000001</v>
      </c>
      <c r="D1762" s="2">
        <f t="shared" si="444"/>
        <v>0</v>
      </c>
      <c r="E1762" s="8">
        <f t="shared" si="457"/>
        <v>12.751222642820709</v>
      </c>
      <c r="F1762" s="6">
        <f t="shared" si="459"/>
        <v>4.3412198827870634E-3</v>
      </c>
      <c r="G1762" s="12">
        <f t="shared" si="458"/>
        <v>-2.222642820708387E-3</v>
      </c>
    </row>
    <row r="1763" spans="1:7" x14ac:dyDescent="0.3">
      <c r="A1763" s="11" t="s">
        <v>1670</v>
      </c>
      <c r="B1763" s="7">
        <v>31720</v>
      </c>
      <c r="C1763" s="7">
        <v>12.733000000000001</v>
      </c>
      <c r="D1763" s="2">
        <f t="shared" si="444"/>
        <v>-1.6000000000000014E-2</v>
      </c>
      <c r="E1763" s="8">
        <f t="shared" si="457"/>
        <v>12.746881422937921</v>
      </c>
      <c r="F1763" s="6">
        <f t="shared" si="459"/>
        <v>4.3412198827870634E-3</v>
      </c>
      <c r="G1763" s="12">
        <f t="shared" si="458"/>
        <v>-1.3881422937920718E-2</v>
      </c>
    </row>
    <row r="1764" spans="1:7" x14ac:dyDescent="0.3">
      <c r="A1764" s="11" t="s">
        <v>1671</v>
      </c>
      <c r="B1764" s="7">
        <v>31740</v>
      </c>
      <c r="C1764" s="7">
        <v>12.722</v>
      </c>
      <c r="D1764" s="2">
        <f t="shared" si="444"/>
        <v>-1.1000000000001009E-2</v>
      </c>
      <c r="E1764" s="8">
        <f t="shared" si="457"/>
        <v>12.742540203055134</v>
      </c>
      <c r="F1764" s="6">
        <f t="shared" si="459"/>
        <v>4.3412198827870634E-3</v>
      </c>
      <c r="G1764" s="12">
        <f t="shared" si="458"/>
        <v>-2.0540203055134043E-2</v>
      </c>
    </row>
    <row r="1765" spans="1:7" x14ac:dyDescent="0.3">
      <c r="A1765" s="11" t="s">
        <v>1672</v>
      </c>
      <c r="B1765" s="7">
        <v>31760</v>
      </c>
      <c r="C1765" s="7">
        <v>12.728999999999999</v>
      </c>
      <c r="D1765" s="2">
        <f t="shared" si="444"/>
        <v>6.9999999999996732E-3</v>
      </c>
      <c r="E1765" s="8">
        <f t="shared" si="457"/>
        <v>12.738198983172346</v>
      </c>
      <c r="F1765" s="6">
        <f t="shared" si="459"/>
        <v>4.3412198827870634E-3</v>
      </c>
      <c r="G1765" s="12">
        <f t="shared" si="458"/>
        <v>-9.1989831723466864E-3</v>
      </c>
    </row>
    <row r="1766" spans="1:7" x14ac:dyDescent="0.3">
      <c r="A1766" s="11" t="s">
        <v>1673</v>
      </c>
      <c r="B1766" s="7">
        <v>31780</v>
      </c>
      <c r="C1766" s="7">
        <v>12.74</v>
      </c>
      <c r="D1766" s="2">
        <f t="shared" si="444"/>
        <v>1.1000000000001009E-2</v>
      </c>
      <c r="E1766" s="8">
        <f t="shared" si="457"/>
        <v>12.733857763289558</v>
      </c>
      <c r="F1766" s="6">
        <f t="shared" si="459"/>
        <v>4.3412198827870634E-3</v>
      </c>
      <c r="G1766" s="12">
        <f t="shared" si="458"/>
        <v>6.1422367104420061E-3</v>
      </c>
    </row>
    <row r="1767" spans="1:7" x14ac:dyDescent="0.3">
      <c r="A1767" s="11" t="s">
        <v>1674</v>
      </c>
      <c r="B1767" s="7">
        <v>31800</v>
      </c>
      <c r="C1767" s="7">
        <v>12.757999999999999</v>
      </c>
      <c r="D1767" s="2">
        <f t="shared" si="444"/>
        <v>1.7999999999998906E-2</v>
      </c>
      <c r="E1767" s="8">
        <f t="shared" si="457"/>
        <v>12.729516543406771</v>
      </c>
      <c r="F1767" s="6">
        <f t="shared" si="459"/>
        <v>4.3412198827870634E-3</v>
      </c>
      <c r="G1767" s="12">
        <f t="shared" si="458"/>
        <v>2.8483456593228595E-2</v>
      </c>
    </row>
    <row r="1768" spans="1:7" x14ac:dyDescent="0.3">
      <c r="A1768" s="11" t="s">
        <v>1675</v>
      </c>
      <c r="B1768" s="7">
        <v>31820</v>
      </c>
      <c r="C1768" s="7">
        <v>12.757</v>
      </c>
      <c r="D1768" s="2">
        <f t="shared" si="444"/>
        <v>-9.9999999999944578E-4</v>
      </c>
      <c r="E1768" s="8">
        <f t="shared" si="457"/>
        <v>12.725175323523983</v>
      </c>
      <c r="F1768" s="6">
        <f t="shared" si="459"/>
        <v>4.3412198827870634E-3</v>
      </c>
      <c r="G1768" s="12">
        <f t="shared" si="458"/>
        <v>3.1824676476016833E-2</v>
      </c>
    </row>
    <row r="1769" spans="1:7" x14ac:dyDescent="0.3">
      <c r="A1769" s="11" t="s">
        <v>1676</v>
      </c>
      <c r="B1769" s="7">
        <v>31840</v>
      </c>
      <c r="C1769" s="7">
        <v>12.744999999999999</v>
      </c>
      <c r="D1769" s="2">
        <f t="shared" si="444"/>
        <v>-1.2000000000000455E-2</v>
      </c>
      <c r="E1769" s="8">
        <f t="shared" si="457"/>
        <v>12.720834103641195</v>
      </c>
      <c r="F1769" s="6">
        <f t="shared" si="459"/>
        <v>4.3412198827870634E-3</v>
      </c>
      <c r="G1769" s="12">
        <f t="shared" si="458"/>
        <v>2.4165896358804062E-2</v>
      </c>
    </row>
    <row r="1770" spans="1:7" x14ac:dyDescent="0.3">
      <c r="A1770" s="11" t="s">
        <v>1677</v>
      </c>
      <c r="B1770" s="7">
        <v>31860</v>
      </c>
      <c r="C1770" s="7">
        <v>12.744</v>
      </c>
      <c r="D1770" s="2">
        <f t="shared" si="444"/>
        <v>-9.9999999999944578E-4</v>
      </c>
      <c r="E1770" s="8">
        <f t="shared" si="457"/>
        <v>12.716492883758407</v>
      </c>
      <c r="F1770" s="6">
        <f t="shared" si="459"/>
        <v>4.3412198827870634E-3</v>
      </c>
      <c r="G1770" s="12">
        <f t="shared" si="458"/>
        <v>2.75071162415923E-2</v>
      </c>
    </row>
    <row r="1771" spans="1:7" x14ac:dyDescent="0.3">
      <c r="A1771" s="11" t="s">
        <v>1678</v>
      </c>
      <c r="B1771" s="7">
        <v>31880</v>
      </c>
      <c r="C1771" s="7">
        <v>12.736000000000001</v>
      </c>
      <c r="D1771" s="2">
        <f t="shared" si="444"/>
        <v>-7.9999999999991189E-3</v>
      </c>
      <c r="E1771" s="8">
        <f t="shared" si="457"/>
        <v>12.71215166387562</v>
      </c>
      <c r="F1771" s="6">
        <f t="shared" si="459"/>
        <v>4.3412198827870634E-3</v>
      </c>
      <c r="G1771" s="12">
        <f t="shared" si="458"/>
        <v>2.3848336124380864E-2</v>
      </c>
    </row>
    <row r="1772" spans="1:7" x14ac:dyDescent="0.3">
      <c r="A1772" s="11" t="s">
        <v>1679</v>
      </c>
      <c r="B1772" s="7">
        <v>31900</v>
      </c>
      <c r="C1772" s="7">
        <v>12.734</v>
      </c>
      <c r="D1772" s="2">
        <f t="shared" si="444"/>
        <v>-2.0000000000006679E-3</v>
      </c>
      <c r="E1772" s="8">
        <f t="shared" si="457"/>
        <v>12.707810443992832</v>
      </c>
      <c r="F1772" s="6">
        <f t="shared" si="459"/>
        <v>4.3412198827870634E-3</v>
      </c>
      <c r="G1772" s="12">
        <f t="shared" si="458"/>
        <v>2.618955600716788E-2</v>
      </c>
    </row>
    <row r="1773" spans="1:7" x14ac:dyDescent="0.3">
      <c r="A1773" s="11" t="s">
        <v>1680</v>
      </c>
      <c r="B1773" s="7">
        <v>31920</v>
      </c>
      <c r="C1773" s="7">
        <v>12.72</v>
      </c>
      <c r="D1773" s="2">
        <f t="shared" si="444"/>
        <v>-1.3999999999999346E-2</v>
      </c>
      <c r="E1773" s="8">
        <f t="shared" si="457"/>
        <v>12.703469224110044</v>
      </c>
      <c r="F1773" s="6">
        <f t="shared" si="459"/>
        <v>4.3412198827870634E-3</v>
      </c>
      <c r="G1773" s="12">
        <f t="shared" si="458"/>
        <v>1.6530775889956217E-2</v>
      </c>
    </row>
    <row r="1774" spans="1:7" x14ac:dyDescent="0.3">
      <c r="A1774" s="11" t="s">
        <v>1681</v>
      </c>
      <c r="B1774" s="7">
        <v>31940</v>
      </c>
      <c r="C1774" s="7">
        <v>12.714</v>
      </c>
      <c r="D1774" s="2">
        <f t="shared" si="444"/>
        <v>-6.0000000000002274E-3</v>
      </c>
      <c r="E1774" s="8">
        <f t="shared" si="457"/>
        <v>12.699128004227257</v>
      </c>
      <c r="F1774" s="6">
        <f t="shared" si="459"/>
        <v>4.3412198827870634E-3</v>
      </c>
      <c r="G1774" s="12">
        <f t="shared" si="458"/>
        <v>1.4871995772743674E-2</v>
      </c>
    </row>
    <row r="1775" spans="1:7" x14ac:dyDescent="0.3">
      <c r="A1775" s="11" t="s">
        <v>1682</v>
      </c>
      <c r="B1775" s="7">
        <v>31960</v>
      </c>
      <c r="C1775" s="7">
        <v>12.705</v>
      </c>
      <c r="D1775" s="2">
        <f t="shared" si="444"/>
        <v>-9.0000000000003411E-3</v>
      </c>
      <c r="E1775" s="8">
        <f t="shared" si="457"/>
        <v>12.694786784344469</v>
      </c>
      <c r="F1775" s="6">
        <f t="shared" si="459"/>
        <v>4.3412198827870634E-3</v>
      </c>
      <c r="G1775" s="12">
        <f t="shared" si="458"/>
        <v>1.0213215655531016E-2</v>
      </c>
    </row>
    <row r="1776" spans="1:7" x14ac:dyDescent="0.3">
      <c r="A1776" s="13" t="s">
        <v>1683</v>
      </c>
      <c r="B1776" s="24"/>
      <c r="C1776" s="25"/>
      <c r="D1776" s="25"/>
      <c r="E1776" s="25"/>
      <c r="F1776" s="25"/>
      <c r="G1776" s="26"/>
    </row>
    <row r="1777" spans="1:7" x14ac:dyDescent="0.3">
      <c r="A1777" s="11" t="s">
        <v>1684</v>
      </c>
      <c r="B1777" s="7">
        <v>31980</v>
      </c>
      <c r="C1777" s="7">
        <v>12.709</v>
      </c>
      <c r="D1777" s="2">
        <f>C1777-C1775</f>
        <v>3.9999999999995595E-3</v>
      </c>
      <c r="E1777" s="8">
        <f>E1775-F1775</f>
        <v>12.690445564461681</v>
      </c>
      <c r="F1777" s="6">
        <f>F1775</f>
        <v>4.3412198827870634E-3</v>
      </c>
      <c r="G1777" s="12">
        <f t="shared" si="458"/>
        <v>1.8554435538318259E-2</v>
      </c>
    </row>
    <row r="1778" spans="1:7" x14ac:dyDescent="0.3">
      <c r="A1778" s="11" t="s">
        <v>1685</v>
      </c>
      <c r="B1778" s="7">
        <v>32000</v>
      </c>
      <c r="C1778" s="7">
        <v>12.741</v>
      </c>
      <c r="D1778" s="2">
        <f t="shared" si="444"/>
        <v>3.2000000000000028E-2</v>
      </c>
      <c r="E1778" s="8">
        <f t="shared" si="457"/>
        <v>12.686104344578894</v>
      </c>
      <c r="F1778" s="6">
        <f t="shared" si="459"/>
        <v>4.3412198827870634E-3</v>
      </c>
      <c r="G1778" s="12">
        <f t="shared" si="458"/>
        <v>5.4895655421105971E-2</v>
      </c>
    </row>
    <row r="1779" spans="1:7" x14ac:dyDescent="0.3">
      <c r="A1779" s="11" t="s">
        <v>1686</v>
      </c>
      <c r="B1779" s="7">
        <v>32020</v>
      </c>
      <c r="C1779" s="7">
        <v>12.731999999999999</v>
      </c>
      <c r="D1779" s="2">
        <f t="shared" si="444"/>
        <v>-9.0000000000003411E-3</v>
      </c>
      <c r="E1779" s="8">
        <f t="shared" ref="E1779:E1812" si="460">E1778-F1778</f>
        <v>12.681763124696106</v>
      </c>
      <c r="F1779" s="6">
        <f t="shared" si="459"/>
        <v>4.3412198827870634E-3</v>
      </c>
      <c r="G1779" s="12">
        <f t="shared" ref="G1779:G1812" si="461">C1779-E1779</f>
        <v>5.0236875303893314E-2</v>
      </c>
    </row>
    <row r="1780" spans="1:7" x14ac:dyDescent="0.3">
      <c r="A1780" s="11" t="s">
        <v>1687</v>
      </c>
      <c r="B1780" s="7">
        <v>32040</v>
      </c>
      <c r="C1780" s="7">
        <v>12.737</v>
      </c>
      <c r="D1780" s="2">
        <f t="shared" ref="D1780:D1847" si="462">C1780-C1779</f>
        <v>5.0000000000007816E-3</v>
      </c>
      <c r="E1780" s="8">
        <f t="shared" si="460"/>
        <v>12.677421904813318</v>
      </c>
      <c r="F1780" s="6">
        <f t="shared" si="459"/>
        <v>4.3412198827870634E-3</v>
      </c>
      <c r="G1780" s="12">
        <f t="shared" si="461"/>
        <v>5.9578095186681779E-2</v>
      </c>
    </row>
    <row r="1781" spans="1:7" x14ac:dyDescent="0.3">
      <c r="A1781" s="11" t="s">
        <v>1688</v>
      </c>
      <c r="B1781" s="7">
        <v>32060</v>
      </c>
      <c r="C1781" s="7">
        <v>12.760999999999999</v>
      </c>
      <c r="D1781" s="2">
        <f t="shared" si="462"/>
        <v>2.3999999999999133E-2</v>
      </c>
      <c r="E1781" s="8">
        <f t="shared" si="460"/>
        <v>12.673080684930531</v>
      </c>
      <c r="F1781" s="6">
        <f t="shared" si="459"/>
        <v>4.3412198827870634E-3</v>
      </c>
      <c r="G1781" s="12">
        <f t="shared" si="461"/>
        <v>8.7919315069468595E-2</v>
      </c>
    </row>
    <row r="1782" spans="1:7" x14ac:dyDescent="0.3">
      <c r="A1782" s="11" t="s">
        <v>1689</v>
      </c>
      <c r="B1782" s="7">
        <v>32080</v>
      </c>
      <c r="C1782" s="7">
        <v>12.795</v>
      </c>
      <c r="D1782" s="2">
        <f t="shared" si="462"/>
        <v>3.4000000000000696E-2</v>
      </c>
      <c r="E1782" s="8">
        <f t="shared" si="460"/>
        <v>12.668739465047743</v>
      </c>
      <c r="F1782" s="6">
        <f t="shared" si="459"/>
        <v>4.3412198827870634E-3</v>
      </c>
      <c r="G1782" s="12">
        <f t="shared" si="461"/>
        <v>0.12626053495225698</v>
      </c>
    </row>
    <row r="1783" spans="1:7" x14ac:dyDescent="0.3">
      <c r="A1783" s="11" t="s">
        <v>1690</v>
      </c>
      <c r="B1783" s="7">
        <v>32100</v>
      </c>
      <c r="C1783" s="7">
        <v>12.827999999999999</v>
      </c>
      <c r="D1783" s="2">
        <f t="shared" si="462"/>
        <v>3.2999999999999474E-2</v>
      </c>
      <c r="E1783" s="8">
        <f t="shared" si="460"/>
        <v>12.664398245164955</v>
      </c>
      <c r="F1783" s="6">
        <f t="shared" si="459"/>
        <v>4.3412198827870634E-3</v>
      </c>
      <c r="G1783" s="12">
        <f t="shared" si="461"/>
        <v>0.16360175483504413</v>
      </c>
    </row>
    <row r="1784" spans="1:7" x14ac:dyDescent="0.3">
      <c r="A1784" s="11" t="s">
        <v>1691</v>
      </c>
      <c r="B1784" s="7">
        <v>32120</v>
      </c>
      <c r="C1784" s="7">
        <v>12.79</v>
      </c>
      <c r="D1784" s="2">
        <f t="shared" si="462"/>
        <v>-3.8000000000000256E-2</v>
      </c>
      <c r="E1784" s="8">
        <f t="shared" si="460"/>
        <v>12.660057025282168</v>
      </c>
      <c r="F1784" s="6">
        <f t="shared" si="459"/>
        <v>4.3412198827870634E-3</v>
      </c>
      <c r="G1784" s="12">
        <f t="shared" si="461"/>
        <v>0.12994297471783156</v>
      </c>
    </row>
    <row r="1785" spans="1:7" x14ac:dyDescent="0.3">
      <c r="A1785" s="11" t="s">
        <v>1692</v>
      </c>
      <c r="B1785" s="7">
        <v>32140</v>
      </c>
      <c r="C1785" s="7">
        <v>12.760999999999999</v>
      </c>
      <c r="D1785" s="2">
        <f t="shared" si="462"/>
        <v>-2.8999999999999915E-2</v>
      </c>
      <c r="E1785" s="8">
        <f t="shared" si="460"/>
        <v>12.65571580539938</v>
      </c>
      <c r="F1785" s="6">
        <f t="shared" si="459"/>
        <v>4.3412198827870634E-3</v>
      </c>
      <c r="G1785" s="12">
        <f t="shared" si="461"/>
        <v>0.10528419460061933</v>
      </c>
    </row>
    <row r="1786" spans="1:7" x14ac:dyDescent="0.3">
      <c r="A1786" s="11" t="s">
        <v>1693</v>
      </c>
      <c r="B1786" s="7">
        <v>32160</v>
      </c>
      <c r="C1786" s="7">
        <v>12.74</v>
      </c>
      <c r="D1786" s="2">
        <f t="shared" si="462"/>
        <v>-2.0999999999999019E-2</v>
      </c>
      <c r="E1786" s="8">
        <f t="shared" si="460"/>
        <v>12.651374585516592</v>
      </c>
      <c r="F1786" s="6">
        <f t="shared" si="459"/>
        <v>4.3412198827870634E-3</v>
      </c>
      <c r="G1786" s="12">
        <f t="shared" si="461"/>
        <v>8.8625414483407994E-2</v>
      </c>
    </row>
    <row r="1787" spans="1:7" x14ac:dyDescent="0.3">
      <c r="A1787" s="11" t="s">
        <v>1694</v>
      </c>
      <c r="B1787" s="7">
        <v>32180</v>
      </c>
      <c r="C1787" s="7">
        <v>12.723000000000001</v>
      </c>
      <c r="D1787" s="2">
        <f t="shared" si="462"/>
        <v>-1.699999999999946E-2</v>
      </c>
      <c r="E1787" s="8">
        <f t="shared" si="460"/>
        <v>12.647033365633805</v>
      </c>
      <c r="F1787" s="6">
        <f t="shared" si="459"/>
        <v>4.3412198827870634E-3</v>
      </c>
      <c r="G1787" s="12">
        <f t="shared" si="461"/>
        <v>7.5966634366196217E-2</v>
      </c>
    </row>
    <row r="1788" spans="1:7" x14ac:dyDescent="0.3">
      <c r="A1788" s="11" t="s">
        <v>1695</v>
      </c>
      <c r="B1788" s="7">
        <v>32200</v>
      </c>
      <c r="C1788" s="7">
        <v>12.721</v>
      </c>
      <c r="D1788" s="2">
        <f t="shared" si="462"/>
        <v>-2.0000000000006679E-3</v>
      </c>
      <c r="E1788" s="8">
        <f t="shared" si="460"/>
        <v>12.642692145751017</v>
      </c>
      <c r="F1788" s="6">
        <f t="shared" si="459"/>
        <v>4.3412198827870634E-3</v>
      </c>
      <c r="G1788" s="12">
        <f t="shared" si="461"/>
        <v>7.8307854248983233E-2</v>
      </c>
    </row>
    <row r="1789" spans="1:7" x14ac:dyDescent="0.3">
      <c r="A1789" s="11" t="s">
        <v>1696</v>
      </c>
      <c r="B1789" s="7">
        <v>32220</v>
      </c>
      <c r="C1789" s="7">
        <v>12.711</v>
      </c>
      <c r="D1789" s="2">
        <f t="shared" si="462"/>
        <v>-9.9999999999997868E-3</v>
      </c>
      <c r="E1789" s="8">
        <f t="shared" si="460"/>
        <v>12.638350925868229</v>
      </c>
      <c r="F1789" s="6">
        <f t="shared" si="459"/>
        <v>4.3412198827870634E-3</v>
      </c>
      <c r="G1789" s="12">
        <f t="shared" si="461"/>
        <v>7.264907413177113E-2</v>
      </c>
    </row>
    <row r="1790" spans="1:7" x14ac:dyDescent="0.3">
      <c r="A1790" s="11" t="s">
        <v>1697</v>
      </c>
      <c r="B1790" s="7">
        <v>32240</v>
      </c>
      <c r="C1790" s="7">
        <v>12.704000000000001</v>
      </c>
      <c r="D1790" s="2">
        <f t="shared" si="462"/>
        <v>-6.9999999999996732E-3</v>
      </c>
      <c r="E1790" s="8">
        <f t="shared" si="460"/>
        <v>12.634009705985441</v>
      </c>
      <c r="F1790" s="6">
        <f t="shared" si="459"/>
        <v>4.3412198827870634E-3</v>
      </c>
      <c r="G1790" s="12">
        <f t="shared" si="461"/>
        <v>6.999029401455914E-2</v>
      </c>
    </row>
    <row r="1791" spans="1:7" x14ac:dyDescent="0.3">
      <c r="A1791" s="11" t="s">
        <v>1698</v>
      </c>
      <c r="B1791" s="7">
        <v>32260</v>
      </c>
      <c r="C1791" s="7">
        <v>12.677</v>
      </c>
      <c r="D1791" s="2">
        <f t="shared" si="462"/>
        <v>-2.7000000000001023E-2</v>
      </c>
      <c r="E1791" s="8">
        <f t="shared" si="460"/>
        <v>12.629668486102654</v>
      </c>
      <c r="F1791" s="6">
        <f t="shared" si="459"/>
        <v>4.3412198827870634E-3</v>
      </c>
      <c r="G1791" s="12">
        <f t="shared" si="461"/>
        <v>4.7331513897345801E-2</v>
      </c>
    </row>
    <row r="1792" spans="1:7" x14ac:dyDescent="0.3">
      <c r="A1792" s="11" t="s">
        <v>1699</v>
      </c>
      <c r="B1792" s="7">
        <v>32280</v>
      </c>
      <c r="C1792" s="7">
        <v>12.657999999999999</v>
      </c>
      <c r="D1792" s="2">
        <f t="shared" si="462"/>
        <v>-1.9000000000000128E-2</v>
      </c>
      <c r="E1792" s="8">
        <f t="shared" si="460"/>
        <v>12.625327266219866</v>
      </c>
      <c r="F1792" s="6">
        <f t="shared" si="459"/>
        <v>4.3412198827870634E-3</v>
      </c>
      <c r="G1792" s="12">
        <f t="shared" si="461"/>
        <v>3.2672733780133356E-2</v>
      </c>
    </row>
    <row r="1793" spans="1:18" x14ac:dyDescent="0.3">
      <c r="A1793" s="11" t="s">
        <v>1700</v>
      </c>
      <c r="B1793" s="7">
        <v>32300</v>
      </c>
      <c r="C1793" s="7">
        <v>12.621</v>
      </c>
      <c r="D1793" s="2">
        <f t="shared" si="462"/>
        <v>-3.6999999999999034E-2</v>
      </c>
      <c r="E1793" s="8">
        <f t="shared" si="460"/>
        <v>12.620986046337078</v>
      </c>
      <c r="F1793" s="6">
        <f t="shared" si="459"/>
        <v>4.3412198827870634E-3</v>
      </c>
      <c r="G1793" s="12">
        <f t="shared" si="461"/>
        <v>1.395366292200606E-5</v>
      </c>
    </row>
    <row r="1794" spans="1:18" x14ac:dyDescent="0.3">
      <c r="A1794" s="21"/>
      <c r="B1794" s="22"/>
      <c r="C1794" s="22"/>
      <c r="D1794" s="22"/>
      <c r="E1794" s="22"/>
      <c r="F1794" s="22"/>
      <c r="G1794" s="23"/>
      <c r="H1794" s="4" t="s">
        <v>3490</v>
      </c>
      <c r="J1794" s="4"/>
      <c r="O1794" s="3">
        <f>1/O1795</f>
        <v>2.0449897750511248E-4</v>
      </c>
      <c r="P1794" s="3">
        <f>O1794*20</f>
        <v>4.0899795501022499E-3</v>
      </c>
      <c r="Q1794" s="3" t="s">
        <v>3200</v>
      </c>
      <c r="R1794" s="3">
        <v>4890</v>
      </c>
    </row>
    <row r="1795" spans="1:18" x14ac:dyDescent="0.3">
      <c r="A1795" s="11" t="s">
        <v>1701</v>
      </c>
      <c r="B1795" s="7">
        <v>32320</v>
      </c>
      <c r="C1795" s="7">
        <v>12.611000000000001</v>
      </c>
      <c r="D1795" s="2">
        <f>C1795-C1793</f>
        <v>-9.9999999999997868E-3</v>
      </c>
      <c r="E1795" s="8">
        <f>E1793-F1795</f>
        <v>12.616896066786977</v>
      </c>
      <c r="F1795" s="6">
        <f>P1794</f>
        <v>4.0899795501022499E-3</v>
      </c>
      <c r="G1795" s="12">
        <f>C1795-E1795</f>
        <v>-5.896066786975851E-3</v>
      </c>
      <c r="H1795" s="3">
        <f>B1793</f>
        <v>32300</v>
      </c>
      <c r="I1795" s="3">
        <f>B1816</f>
        <v>32740</v>
      </c>
      <c r="J1795" s="3">
        <f>I1795-H1795</f>
        <v>440</v>
      </c>
      <c r="K1795" s="5">
        <f>E1793</f>
        <v>12.620986046337078</v>
      </c>
      <c r="L1795" s="3">
        <f>C1816</f>
        <v>12.531000000000001</v>
      </c>
      <c r="M1795" s="5">
        <f>L1795-K1795</f>
        <v>-8.9986046337077852E-2</v>
      </c>
      <c r="N1795" s="3">
        <f>J1795/M1795</f>
        <v>-4889.646983175684</v>
      </c>
      <c r="O1795" s="3">
        <v>4890</v>
      </c>
    </row>
    <row r="1796" spans="1:18" x14ac:dyDescent="0.3">
      <c r="A1796" s="11" t="s">
        <v>1702</v>
      </c>
      <c r="B1796" s="7">
        <v>32340</v>
      </c>
      <c r="C1796" s="7">
        <v>12.618</v>
      </c>
      <c r="D1796" s="2">
        <f t="shared" si="462"/>
        <v>6.9999999999996732E-3</v>
      </c>
      <c r="E1796" s="8">
        <f>E1795-F1795</f>
        <v>12.612806087236875</v>
      </c>
      <c r="F1796" s="6">
        <f t="shared" ref="F1796" si="463">F1795</f>
        <v>4.0899795501022499E-3</v>
      </c>
      <c r="G1796" s="12">
        <f t="shared" ref="G1796" si="464">C1796-E1796</f>
        <v>5.193912763125752E-3</v>
      </c>
    </row>
    <row r="1797" spans="1:18" x14ac:dyDescent="0.3">
      <c r="A1797" s="11" t="s">
        <v>1703</v>
      </c>
      <c r="B1797" s="7">
        <v>32360</v>
      </c>
      <c r="C1797" s="7">
        <v>12.59</v>
      </c>
      <c r="D1797" s="2">
        <f t="shared" si="462"/>
        <v>-2.8000000000000469E-2</v>
      </c>
      <c r="E1797" s="8">
        <f t="shared" si="460"/>
        <v>12.608716107686773</v>
      </c>
      <c r="F1797" s="6">
        <f t="shared" si="459"/>
        <v>4.0899795501022499E-3</v>
      </c>
      <c r="G1797" s="12">
        <f t="shared" si="461"/>
        <v>-1.8716107686772787E-2</v>
      </c>
    </row>
    <row r="1798" spans="1:18" x14ac:dyDescent="0.3">
      <c r="A1798" s="11" t="s">
        <v>1704</v>
      </c>
      <c r="B1798" s="7">
        <v>32380</v>
      </c>
      <c r="C1798" s="7">
        <v>12.561</v>
      </c>
      <c r="D1798" s="2">
        <f t="shared" si="462"/>
        <v>-2.8999999999999915E-2</v>
      </c>
      <c r="E1798" s="8">
        <f t="shared" si="460"/>
        <v>12.604626128136671</v>
      </c>
      <c r="F1798" s="6">
        <f t="shared" si="459"/>
        <v>4.0899795501022499E-3</v>
      </c>
      <c r="G1798" s="12">
        <f t="shared" si="461"/>
        <v>-4.3626128136670772E-2</v>
      </c>
    </row>
    <row r="1799" spans="1:18" x14ac:dyDescent="0.3">
      <c r="A1799" s="11" t="s">
        <v>1705</v>
      </c>
      <c r="B1799" s="7">
        <v>32400</v>
      </c>
      <c r="C1799" s="7">
        <v>12.544</v>
      </c>
      <c r="D1799" s="2">
        <f t="shared" si="462"/>
        <v>-1.699999999999946E-2</v>
      </c>
      <c r="E1799" s="8">
        <f t="shared" si="460"/>
        <v>12.600536148586569</v>
      </c>
      <c r="F1799" s="6">
        <f t="shared" si="459"/>
        <v>4.0899795501022499E-3</v>
      </c>
      <c r="G1799" s="12">
        <f t="shared" si="461"/>
        <v>-5.6536148586568302E-2</v>
      </c>
    </row>
    <row r="1800" spans="1:18" x14ac:dyDescent="0.3">
      <c r="A1800" s="11" t="s">
        <v>1706</v>
      </c>
      <c r="B1800" s="7">
        <v>32420</v>
      </c>
      <c r="C1800" s="7">
        <v>12.526999999999999</v>
      </c>
      <c r="D1800" s="2">
        <f t="shared" si="462"/>
        <v>-1.7000000000001236E-2</v>
      </c>
      <c r="E1800" s="8">
        <f t="shared" si="460"/>
        <v>12.596446169036467</v>
      </c>
      <c r="F1800" s="6">
        <f t="shared" si="459"/>
        <v>4.0899795501022499E-3</v>
      </c>
      <c r="G1800" s="12">
        <f t="shared" si="461"/>
        <v>-6.9446169036467609E-2</v>
      </c>
    </row>
    <row r="1801" spans="1:18" x14ac:dyDescent="0.3">
      <c r="A1801" s="11" t="s">
        <v>1707</v>
      </c>
      <c r="B1801" s="7">
        <v>32440</v>
      </c>
      <c r="C1801" s="7">
        <v>12.516</v>
      </c>
      <c r="D1801" s="2">
        <f t="shared" si="462"/>
        <v>-1.0999999999999233E-2</v>
      </c>
      <c r="E1801" s="8">
        <f t="shared" si="460"/>
        <v>12.592356189486365</v>
      </c>
      <c r="F1801" s="6">
        <f t="shared" si="459"/>
        <v>4.0899795501022499E-3</v>
      </c>
      <c r="G1801" s="12">
        <f t="shared" si="461"/>
        <v>-7.6356189486364912E-2</v>
      </c>
    </row>
    <row r="1802" spans="1:18" x14ac:dyDescent="0.3">
      <c r="A1802" s="11" t="s">
        <v>1708</v>
      </c>
      <c r="B1802" s="7">
        <v>32460</v>
      </c>
      <c r="C1802" s="7">
        <v>12.481999999999999</v>
      </c>
      <c r="D1802" s="2">
        <f t="shared" si="462"/>
        <v>-3.4000000000000696E-2</v>
      </c>
      <c r="E1802" s="8">
        <f t="shared" si="460"/>
        <v>12.588266209936263</v>
      </c>
      <c r="F1802" s="6">
        <f t="shared" si="459"/>
        <v>4.0899795501022499E-3</v>
      </c>
      <c r="G1802" s="12">
        <f t="shared" si="461"/>
        <v>-0.10626620993626368</v>
      </c>
    </row>
    <row r="1803" spans="1:18" x14ac:dyDescent="0.3">
      <c r="A1803" s="11" t="s">
        <v>1709</v>
      </c>
      <c r="B1803" s="7">
        <v>32480</v>
      </c>
      <c r="C1803" s="7">
        <v>12.462</v>
      </c>
      <c r="D1803" s="2">
        <f t="shared" si="462"/>
        <v>-1.9999999999999574E-2</v>
      </c>
      <c r="E1803" s="8">
        <f t="shared" si="460"/>
        <v>12.584176230386161</v>
      </c>
      <c r="F1803" s="6">
        <f t="shared" si="459"/>
        <v>4.0899795501022499E-3</v>
      </c>
      <c r="G1803" s="12">
        <f t="shared" si="461"/>
        <v>-0.12217623038616132</v>
      </c>
    </row>
    <row r="1804" spans="1:18" x14ac:dyDescent="0.3">
      <c r="A1804" s="11" t="s">
        <v>1710</v>
      </c>
      <c r="B1804" s="7">
        <v>32500</v>
      </c>
      <c r="C1804" s="7">
        <v>12.445</v>
      </c>
      <c r="D1804" s="2">
        <f t="shared" si="462"/>
        <v>-1.699999999999946E-2</v>
      </c>
      <c r="E1804" s="8">
        <f t="shared" si="460"/>
        <v>12.580086250836059</v>
      </c>
      <c r="F1804" s="6">
        <f t="shared" si="459"/>
        <v>4.0899795501022499E-3</v>
      </c>
      <c r="G1804" s="12">
        <f t="shared" si="461"/>
        <v>-0.13508625083605885</v>
      </c>
    </row>
    <row r="1805" spans="1:18" x14ac:dyDescent="0.3">
      <c r="A1805" s="11" t="s">
        <v>1711</v>
      </c>
      <c r="B1805" s="7">
        <v>32520</v>
      </c>
      <c r="C1805" s="7">
        <v>12.449</v>
      </c>
      <c r="D1805" s="2">
        <f t="shared" si="462"/>
        <v>3.9999999999995595E-3</v>
      </c>
      <c r="E1805" s="8">
        <f t="shared" si="460"/>
        <v>12.575996271285957</v>
      </c>
      <c r="F1805" s="6">
        <f t="shared" si="459"/>
        <v>4.0899795501022499E-3</v>
      </c>
      <c r="G1805" s="12">
        <f t="shared" si="461"/>
        <v>-0.12699627128595736</v>
      </c>
    </row>
    <row r="1806" spans="1:18" x14ac:dyDescent="0.3">
      <c r="A1806" s="11" t="s">
        <v>1712</v>
      </c>
      <c r="B1806" s="7">
        <v>32540</v>
      </c>
      <c r="C1806" s="7">
        <v>12.456</v>
      </c>
      <c r="D1806" s="2">
        <f t="shared" si="462"/>
        <v>6.9999999999996732E-3</v>
      </c>
      <c r="E1806" s="8">
        <f t="shared" si="460"/>
        <v>12.571906291735855</v>
      </c>
      <c r="F1806" s="6">
        <f t="shared" si="459"/>
        <v>4.0899795501022499E-3</v>
      </c>
      <c r="G1806" s="12">
        <f t="shared" si="461"/>
        <v>-0.11590629173585576</v>
      </c>
    </row>
    <row r="1807" spans="1:18" x14ac:dyDescent="0.3">
      <c r="A1807" s="11" t="s">
        <v>1713</v>
      </c>
      <c r="B1807" s="7">
        <v>32560</v>
      </c>
      <c r="C1807" s="7">
        <v>12.457000000000001</v>
      </c>
      <c r="D1807" s="2">
        <f t="shared" si="462"/>
        <v>1.0000000000012221E-3</v>
      </c>
      <c r="E1807" s="8">
        <f t="shared" si="460"/>
        <v>12.567816312185753</v>
      </c>
      <c r="F1807" s="6">
        <f t="shared" si="459"/>
        <v>4.0899795501022499E-3</v>
      </c>
      <c r="G1807" s="12">
        <f t="shared" si="461"/>
        <v>-0.11081631218575261</v>
      </c>
    </row>
    <row r="1808" spans="1:18" x14ac:dyDescent="0.3">
      <c r="A1808" s="11" t="s">
        <v>1714</v>
      </c>
      <c r="B1808" s="7">
        <v>32580</v>
      </c>
      <c r="C1808" s="7">
        <v>12.454000000000001</v>
      </c>
      <c r="D1808" s="2">
        <f t="shared" si="462"/>
        <v>-3.0000000000001137E-3</v>
      </c>
      <c r="E1808" s="8">
        <f t="shared" si="460"/>
        <v>12.563726332635651</v>
      </c>
      <c r="F1808" s="6">
        <f t="shared" si="459"/>
        <v>4.0899795501022499E-3</v>
      </c>
      <c r="G1808" s="12">
        <f t="shared" si="461"/>
        <v>-0.10972633263565079</v>
      </c>
    </row>
    <row r="1809" spans="1:18" x14ac:dyDescent="0.3">
      <c r="A1809" s="11" t="s">
        <v>1715</v>
      </c>
      <c r="B1809" s="7">
        <v>32600</v>
      </c>
      <c r="C1809" s="7">
        <v>12.513</v>
      </c>
      <c r="D1809" s="2">
        <f t="shared" si="462"/>
        <v>5.8999999999999275E-2</v>
      </c>
      <c r="E1809" s="8">
        <f t="shared" si="460"/>
        <v>12.559636353085549</v>
      </c>
      <c r="F1809" s="6">
        <f t="shared" si="459"/>
        <v>4.0899795501022499E-3</v>
      </c>
      <c r="G1809" s="12">
        <f t="shared" si="461"/>
        <v>-4.6636353085549587E-2</v>
      </c>
    </row>
    <row r="1810" spans="1:18" x14ac:dyDescent="0.3">
      <c r="A1810" s="11" t="s">
        <v>1716</v>
      </c>
      <c r="B1810" s="7">
        <v>32620</v>
      </c>
      <c r="C1810" s="7">
        <v>12.537000000000001</v>
      </c>
      <c r="D1810" s="2">
        <f t="shared" si="462"/>
        <v>2.4000000000000909E-2</v>
      </c>
      <c r="E1810" s="8">
        <f t="shared" si="460"/>
        <v>12.555546373535448</v>
      </c>
      <c r="F1810" s="6">
        <f t="shared" si="459"/>
        <v>4.0899795501022499E-3</v>
      </c>
      <c r="G1810" s="12">
        <f t="shared" si="461"/>
        <v>-1.8546373535446747E-2</v>
      </c>
    </row>
    <row r="1811" spans="1:18" x14ac:dyDescent="0.3">
      <c r="A1811" s="11" t="s">
        <v>1717</v>
      </c>
      <c r="B1811" s="7">
        <v>32640</v>
      </c>
      <c r="C1811" s="7">
        <v>12.542</v>
      </c>
      <c r="D1811" s="2">
        <f t="shared" si="462"/>
        <v>4.9999999999990052E-3</v>
      </c>
      <c r="E1811" s="8">
        <f t="shared" si="460"/>
        <v>12.551456393985346</v>
      </c>
      <c r="F1811" s="6">
        <f t="shared" si="459"/>
        <v>4.0899795501022499E-3</v>
      </c>
      <c r="G1811" s="12">
        <f t="shared" si="461"/>
        <v>-9.4563939853458123E-3</v>
      </c>
    </row>
    <row r="1812" spans="1:18" x14ac:dyDescent="0.3">
      <c r="A1812" s="11" t="s">
        <v>1718</v>
      </c>
      <c r="B1812" s="7">
        <v>32660</v>
      </c>
      <c r="C1812" s="7">
        <v>12.548</v>
      </c>
      <c r="D1812" s="2">
        <f t="shared" si="462"/>
        <v>6.0000000000002274E-3</v>
      </c>
      <c r="E1812" s="8">
        <f t="shared" si="460"/>
        <v>12.547366414435244</v>
      </c>
      <c r="F1812" s="6">
        <f t="shared" si="459"/>
        <v>4.0899795501022499E-3</v>
      </c>
      <c r="G1812" s="12">
        <f t="shared" si="461"/>
        <v>6.3358556475634487E-4</v>
      </c>
    </row>
    <row r="1813" spans="1:18" x14ac:dyDescent="0.3">
      <c r="A1813" s="11" t="s">
        <v>1719</v>
      </c>
      <c r="B1813" s="7">
        <v>32680</v>
      </c>
      <c r="C1813" s="7">
        <v>12.545999999999999</v>
      </c>
      <c r="D1813" s="2">
        <f t="shared" si="462"/>
        <v>-2.0000000000006679E-3</v>
      </c>
      <c r="E1813" s="8">
        <f t="shared" ref="E1813:E1816" si="465">E1812-F1812</f>
        <v>12.543276434885142</v>
      </c>
      <c r="F1813" s="6">
        <f t="shared" si="459"/>
        <v>4.0899795501022499E-3</v>
      </c>
      <c r="G1813" s="12">
        <f t="shared" ref="G1813:G1823" si="466">C1813-E1813</f>
        <v>2.7235651148576068E-3</v>
      </c>
    </row>
    <row r="1814" spans="1:18" x14ac:dyDescent="0.3">
      <c r="A1814" s="11" t="s">
        <v>1720</v>
      </c>
      <c r="B1814" s="7">
        <v>32700</v>
      </c>
      <c r="C1814" s="7">
        <v>12.577</v>
      </c>
      <c r="D1814" s="2">
        <f t="shared" si="462"/>
        <v>3.1000000000000583E-2</v>
      </c>
      <c r="E1814" s="8">
        <f t="shared" si="465"/>
        <v>12.53918645533504</v>
      </c>
      <c r="F1814" s="6">
        <f t="shared" si="459"/>
        <v>4.0899795501022499E-3</v>
      </c>
      <c r="G1814" s="12">
        <f t="shared" si="466"/>
        <v>3.7813544664960119E-2</v>
      </c>
    </row>
    <row r="1815" spans="1:18" x14ac:dyDescent="0.3">
      <c r="A1815" s="11" t="s">
        <v>1721</v>
      </c>
      <c r="B1815" s="7">
        <v>32720</v>
      </c>
      <c r="C1815" s="7">
        <v>12.529</v>
      </c>
      <c r="D1815" s="2">
        <f t="shared" si="462"/>
        <v>-4.8000000000000043E-2</v>
      </c>
      <c r="E1815" s="8">
        <f t="shared" si="465"/>
        <v>12.535096475784938</v>
      </c>
      <c r="F1815" s="6">
        <f t="shared" si="459"/>
        <v>4.0899795501022499E-3</v>
      </c>
      <c r="G1815" s="12">
        <f t="shared" si="466"/>
        <v>-6.0964757849379936E-3</v>
      </c>
    </row>
    <row r="1816" spans="1:18" x14ac:dyDescent="0.3">
      <c r="A1816" s="11" t="s">
        <v>1722</v>
      </c>
      <c r="B1816" s="7">
        <v>32740</v>
      </c>
      <c r="C1816" s="7">
        <v>12.531000000000001</v>
      </c>
      <c r="D1816" s="2">
        <f t="shared" si="462"/>
        <v>2.0000000000006679E-3</v>
      </c>
      <c r="E1816" s="8">
        <f t="shared" si="465"/>
        <v>12.531006496234836</v>
      </c>
      <c r="F1816" s="6">
        <f t="shared" si="459"/>
        <v>4.0899795501022499E-3</v>
      </c>
      <c r="G1816" s="12">
        <f t="shared" si="466"/>
        <v>-6.4962348353958532E-6</v>
      </c>
    </row>
    <row r="1817" spans="1:18" x14ac:dyDescent="0.3">
      <c r="A1817" s="21"/>
      <c r="B1817" s="22"/>
      <c r="C1817" s="22"/>
      <c r="D1817" s="22"/>
      <c r="E1817" s="22"/>
      <c r="F1817" s="22"/>
      <c r="G1817" s="23"/>
      <c r="H1817" s="4" t="s">
        <v>24</v>
      </c>
      <c r="J1817" s="4"/>
      <c r="O1817" s="3">
        <f>1/O1818</f>
        <v>1.0416666666666667E-3</v>
      </c>
      <c r="P1817" s="3">
        <f>O1817*20</f>
        <v>2.0833333333333332E-2</v>
      </c>
      <c r="Q1817" s="3" t="s">
        <v>3202</v>
      </c>
      <c r="R1817" s="3">
        <v>960</v>
      </c>
    </row>
    <row r="1818" spans="1:18" x14ac:dyDescent="0.3">
      <c r="A1818" s="11" t="s">
        <v>1723</v>
      </c>
      <c r="B1818" s="7">
        <v>32760</v>
      </c>
      <c r="C1818" s="7">
        <v>12.548999999999999</v>
      </c>
      <c r="D1818" s="2">
        <f>C1818-C1816</f>
        <v>1.7999999999998906E-2</v>
      </c>
      <c r="E1818" s="8">
        <f>E1816+F1818</f>
        <v>12.55183982956817</v>
      </c>
      <c r="F1818" s="6">
        <f>P1817</f>
        <v>2.0833333333333332E-2</v>
      </c>
      <c r="G1818" s="12">
        <f>C1818-E1818</f>
        <v>-2.8398295681704155E-3</v>
      </c>
      <c r="H1818" s="3">
        <f>B1816</f>
        <v>32740</v>
      </c>
      <c r="I1818" s="3">
        <f>B1836</f>
        <v>33100</v>
      </c>
      <c r="J1818" s="3">
        <f>I1818-H1818</f>
        <v>360</v>
      </c>
      <c r="K1818" s="5">
        <f>E1816</f>
        <v>12.531006496234836</v>
      </c>
      <c r="L1818" s="3">
        <f>C1836</f>
        <v>12.906000000000001</v>
      </c>
      <c r="M1818" s="5">
        <f>L1818-K1818</f>
        <v>0.3749935037651646</v>
      </c>
      <c r="N1818" s="3">
        <f>J1818/M1818</f>
        <v>960.01663064927618</v>
      </c>
      <c r="O1818" s="3">
        <v>960</v>
      </c>
    </row>
    <row r="1819" spans="1:18" x14ac:dyDescent="0.3">
      <c r="A1819" s="11" t="s">
        <v>1724</v>
      </c>
      <c r="B1819" s="7">
        <v>32780</v>
      </c>
      <c r="C1819" s="7">
        <v>12.576000000000001</v>
      </c>
      <c r="D1819" s="2">
        <f t="shared" si="462"/>
        <v>2.7000000000001023E-2</v>
      </c>
      <c r="E1819" s="8">
        <f>E1818+F1818</f>
        <v>12.572673162901504</v>
      </c>
      <c r="F1819" s="6">
        <f t="shared" ref="F1819" si="467">F1818</f>
        <v>2.0833333333333332E-2</v>
      </c>
      <c r="G1819" s="12">
        <f t="shared" ref="G1819" si="468">C1819-E1819</f>
        <v>3.3268370984966822E-3</v>
      </c>
    </row>
    <row r="1820" spans="1:18" x14ac:dyDescent="0.3">
      <c r="A1820" s="11" t="s">
        <v>1725</v>
      </c>
      <c r="B1820" s="7">
        <v>32800</v>
      </c>
      <c r="C1820" s="7">
        <v>12.728</v>
      </c>
      <c r="D1820" s="2">
        <f>C1820-C1819</f>
        <v>0.15199999999999925</v>
      </c>
      <c r="E1820" s="8">
        <f t="shared" ref="E1820:E1836" si="469">E1819+F1819</f>
        <v>12.593506496234838</v>
      </c>
      <c r="F1820" s="6">
        <f>F1819</f>
        <v>2.0833333333333332E-2</v>
      </c>
      <c r="G1820" s="12">
        <f t="shared" si="466"/>
        <v>0.134493503765162</v>
      </c>
    </row>
    <row r="1821" spans="1:18" x14ac:dyDescent="0.3">
      <c r="A1821" s="11" t="s">
        <v>1726</v>
      </c>
      <c r="B1821" s="7">
        <v>32820</v>
      </c>
      <c r="C1821" s="7">
        <v>12.754</v>
      </c>
      <c r="D1821" s="2">
        <f t="shared" si="462"/>
        <v>2.5999999999999801E-2</v>
      </c>
      <c r="E1821" s="8">
        <f t="shared" si="469"/>
        <v>12.614339829568172</v>
      </c>
      <c r="F1821" s="6">
        <f t="shared" si="459"/>
        <v>2.0833333333333332E-2</v>
      </c>
      <c r="G1821" s="12">
        <f t="shared" si="466"/>
        <v>0.13966017043182788</v>
      </c>
    </row>
    <row r="1822" spans="1:18" x14ac:dyDescent="0.3">
      <c r="A1822" s="11" t="s">
        <v>1727</v>
      </c>
      <c r="B1822" s="7">
        <v>32840</v>
      </c>
      <c r="C1822" s="7">
        <v>12.763</v>
      </c>
      <c r="D1822" s="2">
        <f t="shared" si="462"/>
        <v>9.0000000000003411E-3</v>
      </c>
      <c r="E1822" s="8">
        <f t="shared" si="469"/>
        <v>12.635173162901506</v>
      </c>
      <c r="F1822" s="6">
        <f t="shared" si="459"/>
        <v>2.0833333333333332E-2</v>
      </c>
      <c r="G1822" s="12">
        <f t="shared" si="466"/>
        <v>0.12782683709849429</v>
      </c>
    </row>
    <row r="1823" spans="1:18" x14ac:dyDescent="0.3">
      <c r="A1823" s="11" t="s">
        <v>1728</v>
      </c>
      <c r="B1823" s="7">
        <v>32860</v>
      </c>
      <c r="C1823" s="7">
        <v>12.785</v>
      </c>
      <c r="D1823" s="2">
        <f t="shared" si="462"/>
        <v>2.2000000000000242E-2</v>
      </c>
      <c r="E1823" s="8">
        <f t="shared" si="469"/>
        <v>12.65600649623484</v>
      </c>
      <c r="F1823" s="6">
        <f t="shared" si="459"/>
        <v>2.0833333333333332E-2</v>
      </c>
      <c r="G1823" s="12">
        <f t="shared" si="466"/>
        <v>0.12899350376516061</v>
      </c>
    </row>
    <row r="1824" spans="1:18" x14ac:dyDescent="0.3">
      <c r="A1824" s="11" t="s">
        <v>1729</v>
      </c>
      <c r="B1824" s="7">
        <v>32880</v>
      </c>
      <c r="C1824" s="7">
        <v>12.811</v>
      </c>
      <c r="D1824" s="2">
        <f t="shared" si="462"/>
        <v>2.5999999999999801E-2</v>
      </c>
      <c r="E1824" s="8">
        <f t="shared" si="469"/>
        <v>12.676839829568173</v>
      </c>
      <c r="F1824" s="6">
        <f t="shared" si="459"/>
        <v>2.0833333333333332E-2</v>
      </c>
      <c r="G1824" s="12">
        <f t="shared" ref="G1824:G1853" si="470">C1824-E1824</f>
        <v>0.13416017043182649</v>
      </c>
    </row>
    <row r="1825" spans="1:18" x14ac:dyDescent="0.3">
      <c r="A1825" s="11" t="s">
        <v>1730</v>
      </c>
      <c r="B1825" s="7">
        <v>32900</v>
      </c>
      <c r="C1825" s="7">
        <v>12.805999999999999</v>
      </c>
      <c r="D1825" s="2">
        <f t="shared" si="462"/>
        <v>-5.0000000000007816E-3</v>
      </c>
      <c r="E1825" s="8">
        <f t="shared" si="469"/>
        <v>12.697673162901507</v>
      </c>
      <c r="F1825" s="6">
        <f t="shared" si="459"/>
        <v>2.0833333333333332E-2</v>
      </c>
      <c r="G1825" s="12">
        <f t="shared" si="470"/>
        <v>0.10832683709849178</v>
      </c>
    </row>
    <row r="1826" spans="1:18" x14ac:dyDescent="0.3">
      <c r="A1826" s="11" t="s">
        <v>1731</v>
      </c>
      <c r="B1826" s="7">
        <v>32920</v>
      </c>
      <c r="C1826" s="7">
        <v>12.785</v>
      </c>
      <c r="D1826" s="2">
        <f t="shared" si="462"/>
        <v>-2.0999999999999019E-2</v>
      </c>
      <c r="E1826" s="8">
        <f t="shared" si="469"/>
        <v>12.718506496234841</v>
      </c>
      <c r="F1826" s="6">
        <f t="shared" si="459"/>
        <v>2.0833333333333332E-2</v>
      </c>
      <c r="G1826" s="12">
        <f t="shared" si="470"/>
        <v>6.6493503765158835E-2</v>
      </c>
    </row>
    <row r="1827" spans="1:18" x14ac:dyDescent="0.3">
      <c r="A1827" s="11" t="s">
        <v>1732</v>
      </c>
      <c r="B1827" s="7">
        <v>32940</v>
      </c>
      <c r="C1827" s="7">
        <v>12.891999999999999</v>
      </c>
      <c r="D1827" s="2">
        <f t="shared" si="462"/>
        <v>0.10699999999999932</v>
      </c>
      <c r="E1827" s="8">
        <f t="shared" si="469"/>
        <v>12.739339829568175</v>
      </c>
      <c r="F1827" s="6">
        <f t="shared" ref="F1827:F1896" si="471">F1826</f>
        <v>2.0833333333333332E-2</v>
      </c>
      <c r="G1827" s="12">
        <f t="shared" si="470"/>
        <v>0.15266017043182423</v>
      </c>
    </row>
    <row r="1828" spans="1:18" x14ac:dyDescent="0.3">
      <c r="A1828" s="11" t="s">
        <v>1733</v>
      </c>
      <c r="B1828" s="7">
        <v>32960</v>
      </c>
      <c r="C1828" s="7">
        <v>12.853999999999999</v>
      </c>
      <c r="D1828" s="2">
        <f t="shared" si="462"/>
        <v>-3.8000000000000256E-2</v>
      </c>
      <c r="E1828" s="8">
        <f t="shared" si="469"/>
        <v>12.760173162901509</v>
      </c>
      <c r="F1828" s="6">
        <f t="shared" si="471"/>
        <v>2.0833333333333332E-2</v>
      </c>
      <c r="G1828" s="12">
        <f t="shared" si="470"/>
        <v>9.3826837098490046E-2</v>
      </c>
    </row>
    <row r="1829" spans="1:18" x14ac:dyDescent="0.3">
      <c r="A1829" s="13" t="s">
        <v>1734</v>
      </c>
      <c r="B1829" s="24"/>
      <c r="C1829" s="25"/>
      <c r="D1829" s="25"/>
      <c r="E1829" s="25"/>
      <c r="F1829" s="25"/>
      <c r="G1829" s="26"/>
    </row>
    <row r="1830" spans="1:18" x14ac:dyDescent="0.3">
      <c r="A1830" s="11" t="s">
        <v>1735</v>
      </c>
      <c r="B1830" s="7">
        <v>32980</v>
      </c>
      <c r="C1830" s="7">
        <v>12.789</v>
      </c>
      <c r="D1830" s="2">
        <f>C1830-C1828</f>
        <v>-6.4999999999999503E-2</v>
      </c>
      <c r="E1830" s="8">
        <f>E1828+F1828</f>
        <v>12.781006496234843</v>
      </c>
      <c r="F1830" s="6">
        <f>F1828</f>
        <v>2.0833333333333332E-2</v>
      </c>
      <c r="G1830" s="12">
        <f t="shared" si="470"/>
        <v>7.9935037651566176E-3</v>
      </c>
    </row>
    <row r="1831" spans="1:18" x14ac:dyDescent="0.3">
      <c r="A1831" s="11" t="s">
        <v>1736</v>
      </c>
      <c r="B1831" s="7">
        <v>33000</v>
      </c>
      <c r="C1831" s="7">
        <v>12.765000000000001</v>
      </c>
      <c r="D1831" s="2">
        <f t="shared" si="462"/>
        <v>-2.3999999999999133E-2</v>
      </c>
      <c r="E1831" s="8">
        <f t="shared" si="469"/>
        <v>12.801839829568177</v>
      </c>
      <c r="F1831" s="6">
        <f t="shared" si="471"/>
        <v>2.0833333333333332E-2</v>
      </c>
      <c r="G1831" s="12">
        <f t="shared" si="470"/>
        <v>-3.6839829568176441E-2</v>
      </c>
    </row>
    <row r="1832" spans="1:18" x14ac:dyDescent="0.3">
      <c r="A1832" s="11" t="s">
        <v>1737</v>
      </c>
      <c r="B1832" s="7">
        <v>33020</v>
      </c>
      <c r="C1832" s="7">
        <v>12.760999999999999</v>
      </c>
      <c r="D1832" s="2">
        <f t="shared" si="462"/>
        <v>-4.0000000000013358E-3</v>
      </c>
      <c r="E1832" s="8">
        <f t="shared" si="469"/>
        <v>12.822673162901511</v>
      </c>
      <c r="F1832" s="6">
        <f t="shared" si="471"/>
        <v>2.0833333333333332E-2</v>
      </c>
      <c r="G1832" s="12">
        <f t="shared" si="470"/>
        <v>-6.1673162901511702E-2</v>
      </c>
    </row>
    <row r="1833" spans="1:18" x14ac:dyDescent="0.3">
      <c r="A1833" s="11" t="s">
        <v>1738</v>
      </c>
      <c r="B1833" s="7">
        <v>33040</v>
      </c>
      <c r="C1833" s="7">
        <v>12.773</v>
      </c>
      <c r="D1833" s="2">
        <f t="shared" si="462"/>
        <v>1.2000000000000455E-2</v>
      </c>
      <c r="E1833" s="8">
        <f t="shared" si="469"/>
        <v>12.843506496234845</v>
      </c>
      <c r="F1833" s="6">
        <f t="shared" si="471"/>
        <v>2.0833333333333332E-2</v>
      </c>
      <c r="G1833" s="12">
        <f t="shared" si="470"/>
        <v>-7.0506496234845173E-2</v>
      </c>
    </row>
    <row r="1834" spans="1:18" x14ac:dyDescent="0.3">
      <c r="A1834" s="11" t="s">
        <v>1739</v>
      </c>
      <c r="B1834" s="7">
        <v>33060</v>
      </c>
      <c r="C1834" s="7">
        <v>12.875999999999999</v>
      </c>
      <c r="D1834" s="2">
        <f t="shared" si="462"/>
        <v>0.10299999999999976</v>
      </c>
      <c r="E1834" s="8">
        <f t="shared" si="469"/>
        <v>12.864339829568179</v>
      </c>
      <c r="F1834" s="6">
        <f t="shared" si="471"/>
        <v>2.0833333333333332E-2</v>
      </c>
      <c r="G1834" s="12">
        <f t="shared" si="470"/>
        <v>1.166017043182066E-2</v>
      </c>
    </row>
    <row r="1835" spans="1:18" x14ac:dyDescent="0.3">
      <c r="A1835" s="11" t="s">
        <v>1740</v>
      </c>
      <c r="B1835" s="7">
        <v>33080</v>
      </c>
      <c r="C1835" s="7">
        <v>12.914999999999999</v>
      </c>
      <c r="D1835" s="2">
        <f t="shared" si="462"/>
        <v>3.8999999999999702E-2</v>
      </c>
      <c r="E1835" s="8">
        <f t="shared" si="469"/>
        <v>12.885173162901513</v>
      </c>
      <c r="F1835" s="6">
        <f t="shared" si="471"/>
        <v>2.0833333333333332E-2</v>
      </c>
      <c r="G1835" s="12">
        <f t="shared" si="470"/>
        <v>2.9826837098486436E-2</v>
      </c>
    </row>
    <row r="1836" spans="1:18" x14ac:dyDescent="0.3">
      <c r="A1836" s="11" t="s">
        <v>1741</v>
      </c>
      <c r="B1836" s="7">
        <v>33100</v>
      </c>
      <c r="C1836" s="7">
        <v>12.906000000000001</v>
      </c>
      <c r="D1836" s="2">
        <f t="shared" si="462"/>
        <v>-8.9999999999985647E-3</v>
      </c>
      <c r="E1836" s="8">
        <f t="shared" si="469"/>
        <v>12.906006496234847</v>
      </c>
      <c r="F1836" s="6">
        <f t="shared" si="471"/>
        <v>2.0833333333333332E-2</v>
      </c>
      <c r="G1836" s="12">
        <f t="shared" si="470"/>
        <v>-6.4962348460539943E-6</v>
      </c>
    </row>
    <row r="1837" spans="1:18" x14ac:dyDescent="0.3">
      <c r="A1837" s="21"/>
      <c r="B1837" s="22"/>
      <c r="C1837" s="22"/>
      <c r="D1837" s="22"/>
      <c r="E1837" s="22"/>
      <c r="F1837" s="22"/>
      <c r="G1837" s="23"/>
      <c r="H1837" s="4" t="s">
        <v>3491</v>
      </c>
      <c r="J1837" s="4"/>
      <c r="O1837" s="3">
        <f>1/O1838</f>
        <v>2.8835063437139563E-4</v>
      </c>
      <c r="P1837" s="3">
        <f>O1837*20</f>
        <v>5.7670126874279125E-3</v>
      </c>
      <c r="Q1837" s="3" t="s">
        <v>3200</v>
      </c>
      <c r="R1837" s="3">
        <v>3468</v>
      </c>
    </row>
    <row r="1838" spans="1:18" x14ac:dyDescent="0.3">
      <c r="A1838" s="11" t="s">
        <v>1742</v>
      </c>
      <c r="B1838" s="7">
        <v>33120</v>
      </c>
      <c r="C1838" s="7">
        <v>12.849</v>
      </c>
      <c r="D1838" s="2">
        <f>C1838-C1836</f>
        <v>-5.7000000000000384E-2</v>
      </c>
      <c r="E1838" s="8">
        <f>E1836-F1838</f>
        <v>12.900239483547418</v>
      </c>
      <c r="F1838" s="6">
        <f>P1837</f>
        <v>5.7670126874279125E-3</v>
      </c>
      <c r="G1838" s="12">
        <f>C1838-E1838</f>
        <v>-5.1239483547417919E-2</v>
      </c>
      <c r="H1838" s="3">
        <f>B1836</f>
        <v>33100</v>
      </c>
      <c r="I1838" s="3">
        <f>B1871</f>
        <v>33700</v>
      </c>
      <c r="J1838" s="3">
        <f>I1838-H1838</f>
        <v>600</v>
      </c>
      <c r="K1838" s="5">
        <f>E1836</f>
        <v>12.906006496234847</v>
      </c>
      <c r="L1838" s="3">
        <f>C1871</f>
        <v>12.733000000000001</v>
      </c>
      <c r="M1838" s="5">
        <f>L1838-K1838</f>
        <v>-0.1730064962348461</v>
      </c>
      <c r="N1838" s="3">
        <f>J1838/M1838</f>
        <v>-3468.0778644608549</v>
      </c>
      <c r="O1838" s="3">
        <v>3468</v>
      </c>
    </row>
    <row r="1839" spans="1:18" x14ac:dyDescent="0.3">
      <c r="A1839" s="11" t="s">
        <v>1743</v>
      </c>
      <c r="B1839" s="7">
        <v>33140</v>
      </c>
      <c r="C1839" s="7">
        <v>12.848000000000001</v>
      </c>
      <c r="D1839" s="2">
        <f t="shared" si="462"/>
        <v>-9.9999999999944578E-4</v>
      </c>
      <c r="E1839" s="8">
        <f>E1838-F1838</f>
        <v>12.89447247085999</v>
      </c>
      <c r="F1839" s="6">
        <f t="shared" ref="F1839" si="472">F1838</f>
        <v>5.7670126874279125E-3</v>
      </c>
      <c r="G1839" s="12">
        <f t="shared" ref="G1839" si="473">C1839-E1839</f>
        <v>-4.6472470859988846E-2</v>
      </c>
    </row>
    <row r="1840" spans="1:18" x14ac:dyDescent="0.3">
      <c r="A1840" s="11" t="s">
        <v>1744</v>
      </c>
      <c r="B1840" s="7">
        <v>33160</v>
      </c>
      <c r="C1840" s="7">
        <v>12.855</v>
      </c>
      <c r="D1840" s="2">
        <f t="shared" si="462"/>
        <v>6.9999999999996732E-3</v>
      </c>
      <c r="E1840" s="8">
        <f t="shared" ref="E1840:E1871" si="474">E1839-F1839</f>
        <v>12.888705458172561</v>
      </c>
      <c r="F1840" s="6">
        <f t="shared" si="471"/>
        <v>5.7670126874279125E-3</v>
      </c>
      <c r="G1840" s="12">
        <f t="shared" si="470"/>
        <v>-3.3705458172560654E-2</v>
      </c>
    </row>
    <row r="1841" spans="1:13" x14ac:dyDescent="0.3">
      <c r="A1841" s="11" t="s">
        <v>1745</v>
      </c>
      <c r="B1841" s="7">
        <v>33180</v>
      </c>
      <c r="C1841" s="7">
        <v>12.851000000000001</v>
      </c>
      <c r="D1841" s="2">
        <f t="shared" si="462"/>
        <v>-3.9999999999995595E-3</v>
      </c>
      <c r="E1841" s="8">
        <f t="shared" si="474"/>
        <v>12.882938445485133</v>
      </c>
      <c r="F1841" s="6">
        <f t="shared" si="471"/>
        <v>5.7670126874279125E-3</v>
      </c>
      <c r="G1841" s="12">
        <f t="shared" si="470"/>
        <v>-3.1938445485131695E-2</v>
      </c>
    </row>
    <row r="1842" spans="1:13" x14ac:dyDescent="0.3">
      <c r="A1842" s="11" t="s">
        <v>1746</v>
      </c>
      <c r="B1842" s="7">
        <v>33200</v>
      </c>
      <c r="C1842" s="7">
        <v>12.87</v>
      </c>
      <c r="D1842" s="2">
        <f t="shared" si="462"/>
        <v>1.8999999999998352E-2</v>
      </c>
      <c r="E1842" s="8">
        <f t="shared" si="474"/>
        <v>12.877171432797704</v>
      </c>
      <c r="F1842" s="6">
        <f t="shared" si="471"/>
        <v>5.7670126874279125E-3</v>
      </c>
      <c r="G1842" s="12">
        <f t="shared" si="470"/>
        <v>-7.1714327977048242E-3</v>
      </c>
    </row>
    <row r="1843" spans="1:13" x14ac:dyDescent="0.3">
      <c r="A1843" s="11" t="s">
        <v>1747</v>
      </c>
      <c r="B1843" s="7">
        <v>33220</v>
      </c>
      <c r="C1843" s="7">
        <v>12.801</v>
      </c>
      <c r="D1843" s="2">
        <f t="shared" si="462"/>
        <v>-6.8999999999999062E-2</v>
      </c>
      <c r="E1843" s="8">
        <f t="shared" si="474"/>
        <v>12.871404420110276</v>
      </c>
      <c r="F1843" s="6">
        <f t="shared" si="471"/>
        <v>5.7670126874279125E-3</v>
      </c>
      <c r="G1843" s="12">
        <f t="shared" si="470"/>
        <v>-7.0404420110275368E-2</v>
      </c>
    </row>
    <row r="1844" spans="1:13" x14ac:dyDescent="0.3">
      <c r="A1844" s="11" t="s">
        <v>1748</v>
      </c>
      <c r="B1844" s="7">
        <v>33240</v>
      </c>
      <c r="C1844" s="7">
        <v>12.670999999999999</v>
      </c>
      <c r="D1844" s="2">
        <f t="shared" si="462"/>
        <v>-0.13000000000000078</v>
      </c>
      <c r="E1844" s="8">
        <f t="shared" si="474"/>
        <v>12.865637407422847</v>
      </c>
      <c r="F1844" s="6">
        <f t="shared" si="471"/>
        <v>5.7670126874279125E-3</v>
      </c>
      <c r="G1844" s="12">
        <f t="shared" si="470"/>
        <v>-0.19463740742284763</v>
      </c>
    </row>
    <row r="1845" spans="1:13" x14ac:dyDescent="0.3">
      <c r="A1845" s="11" t="s">
        <v>1749</v>
      </c>
      <c r="B1845" s="7">
        <v>33260</v>
      </c>
      <c r="C1845" s="7">
        <v>12.664</v>
      </c>
      <c r="D1845" s="2">
        <f t="shared" si="462"/>
        <v>-6.9999999999996732E-3</v>
      </c>
      <c r="E1845" s="8">
        <f t="shared" si="474"/>
        <v>12.859870394735418</v>
      </c>
      <c r="F1845" s="6">
        <f t="shared" si="471"/>
        <v>5.7670126874279125E-3</v>
      </c>
      <c r="G1845" s="12">
        <f t="shared" si="470"/>
        <v>-0.19587039473541878</v>
      </c>
    </row>
    <row r="1846" spans="1:13" x14ac:dyDescent="0.3">
      <c r="A1846" s="11" t="s">
        <v>1750</v>
      </c>
      <c r="B1846" s="7">
        <v>33280</v>
      </c>
      <c r="C1846" s="7">
        <v>12.692</v>
      </c>
      <c r="D1846" s="2">
        <f t="shared" si="462"/>
        <v>2.8000000000000469E-2</v>
      </c>
      <c r="E1846" s="8">
        <f t="shared" si="474"/>
        <v>12.85410338204799</v>
      </c>
      <c r="F1846" s="6">
        <f t="shared" si="471"/>
        <v>5.7670126874279125E-3</v>
      </c>
      <c r="G1846" s="12">
        <f t="shared" si="470"/>
        <v>-0.1621033820479898</v>
      </c>
    </row>
    <row r="1847" spans="1:13" x14ac:dyDescent="0.3">
      <c r="A1847" s="11" t="s">
        <v>1751</v>
      </c>
      <c r="B1847" s="7">
        <v>33300</v>
      </c>
      <c r="C1847" s="7">
        <v>12.714</v>
      </c>
      <c r="D1847" s="2">
        <f t="shared" si="462"/>
        <v>2.2000000000000242E-2</v>
      </c>
      <c r="E1847" s="8">
        <f t="shared" si="474"/>
        <v>12.848336369360561</v>
      </c>
      <c r="F1847" s="6">
        <f t="shared" si="471"/>
        <v>5.7670126874279125E-3</v>
      </c>
      <c r="G1847" s="12">
        <f t="shared" si="470"/>
        <v>-0.13433636936056104</v>
      </c>
    </row>
    <row r="1848" spans="1:13" x14ac:dyDescent="0.3">
      <c r="A1848" s="11" t="s">
        <v>1752</v>
      </c>
      <c r="B1848" s="7">
        <v>33320</v>
      </c>
      <c r="C1848" s="7">
        <v>12.747</v>
      </c>
      <c r="D1848" s="2">
        <f t="shared" ref="D1848:D1917" si="475">C1848-C1847</f>
        <v>3.2999999999999474E-2</v>
      </c>
      <c r="E1848" s="8">
        <f t="shared" si="474"/>
        <v>12.842569356673133</v>
      </c>
      <c r="F1848" s="6">
        <f t="shared" si="471"/>
        <v>5.7670126874279125E-3</v>
      </c>
      <c r="G1848" s="12">
        <f t="shared" si="470"/>
        <v>-9.5569356673133044E-2</v>
      </c>
    </row>
    <row r="1849" spans="1:13" x14ac:dyDescent="0.3">
      <c r="A1849" s="11" t="s">
        <v>1753</v>
      </c>
      <c r="B1849" s="7">
        <v>33340</v>
      </c>
      <c r="C1849" s="7">
        <v>12.775</v>
      </c>
      <c r="D1849" s="2">
        <f t="shared" si="475"/>
        <v>2.8000000000000469E-2</v>
      </c>
      <c r="E1849" s="8">
        <f t="shared" si="474"/>
        <v>12.836802343985704</v>
      </c>
      <c r="F1849" s="6">
        <f t="shared" si="471"/>
        <v>5.7670126874279125E-3</v>
      </c>
      <c r="G1849" s="12">
        <f t="shared" si="470"/>
        <v>-6.1802343985704056E-2</v>
      </c>
    </row>
    <row r="1850" spans="1:13" x14ac:dyDescent="0.3">
      <c r="A1850" s="11" t="s">
        <v>1754</v>
      </c>
      <c r="B1850" s="7">
        <v>33360</v>
      </c>
      <c r="C1850" s="7">
        <v>12.763</v>
      </c>
      <c r="D1850" s="2">
        <f t="shared" si="475"/>
        <v>-1.2000000000000455E-2</v>
      </c>
      <c r="E1850" s="8">
        <f t="shared" si="474"/>
        <v>12.831035331298276</v>
      </c>
      <c r="F1850" s="6">
        <f t="shared" si="471"/>
        <v>5.7670126874279125E-3</v>
      </c>
      <c r="G1850" s="12">
        <f t="shared" si="470"/>
        <v>-6.8035331298275992E-2</v>
      </c>
    </row>
    <row r="1851" spans="1:13" x14ac:dyDescent="0.3">
      <c r="A1851" s="11" t="s">
        <v>3432</v>
      </c>
      <c r="B1851" s="70" t="s">
        <v>3433</v>
      </c>
      <c r="C1851" s="7"/>
      <c r="D1851" s="2"/>
      <c r="E1851" s="8"/>
      <c r="F1851" s="6"/>
      <c r="G1851" s="12"/>
    </row>
    <row r="1852" spans="1:13" x14ac:dyDescent="0.3">
      <c r="A1852" s="11" t="s">
        <v>3435</v>
      </c>
      <c r="B1852" s="70" t="s">
        <v>3434</v>
      </c>
      <c r="C1852" s="7"/>
      <c r="D1852" s="2"/>
      <c r="E1852" s="8"/>
      <c r="F1852" s="6"/>
      <c r="G1852" s="12"/>
    </row>
    <row r="1853" spans="1:13" x14ac:dyDescent="0.3">
      <c r="A1853" s="11" t="s">
        <v>1755</v>
      </c>
      <c r="B1853" s="7">
        <v>33380</v>
      </c>
      <c r="C1853" s="7">
        <v>12.76</v>
      </c>
      <c r="D1853" s="2">
        <f>C1853-C1850</f>
        <v>-3.0000000000001137E-3</v>
      </c>
      <c r="E1853" s="8">
        <f>E1850-F1850</f>
        <v>12.825268318610847</v>
      </c>
      <c r="F1853" s="6">
        <f>F1850</f>
        <v>5.7670126874279125E-3</v>
      </c>
      <c r="G1853" s="12">
        <f t="shared" si="470"/>
        <v>-6.5268318610847587E-2</v>
      </c>
    </row>
    <row r="1854" spans="1:13" x14ac:dyDescent="0.3">
      <c r="A1854" s="11" t="s">
        <v>1756</v>
      </c>
      <c r="B1854" s="7">
        <v>33400</v>
      </c>
      <c r="C1854" s="7">
        <v>12.779</v>
      </c>
      <c r="D1854" s="2">
        <f>C1854-C1853</f>
        <v>1.9000000000000128E-2</v>
      </c>
      <c r="E1854" s="8">
        <f t="shared" si="474"/>
        <v>12.819501305923419</v>
      </c>
      <c r="F1854" s="6">
        <f>F1853</f>
        <v>5.7670126874279125E-3</v>
      </c>
      <c r="G1854" s="12">
        <f>C1854-E1854</f>
        <v>-4.050130592341894E-2</v>
      </c>
      <c r="K1854" s="5"/>
      <c r="M1854" s="5"/>
    </row>
    <row r="1855" spans="1:13" x14ac:dyDescent="0.3">
      <c r="A1855" s="11" t="s">
        <v>1757</v>
      </c>
      <c r="B1855" s="7">
        <v>33420</v>
      </c>
      <c r="C1855" s="7">
        <v>12.781000000000001</v>
      </c>
      <c r="D1855" s="2">
        <f t="shared" si="475"/>
        <v>2.0000000000006679E-3</v>
      </c>
      <c r="E1855" s="8">
        <f t="shared" si="474"/>
        <v>12.81373429323599</v>
      </c>
      <c r="F1855" s="6">
        <f t="shared" ref="F1855" si="476">F1854</f>
        <v>5.7670126874279125E-3</v>
      </c>
      <c r="G1855" s="12">
        <f t="shared" ref="G1855" si="477">C1855-E1855</f>
        <v>-3.2734293235989753E-2</v>
      </c>
    </row>
    <row r="1856" spans="1:13" x14ac:dyDescent="0.3">
      <c r="A1856" s="11" t="s">
        <v>1758</v>
      </c>
      <c r="B1856" s="7">
        <v>33440</v>
      </c>
      <c r="C1856" s="7">
        <v>12.852</v>
      </c>
      <c r="D1856" s="2">
        <f t="shared" si="475"/>
        <v>7.099999999999973E-2</v>
      </c>
      <c r="E1856" s="8">
        <f t="shared" si="474"/>
        <v>12.807967280548562</v>
      </c>
      <c r="F1856" s="6">
        <f t="shared" si="471"/>
        <v>5.7670126874279125E-3</v>
      </c>
      <c r="G1856" s="12">
        <f t="shared" ref="G1856:G1871" si="478">C1856-E1856</f>
        <v>4.4032719451438496E-2</v>
      </c>
    </row>
    <row r="1857" spans="1:18" x14ac:dyDescent="0.3">
      <c r="A1857" s="11" t="s">
        <v>1759</v>
      </c>
      <c r="B1857" s="7">
        <v>33460</v>
      </c>
      <c r="C1857" s="7">
        <v>12.837999999999999</v>
      </c>
      <c r="D1857" s="2">
        <f t="shared" si="475"/>
        <v>-1.4000000000001123E-2</v>
      </c>
      <c r="E1857" s="8">
        <f t="shared" si="474"/>
        <v>12.802200267861133</v>
      </c>
      <c r="F1857" s="6">
        <f t="shared" si="471"/>
        <v>5.7670126874279125E-3</v>
      </c>
      <c r="G1857" s="12">
        <f t="shared" si="478"/>
        <v>3.5799732138865892E-2</v>
      </c>
    </row>
    <row r="1858" spans="1:18" x14ac:dyDescent="0.3">
      <c r="A1858" s="11" t="s">
        <v>1760</v>
      </c>
      <c r="B1858" s="7">
        <v>33480</v>
      </c>
      <c r="C1858" s="7">
        <v>12.776999999999999</v>
      </c>
      <c r="D1858" s="2">
        <f t="shared" si="475"/>
        <v>-6.0999999999999943E-2</v>
      </c>
      <c r="E1858" s="8">
        <f t="shared" si="474"/>
        <v>12.796433255173705</v>
      </c>
      <c r="F1858" s="6">
        <f t="shared" si="471"/>
        <v>5.7670126874279125E-3</v>
      </c>
      <c r="G1858" s="12">
        <f t="shared" si="478"/>
        <v>-1.9433255173705533E-2</v>
      </c>
    </row>
    <row r="1859" spans="1:18" x14ac:dyDescent="0.3">
      <c r="A1859" s="11" t="s">
        <v>1761</v>
      </c>
      <c r="B1859" s="7">
        <v>33500</v>
      </c>
      <c r="C1859" s="7">
        <v>12.763999999999999</v>
      </c>
      <c r="D1859" s="2">
        <f t="shared" si="475"/>
        <v>-1.2999999999999901E-2</v>
      </c>
      <c r="E1859" s="8">
        <f t="shared" si="474"/>
        <v>12.790666242486276</v>
      </c>
      <c r="F1859" s="6">
        <f t="shared" si="471"/>
        <v>5.7670126874279125E-3</v>
      </c>
      <c r="G1859" s="12">
        <f t="shared" si="478"/>
        <v>-2.6666242486276914E-2</v>
      </c>
    </row>
    <row r="1860" spans="1:18" x14ac:dyDescent="0.3">
      <c r="A1860" s="11" t="s">
        <v>1762</v>
      </c>
      <c r="B1860" s="7">
        <v>33520</v>
      </c>
      <c r="C1860" s="7">
        <v>12.744999999999999</v>
      </c>
      <c r="D1860" s="2">
        <f t="shared" si="475"/>
        <v>-1.9000000000000128E-2</v>
      </c>
      <c r="E1860" s="8">
        <f t="shared" si="474"/>
        <v>12.784899229798848</v>
      </c>
      <c r="F1860" s="6">
        <f t="shared" si="471"/>
        <v>5.7670126874279125E-3</v>
      </c>
      <c r="G1860" s="12">
        <f t="shared" si="478"/>
        <v>-3.9899229798848523E-2</v>
      </c>
    </row>
    <row r="1861" spans="1:18" x14ac:dyDescent="0.3">
      <c r="A1861" s="11" t="s">
        <v>1763</v>
      </c>
      <c r="B1861" s="7">
        <v>33540</v>
      </c>
      <c r="C1861" s="7">
        <v>12.731</v>
      </c>
      <c r="D1861" s="2">
        <f t="shared" si="475"/>
        <v>-1.3999999999999346E-2</v>
      </c>
      <c r="E1861" s="8">
        <f t="shared" si="474"/>
        <v>12.779132217111419</v>
      </c>
      <c r="F1861" s="6">
        <f t="shared" si="471"/>
        <v>5.7670126874279125E-3</v>
      </c>
      <c r="G1861" s="12">
        <f t="shared" si="478"/>
        <v>-4.8132217111419351E-2</v>
      </c>
    </row>
    <row r="1862" spans="1:18" x14ac:dyDescent="0.3">
      <c r="A1862" s="11" t="s">
        <v>1764</v>
      </c>
      <c r="B1862" s="7">
        <v>33560</v>
      </c>
      <c r="C1862" s="7">
        <v>12.715</v>
      </c>
      <c r="D1862" s="2">
        <f t="shared" si="475"/>
        <v>-1.6000000000000014E-2</v>
      </c>
      <c r="E1862" s="8">
        <f t="shared" si="474"/>
        <v>12.773365204423991</v>
      </c>
      <c r="F1862" s="6">
        <f t="shared" si="471"/>
        <v>5.7670126874279125E-3</v>
      </c>
      <c r="G1862" s="12">
        <f t="shared" si="478"/>
        <v>-5.8365204423990846E-2</v>
      </c>
    </row>
    <row r="1863" spans="1:18" x14ac:dyDescent="0.3">
      <c r="A1863" s="11" t="s">
        <v>1765</v>
      </c>
      <c r="B1863" s="7">
        <v>33580</v>
      </c>
      <c r="C1863" s="7">
        <v>12.693</v>
      </c>
      <c r="D1863" s="2">
        <f t="shared" si="475"/>
        <v>-2.2000000000000242E-2</v>
      </c>
      <c r="E1863" s="8">
        <f t="shared" si="474"/>
        <v>12.767598191736562</v>
      </c>
      <c r="F1863" s="6">
        <f t="shared" si="471"/>
        <v>5.7670126874279125E-3</v>
      </c>
      <c r="G1863" s="12">
        <f t="shared" si="478"/>
        <v>-7.4598191736562569E-2</v>
      </c>
    </row>
    <row r="1864" spans="1:18" x14ac:dyDescent="0.3">
      <c r="A1864" s="11" t="s">
        <v>1766</v>
      </c>
      <c r="B1864" s="7">
        <v>33600</v>
      </c>
      <c r="C1864" s="7">
        <v>12.677</v>
      </c>
      <c r="D1864" s="2">
        <f t="shared" si="475"/>
        <v>-1.6000000000000014E-2</v>
      </c>
      <c r="E1864" s="8">
        <f t="shared" si="474"/>
        <v>12.761831179049134</v>
      </c>
      <c r="F1864" s="6">
        <f t="shared" si="471"/>
        <v>5.7670126874279125E-3</v>
      </c>
      <c r="G1864" s="12">
        <f t="shared" si="478"/>
        <v>-8.4831179049134064E-2</v>
      </c>
    </row>
    <row r="1865" spans="1:18" x14ac:dyDescent="0.3">
      <c r="A1865" s="11" t="s">
        <v>3436</v>
      </c>
      <c r="B1865" s="70" t="s">
        <v>3437</v>
      </c>
      <c r="C1865" s="7"/>
      <c r="D1865" s="2"/>
      <c r="E1865" s="8"/>
      <c r="F1865" s="6"/>
      <c r="G1865" s="12"/>
    </row>
    <row r="1866" spans="1:18" x14ac:dyDescent="0.3">
      <c r="A1866" s="11" t="s">
        <v>1767</v>
      </c>
      <c r="B1866" s="7">
        <v>33620</v>
      </c>
      <c r="C1866" s="7">
        <v>12.669</v>
      </c>
      <c r="D1866" s="2">
        <f>C1866-C1864</f>
        <v>-7.9999999999991189E-3</v>
      </c>
      <c r="E1866" s="8">
        <f>E1864-F1864</f>
        <v>12.756064166361705</v>
      </c>
      <c r="F1866" s="6">
        <f>F1864</f>
        <v>5.7670126874279125E-3</v>
      </c>
      <c r="G1866" s="12">
        <f t="shared" si="478"/>
        <v>-8.7064166361704665E-2</v>
      </c>
    </row>
    <row r="1867" spans="1:18" x14ac:dyDescent="0.3">
      <c r="A1867" s="11" t="s">
        <v>3438</v>
      </c>
      <c r="B1867" s="70" t="s">
        <v>3439</v>
      </c>
      <c r="C1867" s="7"/>
      <c r="D1867" s="2"/>
      <c r="E1867" s="8"/>
      <c r="F1867" s="6"/>
      <c r="G1867" s="12"/>
    </row>
    <row r="1868" spans="1:18" x14ac:dyDescent="0.3">
      <c r="A1868" s="11" t="s">
        <v>1768</v>
      </c>
      <c r="B1868" s="7">
        <v>33640</v>
      </c>
      <c r="C1868" s="7">
        <v>12.683999999999999</v>
      </c>
      <c r="D1868" s="2">
        <f>C1868-C1866</f>
        <v>1.4999999999998792E-2</v>
      </c>
      <c r="E1868" s="8">
        <f>E1866-F1866</f>
        <v>12.750297153674277</v>
      </c>
      <c r="F1868" s="6">
        <f>F1866</f>
        <v>5.7670126874279125E-3</v>
      </c>
      <c r="G1868" s="12">
        <f t="shared" si="478"/>
        <v>-6.6297153674277354E-2</v>
      </c>
    </row>
    <row r="1869" spans="1:18" x14ac:dyDescent="0.3">
      <c r="A1869" s="11" t="s">
        <v>1769</v>
      </c>
      <c r="B1869" s="7">
        <v>33660</v>
      </c>
      <c r="C1869" s="7">
        <v>12.692</v>
      </c>
      <c r="D1869" s="2">
        <f t="shared" si="475"/>
        <v>8.0000000000008953E-3</v>
      </c>
      <c r="E1869" s="8">
        <f t="shared" si="474"/>
        <v>12.744530140986848</v>
      </c>
      <c r="F1869" s="6">
        <f t="shared" si="471"/>
        <v>5.7670126874279125E-3</v>
      </c>
      <c r="G1869" s="12">
        <f t="shared" si="478"/>
        <v>-5.253014098684794E-2</v>
      </c>
    </row>
    <row r="1870" spans="1:18" x14ac:dyDescent="0.3">
      <c r="A1870" s="11" t="s">
        <v>1770</v>
      </c>
      <c r="B1870" s="7">
        <v>33680</v>
      </c>
      <c r="C1870" s="7">
        <v>12.715</v>
      </c>
      <c r="D1870" s="2">
        <f t="shared" si="475"/>
        <v>2.2999999999999687E-2</v>
      </c>
      <c r="E1870" s="8">
        <f t="shared" si="474"/>
        <v>12.73876312829942</v>
      </c>
      <c r="F1870" s="6">
        <f t="shared" si="471"/>
        <v>5.7670126874279125E-3</v>
      </c>
      <c r="G1870" s="12">
        <f t="shared" si="478"/>
        <v>-2.3763128299419733E-2</v>
      </c>
    </row>
    <row r="1871" spans="1:18" x14ac:dyDescent="0.3">
      <c r="A1871" s="11" t="s">
        <v>1771</v>
      </c>
      <c r="B1871" s="7">
        <v>33700</v>
      </c>
      <c r="C1871" s="7">
        <v>12.733000000000001</v>
      </c>
      <c r="D1871" s="2">
        <f t="shared" si="475"/>
        <v>1.8000000000000682E-2</v>
      </c>
      <c r="E1871" s="8">
        <f t="shared" si="474"/>
        <v>12.732996115611991</v>
      </c>
      <c r="F1871" s="6">
        <f t="shared" si="471"/>
        <v>5.7670126874279125E-3</v>
      </c>
      <c r="G1871" s="12">
        <f t="shared" si="478"/>
        <v>3.8843880094674432E-6</v>
      </c>
    </row>
    <row r="1872" spans="1:18" x14ac:dyDescent="0.3">
      <c r="A1872" s="21"/>
      <c r="B1872" s="22"/>
      <c r="C1872" s="22"/>
      <c r="D1872" s="22"/>
      <c r="E1872" s="22"/>
      <c r="F1872" s="22"/>
      <c r="G1872" s="23"/>
      <c r="H1872" s="4" t="s">
        <v>3163</v>
      </c>
      <c r="J1872" s="4"/>
      <c r="O1872" s="3">
        <f>1/O1873</f>
        <v>1.4289592889498577E-5</v>
      </c>
      <c r="P1872" s="3">
        <f>O1872*20</f>
        <v>2.8579185778997157E-4</v>
      </c>
      <c r="Q1872" s="3" t="s">
        <v>3163</v>
      </c>
      <c r="R1872" s="3">
        <v>69981</v>
      </c>
    </row>
    <row r="1873" spans="1:15" x14ac:dyDescent="0.3">
      <c r="A1873" s="11" t="s">
        <v>1772</v>
      </c>
      <c r="B1873" s="7">
        <v>33720</v>
      </c>
      <c r="C1873" s="7">
        <v>12.76</v>
      </c>
      <c r="D1873" s="2">
        <f>C1873-C1871</f>
        <v>2.6999999999999247E-2</v>
      </c>
      <c r="E1873" s="8">
        <f>E1871+F1873</f>
        <v>12.733281907469781</v>
      </c>
      <c r="F1873" s="6">
        <f>P1872</f>
        <v>2.8579185778997157E-4</v>
      </c>
      <c r="G1873" s="12">
        <f>C1873-E1873</f>
        <v>2.671809253021884E-2</v>
      </c>
      <c r="H1873" s="3">
        <f>B1871</f>
        <v>33700</v>
      </c>
      <c r="I1873" s="3">
        <f>B1922</f>
        <v>34680</v>
      </c>
      <c r="J1873" s="3">
        <f>I1873-H1873</f>
        <v>980</v>
      </c>
      <c r="K1873" s="5">
        <f>E1871</f>
        <v>12.732996115611991</v>
      </c>
      <c r="L1873" s="3">
        <f>C1922</f>
        <v>12.747</v>
      </c>
      <c r="M1873" s="5">
        <f>L1873-K1873</f>
        <v>1.4003884388008814E-2</v>
      </c>
      <c r="N1873" s="3">
        <f>J1873/M1873</f>
        <v>69980.583447200566</v>
      </c>
      <c r="O1873" s="3">
        <v>69981</v>
      </c>
    </row>
    <row r="1874" spans="1:15" x14ac:dyDescent="0.3">
      <c r="A1874" s="11" t="s">
        <v>1773</v>
      </c>
      <c r="B1874" s="7">
        <v>33740</v>
      </c>
      <c r="C1874" s="7">
        <v>12.782999999999999</v>
      </c>
      <c r="D1874" s="2">
        <f t="shared" si="475"/>
        <v>2.2999999999999687E-2</v>
      </c>
      <c r="E1874" s="8">
        <f>E1873+F1873</f>
        <v>12.733567699327571</v>
      </c>
      <c r="F1874" s="6">
        <f t="shared" ref="F1874" si="479">F1873</f>
        <v>2.8579185778997157E-4</v>
      </c>
      <c r="G1874" s="12">
        <f t="shared" ref="G1874" si="480">C1874-E1874</f>
        <v>4.9432300672428653E-2</v>
      </c>
    </row>
    <row r="1875" spans="1:15" x14ac:dyDescent="0.3">
      <c r="A1875" s="11" t="s">
        <v>1774</v>
      </c>
      <c r="B1875" s="7">
        <v>33760</v>
      </c>
      <c r="C1875" s="7">
        <v>12.808999999999999</v>
      </c>
      <c r="D1875" s="2">
        <f t="shared" si="475"/>
        <v>2.5999999999999801E-2</v>
      </c>
      <c r="E1875" s="8">
        <f>E1874+F1874</f>
        <v>12.733853491185361</v>
      </c>
      <c r="F1875" s="6">
        <f t="shared" si="471"/>
        <v>2.8579185778997157E-4</v>
      </c>
      <c r="G1875" s="12">
        <f t="shared" ref="G1875:G1883" si="481">C1875-E1875</f>
        <v>7.514650881463858E-2</v>
      </c>
    </row>
    <row r="1876" spans="1:15" x14ac:dyDescent="0.3">
      <c r="A1876" s="11" t="s">
        <v>1775</v>
      </c>
      <c r="B1876" s="7">
        <v>33780</v>
      </c>
      <c r="C1876" s="7">
        <v>12.851000000000001</v>
      </c>
      <c r="D1876" s="2">
        <f t="shared" si="475"/>
        <v>4.2000000000001592E-2</v>
      </c>
      <c r="E1876" s="8">
        <f t="shared" ref="E1876:E1885" si="482">E1875+F1875</f>
        <v>12.734139283043151</v>
      </c>
      <c r="F1876" s="6">
        <f t="shared" si="471"/>
        <v>2.8579185778997157E-4</v>
      </c>
      <c r="G1876" s="12">
        <f t="shared" si="481"/>
        <v>0.1168607169568503</v>
      </c>
    </row>
    <row r="1877" spans="1:15" x14ac:dyDescent="0.3">
      <c r="A1877" s="11" t="s">
        <v>1776</v>
      </c>
      <c r="B1877" s="7">
        <v>33800</v>
      </c>
      <c r="C1877" s="7">
        <v>12.866</v>
      </c>
      <c r="D1877" s="2">
        <f t="shared" si="475"/>
        <v>1.4999999999998792E-2</v>
      </c>
      <c r="E1877" s="8">
        <f t="shared" si="482"/>
        <v>12.73442507490094</v>
      </c>
      <c r="F1877" s="6">
        <f t="shared" si="471"/>
        <v>2.8579185778997157E-4</v>
      </c>
      <c r="G1877" s="12">
        <f t="shared" si="481"/>
        <v>0.13157492509905921</v>
      </c>
    </row>
    <row r="1878" spans="1:15" x14ac:dyDescent="0.3">
      <c r="A1878" s="11" t="s">
        <v>1777</v>
      </c>
      <c r="B1878" s="7">
        <v>33820</v>
      </c>
      <c r="C1878" s="7">
        <v>12.824</v>
      </c>
      <c r="D1878" s="2">
        <f t="shared" si="475"/>
        <v>-4.1999999999999815E-2</v>
      </c>
      <c r="E1878" s="8">
        <f t="shared" si="482"/>
        <v>12.73471086675873</v>
      </c>
      <c r="F1878" s="6">
        <f t="shared" si="471"/>
        <v>2.8579185778997157E-4</v>
      </c>
      <c r="G1878" s="12">
        <f t="shared" si="481"/>
        <v>8.9289133241269525E-2</v>
      </c>
    </row>
    <row r="1879" spans="1:15" x14ac:dyDescent="0.3">
      <c r="A1879" s="11" t="s">
        <v>1778</v>
      </c>
      <c r="B1879" s="7">
        <v>33840</v>
      </c>
      <c r="C1879" s="7">
        <v>12.792999999999999</v>
      </c>
      <c r="D1879" s="2">
        <f t="shared" si="475"/>
        <v>-3.1000000000000583E-2</v>
      </c>
      <c r="E1879" s="8">
        <f t="shared" si="482"/>
        <v>12.73499665861652</v>
      </c>
      <c r="F1879" s="6">
        <f t="shared" si="471"/>
        <v>2.8579185778997157E-4</v>
      </c>
      <c r="G1879" s="12">
        <f t="shared" si="481"/>
        <v>5.8003341383479068E-2</v>
      </c>
    </row>
    <row r="1880" spans="1:15" x14ac:dyDescent="0.3">
      <c r="A1880" s="11" t="s">
        <v>1779</v>
      </c>
      <c r="B1880" s="7">
        <v>33860</v>
      </c>
      <c r="C1880" s="7">
        <v>12.811</v>
      </c>
      <c r="D1880" s="2">
        <f t="shared" si="475"/>
        <v>1.8000000000000682E-2</v>
      </c>
      <c r="E1880" s="8">
        <f t="shared" si="482"/>
        <v>12.73528245047431</v>
      </c>
      <c r="F1880" s="6">
        <f t="shared" si="471"/>
        <v>2.8579185778997157E-4</v>
      </c>
      <c r="G1880" s="12">
        <f t="shared" si="481"/>
        <v>7.5717549525689876E-2</v>
      </c>
    </row>
    <row r="1881" spans="1:15" x14ac:dyDescent="0.3">
      <c r="A1881" s="11" t="s">
        <v>1780</v>
      </c>
      <c r="B1881" s="7">
        <v>33880</v>
      </c>
      <c r="C1881" s="7">
        <v>12.795</v>
      </c>
      <c r="D1881" s="2">
        <f t="shared" si="475"/>
        <v>-1.6000000000000014E-2</v>
      </c>
      <c r="E1881" s="8">
        <f t="shared" si="482"/>
        <v>12.7355682423321</v>
      </c>
      <c r="F1881" s="6">
        <f t="shared" si="471"/>
        <v>2.8579185778997157E-4</v>
      </c>
      <c r="G1881" s="12">
        <f t="shared" si="481"/>
        <v>5.9431757667899987E-2</v>
      </c>
    </row>
    <row r="1882" spans="1:15" x14ac:dyDescent="0.3">
      <c r="A1882" s="11" t="s">
        <v>1781</v>
      </c>
      <c r="B1882" s="7">
        <v>33900</v>
      </c>
      <c r="C1882" s="7">
        <v>12.766999999999999</v>
      </c>
      <c r="D1882" s="2">
        <f t="shared" si="475"/>
        <v>-2.8000000000000469E-2</v>
      </c>
      <c r="E1882" s="8">
        <f t="shared" si="482"/>
        <v>12.73585403418989</v>
      </c>
      <c r="F1882" s="6">
        <f t="shared" si="471"/>
        <v>2.8579185778997157E-4</v>
      </c>
      <c r="G1882" s="12">
        <f t="shared" si="481"/>
        <v>3.1145965810109644E-2</v>
      </c>
    </row>
    <row r="1883" spans="1:15" x14ac:dyDescent="0.3">
      <c r="A1883" s="11" t="s">
        <v>1782</v>
      </c>
      <c r="B1883" s="7">
        <v>33920</v>
      </c>
      <c r="C1883" s="7">
        <v>12.744999999999999</v>
      </c>
      <c r="D1883" s="2">
        <f t="shared" si="475"/>
        <v>-2.2000000000000242E-2</v>
      </c>
      <c r="E1883" s="8">
        <f t="shared" si="482"/>
        <v>12.73613982604768</v>
      </c>
      <c r="F1883" s="6">
        <f t="shared" si="471"/>
        <v>2.8579185778997157E-4</v>
      </c>
      <c r="G1883" s="12">
        <f t="shared" si="481"/>
        <v>8.8601739523195278E-3</v>
      </c>
    </row>
    <row r="1884" spans="1:15" x14ac:dyDescent="0.3">
      <c r="A1884" s="11" t="s">
        <v>1783</v>
      </c>
      <c r="B1884" s="7">
        <v>33940</v>
      </c>
      <c r="C1884" s="7">
        <v>12.74</v>
      </c>
      <c r="D1884" s="2">
        <f t="shared" si="475"/>
        <v>-4.9999999999990052E-3</v>
      </c>
      <c r="E1884" s="8">
        <f t="shared" si="482"/>
        <v>12.73642561790547</v>
      </c>
      <c r="F1884" s="6">
        <f t="shared" si="471"/>
        <v>2.8579185778997157E-4</v>
      </c>
      <c r="G1884" s="12">
        <f t="shared" ref="G1884:G1895" si="483">C1884-E1884</f>
        <v>3.5743820945306481E-3</v>
      </c>
    </row>
    <row r="1885" spans="1:15" x14ac:dyDescent="0.3">
      <c r="A1885" s="11" t="s">
        <v>1784</v>
      </c>
      <c r="B1885" s="7">
        <v>33960</v>
      </c>
      <c r="C1885" s="7">
        <v>12.750999999999999</v>
      </c>
      <c r="D1885" s="2">
        <f t="shared" si="475"/>
        <v>1.0999999999999233E-2</v>
      </c>
      <c r="E1885" s="8">
        <f t="shared" si="482"/>
        <v>12.736711409763259</v>
      </c>
      <c r="F1885" s="6">
        <f t="shared" si="471"/>
        <v>2.8579185778997157E-4</v>
      </c>
      <c r="G1885" s="12">
        <f t="shared" si="483"/>
        <v>1.4288590236740006E-2</v>
      </c>
    </row>
    <row r="1886" spans="1:15" x14ac:dyDescent="0.3">
      <c r="A1886" s="13" t="s">
        <v>1785</v>
      </c>
      <c r="B1886" s="24"/>
      <c r="C1886" s="25"/>
      <c r="D1886" s="25"/>
      <c r="E1886" s="25"/>
      <c r="F1886" s="25"/>
      <c r="G1886" s="26"/>
    </row>
    <row r="1887" spans="1:15" x14ac:dyDescent="0.3">
      <c r="A1887" s="11" t="s">
        <v>1786</v>
      </c>
      <c r="B1887" s="7">
        <v>33980</v>
      </c>
      <c r="C1887" s="7">
        <v>12.759</v>
      </c>
      <c r="D1887" s="2">
        <f>C1887-C1885</f>
        <v>8.0000000000008953E-3</v>
      </c>
      <c r="E1887" s="8">
        <f>E1885+F1885</f>
        <v>12.736997201621049</v>
      </c>
      <c r="F1887" s="6">
        <f>F1885</f>
        <v>2.8579185778997157E-4</v>
      </c>
      <c r="G1887" s="12">
        <f t="shared" si="483"/>
        <v>2.2002798378951027E-2</v>
      </c>
    </row>
    <row r="1888" spans="1:15" x14ac:dyDescent="0.3">
      <c r="A1888" s="11" t="s">
        <v>1787</v>
      </c>
      <c r="B1888" s="7">
        <v>34000</v>
      </c>
      <c r="C1888" s="7">
        <v>12.752000000000001</v>
      </c>
      <c r="D1888" s="2">
        <f t="shared" si="475"/>
        <v>-6.9999999999996732E-3</v>
      </c>
      <c r="E1888" s="8">
        <f>E1887+F1887</f>
        <v>12.737282993478839</v>
      </c>
      <c r="F1888" s="6">
        <f t="shared" si="471"/>
        <v>2.8579185778997157E-4</v>
      </c>
      <c r="G1888" s="12">
        <f t="shared" si="483"/>
        <v>1.471700652116148E-2</v>
      </c>
    </row>
    <row r="1889" spans="1:13" x14ac:dyDescent="0.3">
      <c r="A1889" s="11" t="s">
        <v>1788</v>
      </c>
      <c r="B1889" s="7">
        <v>34020</v>
      </c>
      <c r="C1889" s="7">
        <v>12.754</v>
      </c>
      <c r="D1889" s="2">
        <f t="shared" si="475"/>
        <v>1.9999999999988916E-3</v>
      </c>
      <c r="E1889" s="8">
        <f t="shared" ref="E1889:E1922" si="484">E1888+F1888</f>
        <v>12.737568785336629</v>
      </c>
      <c r="F1889" s="6">
        <f t="shared" si="471"/>
        <v>2.8579185778997157E-4</v>
      </c>
      <c r="G1889" s="12">
        <f t="shared" si="483"/>
        <v>1.6431214663370497E-2</v>
      </c>
    </row>
    <row r="1890" spans="1:13" x14ac:dyDescent="0.3">
      <c r="A1890" s="11" t="s">
        <v>1789</v>
      </c>
      <c r="B1890" s="7">
        <v>34040</v>
      </c>
      <c r="C1890" s="7">
        <v>12.731</v>
      </c>
      <c r="D1890" s="2">
        <f t="shared" si="475"/>
        <v>-2.2999999999999687E-2</v>
      </c>
      <c r="E1890" s="8">
        <f t="shared" si="484"/>
        <v>12.737854577194419</v>
      </c>
      <c r="F1890" s="6">
        <f t="shared" si="471"/>
        <v>2.8579185778997157E-4</v>
      </c>
      <c r="G1890" s="12">
        <f t="shared" si="483"/>
        <v>-6.8545771944190648E-3</v>
      </c>
    </row>
    <row r="1891" spans="1:13" x14ac:dyDescent="0.3">
      <c r="A1891" s="11" t="s">
        <v>1790</v>
      </c>
      <c r="B1891" s="7">
        <v>34060</v>
      </c>
      <c r="C1891" s="7">
        <v>12.747999999999999</v>
      </c>
      <c r="D1891" s="2">
        <f t="shared" si="475"/>
        <v>1.699999999999946E-2</v>
      </c>
      <c r="E1891" s="8">
        <f t="shared" si="484"/>
        <v>12.738140369052209</v>
      </c>
      <c r="F1891" s="6">
        <f t="shared" si="471"/>
        <v>2.8579185778997157E-4</v>
      </c>
      <c r="G1891" s="12">
        <f t="shared" si="483"/>
        <v>9.8596309477905208E-3</v>
      </c>
    </row>
    <row r="1892" spans="1:13" x14ac:dyDescent="0.3">
      <c r="A1892" s="11" t="s">
        <v>1791</v>
      </c>
      <c r="B1892" s="7">
        <v>34080</v>
      </c>
      <c r="C1892" s="7">
        <v>12.724</v>
      </c>
      <c r="D1892" s="2">
        <f t="shared" si="475"/>
        <v>-2.3999999999999133E-2</v>
      </c>
      <c r="E1892" s="8">
        <f t="shared" si="484"/>
        <v>12.738426160909999</v>
      </c>
      <c r="F1892" s="6">
        <f t="shared" si="471"/>
        <v>2.8579185778997157E-4</v>
      </c>
      <c r="G1892" s="12">
        <f t="shared" si="483"/>
        <v>-1.4426160909998487E-2</v>
      </c>
    </row>
    <row r="1893" spans="1:13" x14ac:dyDescent="0.3">
      <c r="A1893" s="11" t="s">
        <v>1792</v>
      </c>
      <c r="B1893" s="7">
        <v>34100</v>
      </c>
      <c r="C1893" s="7">
        <v>12.750999999999999</v>
      </c>
      <c r="D1893" s="2">
        <f t="shared" si="475"/>
        <v>2.6999999999999247E-2</v>
      </c>
      <c r="E1893" s="8">
        <f t="shared" si="484"/>
        <v>12.738711952767789</v>
      </c>
      <c r="F1893" s="6">
        <f t="shared" si="471"/>
        <v>2.8579185778997157E-4</v>
      </c>
      <c r="G1893" s="12">
        <f t="shared" si="483"/>
        <v>1.2288047232210886E-2</v>
      </c>
    </row>
    <row r="1894" spans="1:13" x14ac:dyDescent="0.3">
      <c r="A1894" s="11" t="s">
        <v>1793</v>
      </c>
      <c r="B1894" s="7">
        <v>34120</v>
      </c>
      <c r="C1894" s="7">
        <v>12.771000000000001</v>
      </c>
      <c r="D1894" s="2">
        <f t="shared" si="475"/>
        <v>2.000000000000135E-2</v>
      </c>
      <c r="E1894" s="8">
        <f t="shared" si="484"/>
        <v>12.738997744625578</v>
      </c>
      <c r="F1894" s="6">
        <f t="shared" si="471"/>
        <v>2.8579185778997157E-4</v>
      </c>
      <c r="G1894" s="12">
        <f t="shared" si="483"/>
        <v>3.2002255374422361E-2</v>
      </c>
    </row>
    <row r="1895" spans="1:13" x14ac:dyDescent="0.3">
      <c r="A1895" s="11" t="s">
        <v>1794</v>
      </c>
      <c r="B1895" s="7">
        <v>34140</v>
      </c>
      <c r="C1895" s="7">
        <v>12.752000000000001</v>
      </c>
      <c r="D1895" s="2">
        <f t="shared" si="475"/>
        <v>-1.9000000000000128E-2</v>
      </c>
      <c r="E1895" s="8">
        <f t="shared" si="484"/>
        <v>12.739283536483368</v>
      </c>
      <c r="F1895" s="6">
        <f t="shared" si="471"/>
        <v>2.8579185778997157E-4</v>
      </c>
      <c r="G1895" s="12">
        <f t="shared" si="483"/>
        <v>1.2716463516632359E-2</v>
      </c>
    </row>
    <row r="1896" spans="1:13" x14ac:dyDescent="0.3">
      <c r="A1896" s="11" t="s">
        <v>1795</v>
      </c>
      <c r="B1896" s="7">
        <v>34160</v>
      </c>
      <c r="C1896" s="7">
        <v>12.781000000000001</v>
      </c>
      <c r="D1896" s="2">
        <f t="shared" si="475"/>
        <v>2.8999999999999915E-2</v>
      </c>
      <c r="E1896" s="8">
        <f t="shared" si="484"/>
        <v>12.739569328341158</v>
      </c>
      <c r="F1896" s="6">
        <f t="shared" si="471"/>
        <v>2.8579185778997157E-4</v>
      </c>
      <c r="G1896" s="12">
        <f t="shared" ref="G1896:G1918" si="485">C1896-E1896</f>
        <v>4.14306716588424E-2</v>
      </c>
    </row>
    <row r="1897" spans="1:13" x14ac:dyDescent="0.3">
      <c r="A1897" s="11" t="s">
        <v>1796</v>
      </c>
      <c r="B1897" s="7">
        <v>34180</v>
      </c>
      <c r="C1897" s="7">
        <v>12.762</v>
      </c>
      <c r="D1897" s="2">
        <f t="shared" si="475"/>
        <v>-1.9000000000000128E-2</v>
      </c>
      <c r="E1897" s="8">
        <f t="shared" si="484"/>
        <v>12.739855120198948</v>
      </c>
      <c r="F1897" s="6">
        <f t="shared" ref="F1897:F1962" si="486">F1896</f>
        <v>2.8579185778997157E-4</v>
      </c>
      <c r="G1897" s="12">
        <f t="shared" si="485"/>
        <v>2.2144879801052397E-2</v>
      </c>
    </row>
    <row r="1898" spans="1:13" x14ac:dyDescent="0.3">
      <c r="A1898" s="11" t="s">
        <v>1797</v>
      </c>
      <c r="B1898" s="7">
        <v>34200</v>
      </c>
      <c r="C1898" s="7">
        <v>12.763999999999999</v>
      </c>
      <c r="D1898" s="2">
        <f t="shared" si="475"/>
        <v>1.9999999999988916E-3</v>
      </c>
      <c r="E1898" s="8">
        <f t="shared" si="484"/>
        <v>12.740140912056738</v>
      </c>
      <c r="F1898" s="6">
        <f t="shared" si="486"/>
        <v>2.8579185778997157E-4</v>
      </c>
      <c r="G1898" s="12">
        <f t="shared" si="485"/>
        <v>2.3859087943261414E-2</v>
      </c>
    </row>
    <row r="1899" spans="1:13" x14ac:dyDescent="0.3">
      <c r="A1899" s="11" t="s">
        <v>1798</v>
      </c>
      <c r="B1899" s="7">
        <v>34220</v>
      </c>
      <c r="C1899" s="7">
        <v>12.757999999999999</v>
      </c>
      <c r="D1899" s="2">
        <f t="shared" si="475"/>
        <v>-6.0000000000002274E-3</v>
      </c>
      <c r="E1899" s="8">
        <f t="shared" si="484"/>
        <v>12.740426703914528</v>
      </c>
      <c r="F1899" s="6">
        <f t="shared" si="486"/>
        <v>2.8579185778997157E-4</v>
      </c>
      <c r="G1899" s="12">
        <f t="shared" si="485"/>
        <v>1.7573296085471313E-2</v>
      </c>
    </row>
    <row r="1900" spans="1:13" x14ac:dyDescent="0.3">
      <c r="A1900" s="11" t="s">
        <v>1799</v>
      </c>
      <c r="B1900" s="7">
        <v>34240</v>
      </c>
      <c r="C1900" s="7">
        <v>12.762</v>
      </c>
      <c r="D1900" s="2">
        <f t="shared" si="475"/>
        <v>4.0000000000013358E-3</v>
      </c>
      <c r="E1900" s="8">
        <f t="shared" si="484"/>
        <v>12.740712495772318</v>
      </c>
      <c r="F1900" s="6">
        <f t="shared" si="486"/>
        <v>2.8579185778997157E-4</v>
      </c>
      <c r="G1900" s="12">
        <f t="shared" si="485"/>
        <v>2.1287504227682774E-2</v>
      </c>
    </row>
    <row r="1901" spans="1:13" x14ac:dyDescent="0.3">
      <c r="A1901" s="11" t="s">
        <v>1800</v>
      </c>
      <c r="B1901" s="7">
        <v>34260</v>
      </c>
      <c r="C1901" s="7">
        <v>12.757999999999999</v>
      </c>
      <c r="D1901" s="2">
        <f t="shared" si="475"/>
        <v>-4.0000000000013358E-3</v>
      </c>
      <c r="E1901" s="8">
        <f t="shared" si="484"/>
        <v>12.740998287630108</v>
      </c>
      <c r="F1901" s="6">
        <f t="shared" si="486"/>
        <v>2.8579185778997157E-4</v>
      </c>
      <c r="G1901" s="12">
        <f t="shared" si="485"/>
        <v>1.7001712369891564E-2</v>
      </c>
    </row>
    <row r="1902" spans="1:13" x14ac:dyDescent="0.3">
      <c r="A1902" s="11" t="s">
        <v>1801</v>
      </c>
      <c r="B1902" s="7">
        <v>34280</v>
      </c>
      <c r="C1902" s="7">
        <v>12.734</v>
      </c>
      <c r="D1902" s="2">
        <f t="shared" si="475"/>
        <v>-2.3999999999999133E-2</v>
      </c>
      <c r="E1902" s="8">
        <f t="shared" si="484"/>
        <v>12.741284079487897</v>
      </c>
      <c r="F1902" s="6">
        <f t="shared" si="486"/>
        <v>2.8579185778997157E-4</v>
      </c>
      <c r="G1902" s="12">
        <f t="shared" si="485"/>
        <v>-7.2840794878974435E-3</v>
      </c>
    </row>
    <row r="1903" spans="1:13" x14ac:dyDescent="0.3">
      <c r="A1903" s="11" t="s">
        <v>1802</v>
      </c>
      <c r="B1903" s="7">
        <v>34300</v>
      </c>
      <c r="C1903" s="7">
        <v>12.728999999999999</v>
      </c>
      <c r="D1903" s="2">
        <f t="shared" si="475"/>
        <v>-5.0000000000007816E-3</v>
      </c>
      <c r="E1903" s="8">
        <f t="shared" si="484"/>
        <v>12.741569871345687</v>
      </c>
      <c r="F1903" s="6">
        <f t="shared" si="486"/>
        <v>2.8579185778997157E-4</v>
      </c>
      <c r="G1903" s="12">
        <f t="shared" si="485"/>
        <v>-1.2569871345688099E-2</v>
      </c>
    </row>
    <row r="1904" spans="1:13" x14ac:dyDescent="0.3">
      <c r="A1904" s="11" t="s">
        <v>1803</v>
      </c>
      <c r="B1904" s="7">
        <v>34320</v>
      </c>
      <c r="C1904" s="7">
        <v>12.769</v>
      </c>
      <c r="D1904" s="2">
        <f>C1904-C1903</f>
        <v>4.0000000000000924E-2</v>
      </c>
      <c r="E1904" s="8">
        <f t="shared" si="484"/>
        <v>12.741855663203477</v>
      </c>
      <c r="F1904" s="6">
        <f>F1903</f>
        <v>2.8579185778997157E-4</v>
      </c>
      <c r="G1904" s="12">
        <f>C1904-E1904</f>
        <v>2.714433679652295E-2</v>
      </c>
      <c r="K1904" s="5"/>
      <c r="M1904" s="5"/>
    </row>
    <row r="1905" spans="1:7" x14ac:dyDescent="0.3">
      <c r="A1905" s="11" t="s">
        <v>1804</v>
      </c>
      <c r="B1905" s="7">
        <v>34340</v>
      </c>
      <c r="C1905" s="7">
        <v>12.788</v>
      </c>
      <c r="D1905" s="2">
        <f t="shared" si="475"/>
        <v>1.9000000000000128E-2</v>
      </c>
      <c r="E1905" s="8">
        <f t="shared" si="484"/>
        <v>12.742141455061267</v>
      </c>
      <c r="F1905" s="6">
        <f t="shared" ref="F1905" si="487">F1904</f>
        <v>2.8579185778997157E-4</v>
      </c>
      <c r="G1905" s="12">
        <f t="shared" ref="G1905" si="488">C1905-E1905</f>
        <v>4.5858544938733203E-2</v>
      </c>
    </row>
    <row r="1906" spans="1:7" x14ac:dyDescent="0.3">
      <c r="A1906" s="11" t="s">
        <v>1805</v>
      </c>
      <c r="B1906" s="7">
        <v>34360</v>
      </c>
      <c r="C1906" s="7">
        <v>12.821</v>
      </c>
      <c r="D1906" s="2">
        <f t="shared" si="475"/>
        <v>3.2999999999999474E-2</v>
      </c>
      <c r="E1906" s="8">
        <f t="shared" si="484"/>
        <v>12.742427246919057</v>
      </c>
      <c r="F1906" s="6">
        <f t="shared" si="486"/>
        <v>2.8579185778997157E-4</v>
      </c>
      <c r="G1906" s="12">
        <f t="shared" si="485"/>
        <v>7.8572753080942803E-2</v>
      </c>
    </row>
    <row r="1907" spans="1:7" x14ac:dyDescent="0.3">
      <c r="A1907" s="11" t="s">
        <v>1806</v>
      </c>
      <c r="B1907" s="7">
        <v>34380</v>
      </c>
      <c r="C1907" s="7">
        <v>12.818</v>
      </c>
      <c r="D1907" s="2">
        <f t="shared" si="475"/>
        <v>-3.0000000000001137E-3</v>
      </c>
      <c r="E1907" s="8">
        <f t="shared" si="484"/>
        <v>12.742713038776847</v>
      </c>
      <c r="F1907" s="6">
        <f t="shared" si="486"/>
        <v>2.8579185778997157E-4</v>
      </c>
      <c r="G1907" s="12">
        <f t="shared" si="485"/>
        <v>7.5286961223152815E-2</v>
      </c>
    </row>
    <row r="1908" spans="1:7" x14ac:dyDescent="0.3">
      <c r="A1908" s="11" t="s">
        <v>1807</v>
      </c>
      <c r="B1908" s="7">
        <v>34400</v>
      </c>
      <c r="C1908" s="7">
        <v>12.843999999999999</v>
      </c>
      <c r="D1908" s="2">
        <f t="shared" si="475"/>
        <v>2.5999999999999801E-2</v>
      </c>
      <c r="E1908" s="8">
        <f t="shared" si="484"/>
        <v>12.742998830634637</v>
      </c>
      <c r="F1908" s="6">
        <f t="shared" si="486"/>
        <v>2.8579185778997157E-4</v>
      </c>
      <c r="G1908" s="12">
        <f t="shared" si="485"/>
        <v>0.10100116936536274</v>
      </c>
    </row>
    <row r="1909" spans="1:7" x14ac:dyDescent="0.3">
      <c r="A1909" s="11" t="s">
        <v>1808</v>
      </c>
      <c r="B1909" s="7">
        <v>34420</v>
      </c>
      <c r="C1909" s="7">
        <v>12.843999999999999</v>
      </c>
      <c r="D1909" s="2">
        <f t="shared" si="475"/>
        <v>0</v>
      </c>
      <c r="E1909" s="8">
        <f t="shared" si="484"/>
        <v>12.743284622492427</v>
      </c>
      <c r="F1909" s="6">
        <f t="shared" si="486"/>
        <v>2.8579185778997157E-4</v>
      </c>
      <c r="G1909" s="12">
        <f t="shared" si="485"/>
        <v>0.10071537750757287</v>
      </c>
    </row>
    <row r="1910" spans="1:7" x14ac:dyDescent="0.3">
      <c r="A1910" s="11" t="s">
        <v>1809</v>
      </c>
      <c r="B1910" s="7">
        <v>34440</v>
      </c>
      <c r="C1910" s="7">
        <v>12.887</v>
      </c>
      <c r="D1910" s="2">
        <f t="shared" si="475"/>
        <v>4.3000000000001037E-2</v>
      </c>
      <c r="E1910" s="8">
        <f t="shared" si="484"/>
        <v>12.743570414350216</v>
      </c>
      <c r="F1910" s="6">
        <f t="shared" si="486"/>
        <v>2.8579185778997157E-4</v>
      </c>
      <c r="G1910" s="12">
        <f t="shared" si="485"/>
        <v>0.14342958564978403</v>
      </c>
    </row>
    <row r="1911" spans="1:7" x14ac:dyDescent="0.3">
      <c r="A1911" s="11" t="s">
        <v>1810</v>
      </c>
      <c r="B1911" s="7">
        <v>34460</v>
      </c>
      <c r="C1911" s="7">
        <v>12.928000000000001</v>
      </c>
      <c r="D1911" s="2">
        <f t="shared" si="475"/>
        <v>4.1000000000000369E-2</v>
      </c>
      <c r="E1911" s="8">
        <f t="shared" si="484"/>
        <v>12.743856206208006</v>
      </c>
      <c r="F1911" s="6">
        <f t="shared" si="486"/>
        <v>2.8579185778997157E-4</v>
      </c>
      <c r="G1911" s="12">
        <f t="shared" si="485"/>
        <v>0.18414379379199453</v>
      </c>
    </row>
    <row r="1912" spans="1:7" x14ac:dyDescent="0.3">
      <c r="A1912" s="11" t="s">
        <v>1811</v>
      </c>
      <c r="B1912" s="7">
        <v>34480</v>
      </c>
      <c r="C1912" s="7">
        <v>12.803000000000001</v>
      </c>
      <c r="D1912" s="2">
        <f t="shared" si="475"/>
        <v>-0.125</v>
      </c>
      <c r="E1912" s="8">
        <f t="shared" si="484"/>
        <v>12.744141998065796</v>
      </c>
      <c r="F1912" s="6">
        <f t="shared" si="486"/>
        <v>2.8579185778997157E-4</v>
      </c>
      <c r="G1912" s="12">
        <f t="shared" si="485"/>
        <v>5.8858001934204651E-2</v>
      </c>
    </row>
    <row r="1913" spans="1:7" x14ac:dyDescent="0.3">
      <c r="A1913" s="11" t="s">
        <v>1812</v>
      </c>
      <c r="B1913" s="7">
        <v>34500</v>
      </c>
      <c r="C1913" s="7">
        <v>12.785</v>
      </c>
      <c r="D1913" s="2">
        <f t="shared" si="475"/>
        <v>-1.8000000000000682E-2</v>
      </c>
      <c r="E1913" s="8">
        <f t="shared" si="484"/>
        <v>12.744427789923586</v>
      </c>
      <c r="F1913" s="6">
        <f t="shared" si="486"/>
        <v>2.8579185778997157E-4</v>
      </c>
      <c r="G1913" s="12">
        <f t="shared" si="485"/>
        <v>4.0572210076414095E-2</v>
      </c>
    </row>
    <row r="1914" spans="1:7" x14ac:dyDescent="0.3">
      <c r="A1914" s="11" t="s">
        <v>1813</v>
      </c>
      <c r="B1914" s="7">
        <v>34520</v>
      </c>
      <c r="C1914" s="7">
        <v>12.784000000000001</v>
      </c>
      <c r="D1914" s="2">
        <f t="shared" si="475"/>
        <v>-9.9999999999944578E-4</v>
      </c>
      <c r="E1914" s="8">
        <f t="shared" si="484"/>
        <v>12.744713581781376</v>
      </c>
      <c r="F1914" s="6">
        <f t="shared" si="486"/>
        <v>2.8579185778997157E-4</v>
      </c>
      <c r="G1914" s="12">
        <f t="shared" si="485"/>
        <v>3.9286418218624775E-2</v>
      </c>
    </row>
    <row r="1915" spans="1:7" x14ac:dyDescent="0.3">
      <c r="A1915" s="11" t="s">
        <v>1814</v>
      </c>
      <c r="B1915" s="7">
        <v>34540</v>
      </c>
      <c r="C1915" s="7">
        <v>12.814</v>
      </c>
      <c r="D1915" s="2">
        <f t="shared" si="475"/>
        <v>2.9999999999999361E-2</v>
      </c>
      <c r="E1915" s="8">
        <f t="shared" si="484"/>
        <v>12.744999373639166</v>
      </c>
      <c r="F1915" s="6">
        <f t="shared" si="486"/>
        <v>2.8579185778997157E-4</v>
      </c>
      <c r="G1915" s="12">
        <f t="shared" si="485"/>
        <v>6.9000626360834261E-2</v>
      </c>
    </row>
    <row r="1916" spans="1:7" x14ac:dyDescent="0.3">
      <c r="A1916" s="11" t="s">
        <v>1815</v>
      </c>
      <c r="B1916" s="7">
        <v>34560</v>
      </c>
      <c r="C1916" s="7">
        <v>12.83</v>
      </c>
      <c r="D1916" s="2">
        <f t="shared" si="475"/>
        <v>1.6000000000000014E-2</v>
      </c>
      <c r="E1916" s="8">
        <f t="shared" si="484"/>
        <v>12.745285165496956</v>
      </c>
      <c r="F1916" s="6">
        <f t="shared" si="486"/>
        <v>2.8579185778997157E-4</v>
      </c>
      <c r="G1916" s="12">
        <f t="shared" si="485"/>
        <v>8.4714834503044401E-2</v>
      </c>
    </row>
    <row r="1917" spans="1:7" x14ac:dyDescent="0.3">
      <c r="A1917" s="11" t="s">
        <v>1816</v>
      </c>
      <c r="B1917" s="7">
        <v>34580</v>
      </c>
      <c r="C1917" s="7">
        <v>12.797000000000001</v>
      </c>
      <c r="D1917" s="2">
        <f t="shared" si="475"/>
        <v>-3.2999999999999474E-2</v>
      </c>
      <c r="E1917" s="8">
        <f t="shared" si="484"/>
        <v>12.745570957354746</v>
      </c>
      <c r="F1917" s="6">
        <f t="shared" si="486"/>
        <v>2.8579185778997157E-4</v>
      </c>
      <c r="G1917" s="12">
        <f t="shared" si="485"/>
        <v>5.1429042645255052E-2</v>
      </c>
    </row>
    <row r="1918" spans="1:7" x14ac:dyDescent="0.3">
      <c r="A1918" s="11" t="s">
        <v>1817</v>
      </c>
      <c r="B1918" s="7">
        <v>34600</v>
      </c>
      <c r="C1918" s="7">
        <v>12.811999999999999</v>
      </c>
      <c r="D1918" s="2">
        <f t="shared" ref="D1918:D1986" si="489">C1918-C1917</f>
        <v>1.4999999999998792E-2</v>
      </c>
      <c r="E1918" s="8">
        <f t="shared" si="484"/>
        <v>12.745856749212535</v>
      </c>
      <c r="F1918" s="6">
        <f t="shared" si="486"/>
        <v>2.8579185778997157E-4</v>
      </c>
      <c r="G1918" s="12">
        <f t="shared" si="485"/>
        <v>6.614325078746397E-2</v>
      </c>
    </row>
    <row r="1919" spans="1:7" x14ac:dyDescent="0.3">
      <c r="A1919" s="11" t="s">
        <v>1818</v>
      </c>
      <c r="B1919" s="7">
        <v>34620</v>
      </c>
      <c r="C1919" s="7">
        <v>12.791</v>
      </c>
      <c r="D1919" s="2">
        <f t="shared" si="489"/>
        <v>-2.0999999999999019E-2</v>
      </c>
      <c r="E1919" s="8">
        <f t="shared" si="484"/>
        <v>12.746142541070325</v>
      </c>
      <c r="F1919" s="6">
        <f t="shared" si="486"/>
        <v>2.8579185778997157E-4</v>
      </c>
      <c r="G1919" s="12">
        <f t="shared" ref="G1919:G1933" si="490">C1919-E1919</f>
        <v>4.4857458929675076E-2</v>
      </c>
    </row>
    <row r="1920" spans="1:7" x14ac:dyDescent="0.3">
      <c r="A1920" s="11" t="s">
        <v>1819</v>
      </c>
      <c r="B1920" s="7">
        <v>34640</v>
      </c>
      <c r="C1920" s="7">
        <v>12.742000000000001</v>
      </c>
      <c r="D1920" s="2">
        <f t="shared" si="489"/>
        <v>-4.8999999999999488E-2</v>
      </c>
      <c r="E1920" s="8">
        <f t="shared" si="484"/>
        <v>12.746428332928115</v>
      </c>
      <c r="F1920" s="6">
        <f t="shared" si="486"/>
        <v>2.8579185778997157E-4</v>
      </c>
      <c r="G1920" s="12">
        <f t="shared" si="490"/>
        <v>-4.4283329281142869E-3</v>
      </c>
    </row>
    <row r="1921" spans="1:18" x14ac:dyDescent="0.3">
      <c r="A1921" s="11" t="s">
        <v>1820</v>
      </c>
      <c r="B1921" s="7">
        <v>34660</v>
      </c>
      <c r="C1921" s="7">
        <v>12.743</v>
      </c>
      <c r="D1921" s="2">
        <f t="shared" si="489"/>
        <v>9.9999999999944578E-4</v>
      </c>
      <c r="E1921" s="8">
        <f t="shared" si="484"/>
        <v>12.746714124785905</v>
      </c>
      <c r="F1921" s="6">
        <f t="shared" si="486"/>
        <v>2.8579185778997157E-4</v>
      </c>
      <c r="G1921" s="12">
        <f t="shared" si="490"/>
        <v>-3.7141247859047155E-3</v>
      </c>
    </row>
    <row r="1922" spans="1:18" x14ac:dyDescent="0.3">
      <c r="A1922" s="11" t="s">
        <v>1821</v>
      </c>
      <c r="B1922" s="7">
        <v>34680</v>
      </c>
      <c r="C1922" s="7">
        <v>12.747</v>
      </c>
      <c r="D1922" s="2">
        <f t="shared" si="489"/>
        <v>3.9999999999995595E-3</v>
      </c>
      <c r="E1922" s="8">
        <f t="shared" si="484"/>
        <v>12.746999916643695</v>
      </c>
      <c r="F1922" s="6">
        <f t="shared" si="486"/>
        <v>2.8579185778997157E-4</v>
      </c>
      <c r="G1922" s="12">
        <f t="shared" si="490"/>
        <v>8.3356304969584016E-8</v>
      </c>
    </row>
    <row r="1923" spans="1:18" x14ac:dyDescent="0.3">
      <c r="A1923" s="21"/>
      <c r="B1923" s="22"/>
      <c r="C1923" s="22"/>
      <c r="D1923" s="22"/>
      <c r="E1923" s="22"/>
      <c r="F1923" s="22"/>
      <c r="G1923" s="23"/>
      <c r="H1923" s="4" t="s">
        <v>25</v>
      </c>
      <c r="J1923" s="4"/>
      <c r="O1923" s="3">
        <f>1/O1924</f>
        <v>1.1875074219213871E-4</v>
      </c>
      <c r="P1923" s="3">
        <f>O1923*20</f>
        <v>2.3750148438427742E-3</v>
      </c>
      <c r="Q1923" s="3" t="s">
        <v>3200</v>
      </c>
      <c r="R1923" s="3">
        <v>8421</v>
      </c>
    </row>
    <row r="1924" spans="1:18" x14ac:dyDescent="0.3">
      <c r="A1924" s="11" t="s">
        <v>1822</v>
      </c>
      <c r="B1924" s="7">
        <v>34700</v>
      </c>
      <c r="C1924" s="7">
        <v>12.715</v>
      </c>
      <c r="D1924" s="2">
        <f>C1924-C1922</f>
        <v>-3.2000000000000028E-2</v>
      </c>
      <c r="E1924" s="8">
        <f>E1922-F1924</f>
        <v>12.744624901799853</v>
      </c>
      <c r="F1924" s="6">
        <f>P1923</f>
        <v>2.3750148438427742E-3</v>
      </c>
      <c r="G1924" s="12">
        <f>C1924-E1924</f>
        <v>-2.9624901799852665E-2</v>
      </c>
      <c r="H1924" s="3">
        <f>B1922</f>
        <v>34680</v>
      </c>
      <c r="I1924" s="3">
        <f>B1940</f>
        <v>35000</v>
      </c>
      <c r="J1924" s="3">
        <f>I1924-H1924</f>
        <v>320</v>
      </c>
      <c r="K1924" s="5">
        <f>E1922</f>
        <v>12.746999916643695</v>
      </c>
      <c r="L1924" s="3">
        <f>C1940</f>
        <v>12.709</v>
      </c>
      <c r="M1924" s="5">
        <f>L1924-K1924</f>
        <v>-3.7999916643695286E-2</v>
      </c>
      <c r="N1924" s="3">
        <f>J1924/M1924</f>
        <v>-8421.0711039307625</v>
      </c>
      <c r="O1924" s="3">
        <v>8421</v>
      </c>
    </row>
    <row r="1925" spans="1:18" x14ac:dyDescent="0.3">
      <c r="A1925" s="11" t="s">
        <v>1823</v>
      </c>
      <c r="B1925" s="7">
        <v>34720</v>
      </c>
      <c r="C1925" s="7">
        <v>12.643000000000001</v>
      </c>
      <c r="D1925" s="2">
        <f t="shared" si="489"/>
        <v>-7.1999999999999176E-2</v>
      </c>
      <c r="E1925" s="8">
        <f>E1924-F1924</f>
        <v>12.74224988695601</v>
      </c>
      <c r="F1925" s="6">
        <f t="shared" ref="F1925" si="491">F1924</f>
        <v>2.3750148438427742E-3</v>
      </c>
      <c r="G1925" s="12">
        <f t="shared" ref="G1925" si="492">C1925-E1925</f>
        <v>-9.9249886956009448E-2</v>
      </c>
    </row>
    <row r="1926" spans="1:18" x14ac:dyDescent="0.3">
      <c r="A1926" s="11" t="s">
        <v>1824</v>
      </c>
      <c r="B1926" s="7">
        <v>34740</v>
      </c>
      <c r="C1926" s="7">
        <v>12.614000000000001</v>
      </c>
      <c r="D1926" s="2">
        <f t="shared" si="489"/>
        <v>-2.8999999999999915E-2</v>
      </c>
      <c r="E1926" s="8">
        <f t="shared" ref="E1926:E1940" si="493">E1925-F1925</f>
        <v>12.739874872112168</v>
      </c>
      <c r="F1926" s="6">
        <f t="shared" si="486"/>
        <v>2.3750148438427742E-3</v>
      </c>
      <c r="G1926" s="12">
        <f t="shared" si="490"/>
        <v>-0.12587487211216697</v>
      </c>
    </row>
    <row r="1927" spans="1:18" x14ac:dyDescent="0.3">
      <c r="A1927" s="11" t="s">
        <v>1825</v>
      </c>
      <c r="B1927" s="7">
        <v>34760</v>
      </c>
      <c r="C1927" s="7">
        <v>12.622</v>
      </c>
      <c r="D1927" s="2">
        <f t="shared" si="489"/>
        <v>7.9999999999991189E-3</v>
      </c>
      <c r="E1927" s="8">
        <f t="shared" si="493"/>
        <v>12.737499857268325</v>
      </c>
      <c r="F1927" s="6">
        <f t="shared" si="486"/>
        <v>2.3750148438427742E-3</v>
      </c>
      <c r="G1927" s="12">
        <f t="shared" si="490"/>
        <v>-0.11549985726832546</v>
      </c>
    </row>
    <row r="1928" spans="1:18" x14ac:dyDescent="0.3">
      <c r="A1928" s="11" t="s">
        <v>1826</v>
      </c>
      <c r="B1928" s="7">
        <v>34780</v>
      </c>
      <c r="C1928" s="7">
        <v>12.625</v>
      </c>
      <c r="D1928" s="2">
        <f t="shared" si="489"/>
        <v>3.0000000000001137E-3</v>
      </c>
      <c r="E1928" s="8">
        <f t="shared" si="493"/>
        <v>12.735124842424483</v>
      </c>
      <c r="F1928" s="6">
        <f t="shared" si="486"/>
        <v>2.3750148438427742E-3</v>
      </c>
      <c r="G1928" s="12">
        <f t="shared" si="490"/>
        <v>-0.11012484242448295</v>
      </c>
    </row>
    <row r="1929" spans="1:18" x14ac:dyDescent="0.3">
      <c r="A1929" s="11" t="s">
        <v>1827</v>
      </c>
      <c r="B1929" s="7">
        <v>34800</v>
      </c>
      <c r="C1929" s="7">
        <v>12.613</v>
      </c>
      <c r="D1929" s="2">
        <f t="shared" si="489"/>
        <v>-1.2000000000000455E-2</v>
      </c>
      <c r="E1929" s="8">
        <f t="shared" si="493"/>
        <v>12.732749827580641</v>
      </c>
      <c r="F1929" s="6">
        <f t="shared" si="486"/>
        <v>2.3750148438427742E-3</v>
      </c>
      <c r="G1929" s="12">
        <f t="shared" si="490"/>
        <v>-0.11974982758064101</v>
      </c>
    </row>
    <row r="1930" spans="1:18" x14ac:dyDescent="0.3">
      <c r="A1930" s="11" t="s">
        <v>1828</v>
      </c>
      <c r="B1930" s="7">
        <v>34820</v>
      </c>
      <c r="C1930" s="7">
        <v>12.602</v>
      </c>
      <c r="D1930" s="2">
        <f t="shared" si="489"/>
        <v>-1.0999999999999233E-2</v>
      </c>
      <c r="E1930" s="8">
        <f t="shared" si="493"/>
        <v>12.730374812736798</v>
      </c>
      <c r="F1930" s="6">
        <f t="shared" si="486"/>
        <v>2.3750148438427742E-3</v>
      </c>
      <c r="G1930" s="12">
        <f t="shared" si="490"/>
        <v>-0.12837481273679785</v>
      </c>
    </row>
    <row r="1931" spans="1:18" x14ac:dyDescent="0.3">
      <c r="A1931" s="11" t="s">
        <v>1829</v>
      </c>
      <c r="B1931" s="7">
        <v>34840</v>
      </c>
      <c r="C1931" s="7">
        <v>12.616</v>
      </c>
      <c r="D1931" s="2">
        <f t="shared" si="489"/>
        <v>1.3999999999999346E-2</v>
      </c>
      <c r="E1931" s="8">
        <f t="shared" si="493"/>
        <v>12.727999797892956</v>
      </c>
      <c r="F1931" s="6">
        <f t="shared" si="486"/>
        <v>2.3750148438427742E-3</v>
      </c>
      <c r="G1931" s="12">
        <f t="shared" si="490"/>
        <v>-0.11199979789295611</v>
      </c>
    </row>
    <row r="1932" spans="1:18" x14ac:dyDescent="0.3">
      <c r="A1932" s="11" t="s">
        <v>1830</v>
      </c>
      <c r="B1932" s="7">
        <v>34860</v>
      </c>
      <c r="C1932" s="7">
        <v>12.621</v>
      </c>
      <c r="D1932" s="2">
        <f t="shared" si="489"/>
        <v>5.0000000000007816E-3</v>
      </c>
      <c r="E1932" s="8">
        <f t="shared" si="493"/>
        <v>12.725624783049113</v>
      </c>
      <c r="F1932" s="6">
        <f t="shared" si="486"/>
        <v>2.3750148438427742E-3</v>
      </c>
      <c r="G1932" s="12">
        <f t="shared" si="490"/>
        <v>-0.10462478304911293</v>
      </c>
    </row>
    <row r="1933" spans="1:18" x14ac:dyDescent="0.3">
      <c r="A1933" s="11" t="s">
        <v>1831</v>
      </c>
      <c r="B1933" s="7">
        <v>34880</v>
      </c>
      <c r="C1933" s="7">
        <v>12.61</v>
      </c>
      <c r="D1933" s="2">
        <f t="shared" si="489"/>
        <v>-1.1000000000001009E-2</v>
      </c>
      <c r="E1933" s="8">
        <f t="shared" si="493"/>
        <v>12.723249768205271</v>
      </c>
      <c r="F1933" s="6">
        <f t="shared" si="486"/>
        <v>2.3750148438427742E-3</v>
      </c>
      <c r="G1933" s="12">
        <f t="shared" si="490"/>
        <v>-0.11324976820527155</v>
      </c>
    </row>
    <row r="1934" spans="1:18" x14ac:dyDescent="0.3">
      <c r="A1934" s="11" t="s">
        <v>1832</v>
      </c>
      <c r="B1934" s="7">
        <v>34900</v>
      </c>
      <c r="C1934" s="7">
        <v>12.598000000000001</v>
      </c>
      <c r="D1934" s="2">
        <f t="shared" si="489"/>
        <v>-1.1999999999998678E-2</v>
      </c>
      <c r="E1934" s="8">
        <f t="shared" si="493"/>
        <v>12.720874753361429</v>
      </c>
      <c r="F1934" s="6">
        <f t="shared" si="486"/>
        <v>2.3750148438427742E-3</v>
      </c>
      <c r="G1934" s="12">
        <f t="shared" ref="G1934:G1961" si="494">C1934-E1934</f>
        <v>-0.12287475336142784</v>
      </c>
    </row>
    <row r="1935" spans="1:18" x14ac:dyDescent="0.3">
      <c r="A1935" s="11" t="s">
        <v>1833</v>
      </c>
      <c r="B1935" s="7">
        <v>34920</v>
      </c>
      <c r="C1935" s="7">
        <v>12.595000000000001</v>
      </c>
      <c r="D1935" s="2">
        <f t="shared" si="489"/>
        <v>-3.0000000000001137E-3</v>
      </c>
      <c r="E1935" s="8">
        <f t="shared" si="493"/>
        <v>12.718499738517586</v>
      </c>
      <c r="F1935" s="6">
        <f t="shared" si="486"/>
        <v>2.3750148438427742E-3</v>
      </c>
      <c r="G1935" s="12">
        <f t="shared" si="494"/>
        <v>-0.12349973851758556</v>
      </c>
    </row>
    <row r="1936" spans="1:18" x14ac:dyDescent="0.3">
      <c r="A1936" s="11" t="s">
        <v>1834</v>
      </c>
      <c r="B1936" s="7">
        <v>34940</v>
      </c>
      <c r="C1936" s="7">
        <v>12.625</v>
      </c>
      <c r="D1936" s="2">
        <f t="shared" si="489"/>
        <v>2.9999999999999361E-2</v>
      </c>
      <c r="E1936" s="8">
        <f t="shared" si="493"/>
        <v>12.716124723673744</v>
      </c>
      <c r="F1936" s="6">
        <f t="shared" si="486"/>
        <v>2.3750148438427742E-3</v>
      </c>
      <c r="G1936" s="12">
        <f t="shared" si="494"/>
        <v>-9.1124723673743802E-2</v>
      </c>
    </row>
    <row r="1937" spans="1:18" x14ac:dyDescent="0.3">
      <c r="A1937" s="13" t="s">
        <v>1835</v>
      </c>
      <c r="B1937" s="24"/>
      <c r="C1937" s="25"/>
      <c r="D1937" s="25"/>
      <c r="E1937" s="25"/>
      <c r="F1937" s="25"/>
      <c r="G1937" s="26"/>
    </row>
    <row r="1938" spans="1:18" x14ac:dyDescent="0.3">
      <c r="A1938" s="11" t="s">
        <v>1836</v>
      </c>
      <c r="B1938" s="7">
        <v>34960</v>
      </c>
      <c r="C1938" s="7">
        <v>12.664999999999999</v>
      </c>
      <c r="D1938" s="2">
        <f>C1938-C1936</f>
        <v>3.9999999999999147E-2</v>
      </c>
      <c r="E1938" s="8">
        <f>E1936-F1936</f>
        <v>12.713749708829901</v>
      </c>
      <c r="F1938" s="6">
        <f>F1936</f>
        <v>2.3750148438427742E-3</v>
      </c>
      <c r="G1938" s="12">
        <f t="shared" si="494"/>
        <v>-4.8749708829902261E-2</v>
      </c>
    </row>
    <row r="1939" spans="1:18" x14ac:dyDescent="0.3">
      <c r="A1939" s="11" t="s">
        <v>1837</v>
      </c>
      <c r="B1939" s="7">
        <v>34980</v>
      </c>
      <c r="C1939" s="7">
        <v>12.696</v>
      </c>
      <c r="D1939" s="2">
        <f t="shared" si="489"/>
        <v>3.1000000000000583E-2</v>
      </c>
      <c r="E1939" s="8">
        <f t="shared" si="493"/>
        <v>12.711374693986059</v>
      </c>
      <c r="F1939" s="6">
        <f t="shared" si="486"/>
        <v>2.3750148438427742E-3</v>
      </c>
      <c r="G1939" s="12">
        <f t="shared" si="494"/>
        <v>-1.5374693986059285E-2</v>
      </c>
    </row>
    <row r="1940" spans="1:18" x14ac:dyDescent="0.3">
      <c r="A1940" s="11" t="s">
        <v>1838</v>
      </c>
      <c r="B1940" s="7">
        <v>35000</v>
      </c>
      <c r="C1940" s="7">
        <v>12.709</v>
      </c>
      <c r="D1940" s="2">
        <f t="shared" si="489"/>
        <v>1.2999999999999901E-2</v>
      </c>
      <c r="E1940" s="8">
        <f t="shared" si="493"/>
        <v>12.708999679142217</v>
      </c>
      <c r="F1940" s="6">
        <f t="shared" si="486"/>
        <v>2.3750148438427742E-3</v>
      </c>
      <c r="G1940" s="12">
        <f t="shared" si="494"/>
        <v>3.2085778300938728E-7</v>
      </c>
    </row>
    <row r="1941" spans="1:18" x14ac:dyDescent="0.3">
      <c r="A1941" s="21"/>
      <c r="B1941" s="22"/>
      <c r="C1941" s="22"/>
      <c r="D1941" s="22"/>
      <c r="E1941" s="22"/>
      <c r="F1941" s="22"/>
      <c r="G1941" s="23"/>
      <c r="H1941" s="4" t="s">
        <v>26</v>
      </c>
      <c r="J1941" s="4"/>
      <c r="O1941" s="3">
        <f>1/O1942</f>
        <v>1.3458950201884253E-3</v>
      </c>
      <c r="P1941" s="3">
        <f>O1941*20</f>
        <v>2.6917900403768506E-2</v>
      </c>
      <c r="Q1941" s="3" t="s">
        <v>3202</v>
      </c>
      <c r="R1941" s="3">
        <v>743</v>
      </c>
    </row>
    <row r="1942" spans="1:18" x14ac:dyDescent="0.3">
      <c r="A1942" s="11" t="s">
        <v>1839</v>
      </c>
      <c r="B1942" s="7">
        <v>35020</v>
      </c>
      <c r="C1942" s="7">
        <v>12.739000000000001</v>
      </c>
      <c r="D1942" s="2">
        <f>C1942-C1940</f>
        <v>3.0000000000001137E-2</v>
      </c>
      <c r="E1942" s="8">
        <f>E1940+F1942</f>
        <v>12.735917579545985</v>
      </c>
      <c r="F1942" s="6">
        <f>P1941</f>
        <v>2.6917900403768506E-2</v>
      </c>
      <c r="G1942" s="12">
        <f>C1942-E1942</f>
        <v>3.082420454015633E-3</v>
      </c>
      <c r="H1942" s="3">
        <f>B1940</f>
        <v>35000</v>
      </c>
      <c r="I1942" s="3">
        <f>B1951</f>
        <v>35200</v>
      </c>
      <c r="J1942" s="3">
        <f>I1942-H1942</f>
        <v>200</v>
      </c>
      <c r="K1942" s="5">
        <f>E1940</f>
        <v>12.708999679142217</v>
      </c>
      <c r="L1942" s="3">
        <f>C1951</f>
        <v>12.978</v>
      </c>
      <c r="M1942" s="5">
        <f>L1942-K1942</f>
        <v>0.26900032085778314</v>
      </c>
      <c r="N1942" s="3">
        <f>J1942/M1942</f>
        <v>743.49353696770243</v>
      </c>
      <c r="O1942" s="3">
        <v>743</v>
      </c>
    </row>
    <row r="1943" spans="1:18" x14ac:dyDescent="0.3">
      <c r="A1943" s="11" t="s">
        <v>1840</v>
      </c>
      <c r="B1943" s="7">
        <v>35040</v>
      </c>
      <c r="C1943" s="7">
        <v>12.794</v>
      </c>
      <c r="D1943" s="2">
        <f t="shared" si="489"/>
        <v>5.4999999999999716E-2</v>
      </c>
      <c r="E1943" s="8">
        <f>E1942+F1942</f>
        <v>12.762835479949754</v>
      </c>
      <c r="F1943" s="6">
        <f t="shared" ref="F1943" si="495">F1942</f>
        <v>2.6917900403768506E-2</v>
      </c>
      <c r="G1943" s="12">
        <f t="shared" ref="G1943" si="496">C1943-E1943</f>
        <v>3.1164520050246836E-2</v>
      </c>
    </row>
    <row r="1944" spans="1:18" x14ac:dyDescent="0.3">
      <c r="A1944" s="11" t="s">
        <v>1841</v>
      </c>
      <c r="B1944" s="7">
        <v>35060</v>
      </c>
      <c r="C1944" s="7">
        <v>12.843</v>
      </c>
      <c r="D1944" s="2">
        <f t="shared" si="489"/>
        <v>4.8999999999999488E-2</v>
      </c>
      <c r="E1944" s="8">
        <f t="shared" ref="E1944:E1951" si="497">E1943+F1943</f>
        <v>12.789753380353522</v>
      </c>
      <c r="F1944" s="6">
        <f t="shared" si="486"/>
        <v>2.6917900403768506E-2</v>
      </c>
      <c r="G1944" s="12">
        <f t="shared" si="494"/>
        <v>5.3246619646477811E-2</v>
      </c>
    </row>
    <row r="1945" spans="1:18" x14ac:dyDescent="0.3">
      <c r="A1945" s="11" t="s">
        <v>1842</v>
      </c>
      <c r="B1945" s="7">
        <v>35080</v>
      </c>
      <c r="C1945" s="7">
        <v>12.881</v>
      </c>
      <c r="D1945" s="2">
        <f t="shared" si="489"/>
        <v>3.8000000000000256E-2</v>
      </c>
      <c r="E1945" s="8">
        <f t="shared" si="497"/>
        <v>12.816671280757291</v>
      </c>
      <c r="F1945" s="6">
        <f t="shared" si="486"/>
        <v>2.6917900403768506E-2</v>
      </c>
      <c r="G1945" s="12">
        <f t="shared" si="494"/>
        <v>6.4328719242709553E-2</v>
      </c>
    </row>
    <row r="1946" spans="1:18" x14ac:dyDescent="0.3">
      <c r="A1946" s="11" t="s">
        <v>1843</v>
      </c>
      <c r="B1946" s="7">
        <v>35100</v>
      </c>
      <c r="C1946" s="7">
        <v>12.928000000000001</v>
      </c>
      <c r="D1946" s="2">
        <f t="shared" si="489"/>
        <v>4.7000000000000597E-2</v>
      </c>
      <c r="E1946" s="8">
        <f t="shared" si="497"/>
        <v>12.843589181161059</v>
      </c>
      <c r="F1946" s="6">
        <f t="shared" si="486"/>
        <v>2.6917900403768506E-2</v>
      </c>
      <c r="G1946" s="12">
        <f t="shared" si="494"/>
        <v>8.4410818838941637E-2</v>
      </c>
    </row>
    <row r="1947" spans="1:18" x14ac:dyDescent="0.3">
      <c r="A1947" s="11" t="s">
        <v>1844</v>
      </c>
      <c r="B1947" s="7">
        <v>35120</v>
      </c>
      <c r="C1947" s="7">
        <v>12.986000000000001</v>
      </c>
      <c r="D1947" s="2">
        <f t="shared" si="489"/>
        <v>5.7999999999999829E-2</v>
      </c>
      <c r="E1947" s="8">
        <f t="shared" si="497"/>
        <v>12.870507081564828</v>
      </c>
      <c r="F1947" s="6">
        <f t="shared" si="486"/>
        <v>2.6917900403768506E-2</v>
      </c>
      <c r="G1947" s="12">
        <f t="shared" si="494"/>
        <v>0.11549291843517295</v>
      </c>
    </row>
    <row r="1948" spans="1:18" x14ac:dyDescent="0.3">
      <c r="A1948" s="11" t="s">
        <v>1845</v>
      </c>
      <c r="B1948" s="7">
        <v>35140</v>
      </c>
      <c r="C1948" s="7">
        <v>13.016999999999999</v>
      </c>
      <c r="D1948" s="2">
        <f t="shared" si="489"/>
        <v>3.0999999999998806E-2</v>
      </c>
      <c r="E1948" s="8">
        <f t="shared" si="497"/>
        <v>12.897424981968596</v>
      </c>
      <c r="F1948" s="6">
        <f t="shared" si="486"/>
        <v>2.6917900403768506E-2</v>
      </c>
      <c r="G1948" s="12">
        <f t="shared" si="494"/>
        <v>0.11957501803140325</v>
      </c>
    </row>
    <row r="1949" spans="1:18" x14ac:dyDescent="0.3">
      <c r="A1949" s="11" t="s">
        <v>1846</v>
      </c>
      <c r="B1949" s="7">
        <v>35160</v>
      </c>
      <c r="C1949" s="7">
        <v>13.055</v>
      </c>
      <c r="D1949" s="2">
        <f t="shared" si="489"/>
        <v>3.8000000000000256E-2</v>
      </c>
      <c r="E1949" s="8">
        <f t="shared" si="497"/>
        <v>12.924342882372365</v>
      </c>
      <c r="F1949" s="6">
        <f t="shared" si="486"/>
        <v>2.6917900403768506E-2</v>
      </c>
      <c r="G1949" s="12">
        <f t="shared" si="494"/>
        <v>0.13065711762763499</v>
      </c>
    </row>
    <row r="1950" spans="1:18" x14ac:dyDescent="0.3">
      <c r="A1950" s="11" t="s">
        <v>1847</v>
      </c>
      <c r="B1950" s="7">
        <v>35180</v>
      </c>
      <c r="C1950" s="7">
        <v>13.028</v>
      </c>
      <c r="D1950" s="2">
        <f t="shared" si="489"/>
        <v>-2.6999999999999247E-2</v>
      </c>
      <c r="E1950" s="8">
        <f t="shared" si="497"/>
        <v>12.951260782776133</v>
      </c>
      <c r="F1950" s="6">
        <f t="shared" si="486"/>
        <v>2.6917900403768506E-2</v>
      </c>
      <c r="G1950" s="12">
        <f t="shared" si="494"/>
        <v>7.6739217223867229E-2</v>
      </c>
    </row>
    <row r="1951" spans="1:18" x14ac:dyDescent="0.3">
      <c r="A1951" s="11" t="s">
        <v>1848</v>
      </c>
      <c r="B1951" s="7">
        <v>35200</v>
      </c>
      <c r="C1951" s="7">
        <v>12.978</v>
      </c>
      <c r="D1951" s="2">
        <f t="shared" si="489"/>
        <v>-5.0000000000000711E-2</v>
      </c>
      <c r="E1951" s="8">
        <f t="shared" si="497"/>
        <v>12.978178683179902</v>
      </c>
      <c r="F1951" s="6">
        <f t="shared" si="486"/>
        <v>2.6917900403768506E-2</v>
      </c>
      <c r="G1951" s="12">
        <f t="shared" si="494"/>
        <v>-1.78683179901995E-4</v>
      </c>
    </row>
    <row r="1952" spans="1:18" x14ac:dyDescent="0.3">
      <c r="A1952" s="21"/>
      <c r="B1952" s="22"/>
      <c r="C1952" s="22"/>
      <c r="D1952" s="22"/>
      <c r="E1952" s="22"/>
      <c r="F1952" s="22"/>
      <c r="G1952" s="23"/>
      <c r="H1952" s="4" t="s">
        <v>27</v>
      </c>
      <c r="J1952" s="4"/>
      <c r="O1952" s="3">
        <f>1/O1953</f>
        <v>8.5034013605442174E-4</v>
      </c>
      <c r="P1952" s="3">
        <f>O1952*20</f>
        <v>1.7006802721088433E-2</v>
      </c>
      <c r="Q1952" s="3" t="s">
        <v>3200</v>
      </c>
      <c r="R1952" s="3">
        <v>1176</v>
      </c>
    </row>
    <row r="1953" spans="1:15" x14ac:dyDescent="0.3">
      <c r="A1953" s="11" t="s">
        <v>1849</v>
      </c>
      <c r="B1953" s="7">
        <v>35220</v>
      </c>
      <c r="C1953" s="7">
        <v>12.911</v>
      </c>
      <c r="D1953" s="2">
        <f>C1953-C1951</f>
        <v>-6.7000000000000171E-2</v>
      </c>
      <c r="E1953" s="8">
        <f>E1951-F1953</f>
        <v>12.961171880458814</v>
      </c>
      <c r="F1953" s="6">
        <f>P1952</f>
        <v>1.7006802721088433E-2</v>
      </c>
      <c r="G1953" s="12">
        <f>C1953-E1953</f>
        <v>-5.0171880458814044E-2</v>
      </c>
      <c r="H1953" s="3">
        <f>B1951</f>
        <v>35200</v>
      </c>
      <c r="I1953" s="3">
        <f>B1969</f>
        <v>35540</v>
      </c>
      <c r="J1953" s="3">
        <f>I1953-H1953</f>
        <v>340</v>
      </c>
      <c r="K1953" s="5">
        <f>E1951</f>
        <v>12.978178683179902</v>
      </c>
      <c r="L1953" s="3">
        <f>C1969</f>
        <v>12.689</v>
      </c>
      <c r="M1953" s="5">
        <f>L1953-K1953</f>
        <v>-0.2891786831799017</v>
      </c>
      <c r="N1953" s="3">
        <f>J1953/M1953</f>
        <v>-1175.7436483950019</v>
      </c>
      <c r="O1953" s="3">
        <v>1176</v>
      </c>
    </row>
    <row r="1954" spans="1:15" x14ac:dyDescent="0.3">
      <c r="A1954" s="11" t="s">
        <v>1850</v>
      </c>
      <c r="B1954" s="7">
        <v>35240</v>
      </c>
      <c r="C1954" s="7">
        <v>12.824999999999999</v>
      </c>
      <c r="D1954" s="2">
        <f t="shared" si="489"/>
        <v>-8.6000000000000298E-2</v>
      </c>
      <c r="E1954" s="8">
        <f>E1953-F1953</f>
        <v>12.944165077737726</v>
      </c>
      <c r="F1954" s="6">
        <f t="shared" ref="F1954" si="498">F1953</f>
        <v>1.7006802721088433E-2</v>
      </c>
      <c r="G1954" s="12">
        <f t="shared" ref="G1954" si="499">C1954-E1954</f>
        <v>-0.11916507773772622</v>
      </c>
    </row>
    <row r="1955" spans="1:15" x14ac:dyDescent="0.3">
      <c r="A1955" s="11" t="s">
        <v>1851</v>
      </c>
      <c r="B1955" s="7">
        <v>35260</v>
      </c>
      <c r="C1955" s="7">
        <v>12.808999999999999</v>
      </c>
      <c r="D1955" s="2">
        <f t="shared" si="489"/>
        <v>-1.6000000000000014E-2</v>
      </c>
      <c r="E1955" s="8">
        <f t="shared" ref="E1955:E1961" si="500">E1954-F1954</f>
        <v>12.927158275016637</v>
      </c>
      <c r="F1955" s="6">
        <f t="shared" si="486"/>
        <v>1.7006802721088433E-2</v>
      </c>
      <c r="G1955" s="12">
        <f t="shared" si="494"/>
        <v>-0.11815827501663811</v>
      </c>
    </row>
    <row r="1956" spans="1:15" x14ac:dyDescent="0.3">
      <c r="A1956" s="11" t="s">
        <v>1852</v>
      </c>
      <c r="B1956" s="7">
        <v>35280</v>
      </c>
      <c r="C1956" s="7">
        <v>12.808999999999999</v>
      </c>
      <c r="D1956" s="2">
        <f t="shared" si="489"/>
        <v>0</v>
      </c>
      <c r="E1956" s="8">
        <f t="shared" si="500"/>
        <v>12.910151472295549</v>
      </c>
      <c r="F1956" s="6">
        <f t="shared" si="486"/>
        <v>1.7006802721088433E-2</v>
      </c>
      <c r="G1956" s="12">
        <f t="shared" si="494"/>
        <v>-0.10115147229554999</v>
      </c>
    </row>
    <row r="1957" spans="1:15" x14ac:dyDescent="0.3">
      <c r="A1957" s="11" t="s">
        <v>1853</v>
      </c>
      <c r="B1957" s="7">
        <v>35300</v>
      </c>
      <c r="C1957" s="7">
        <v>12.811</v>
      </c>
      <c r="D1957" s="2">
        <f t="shared" si="489"/>
        <v>2.0000000000006679E-3</v>
      </c>
      <c r="E1957" s="8">
        <f t="shared" si="500"/>
        <v>12.893144669574461</v>
      </c>
      <c r="F1957" s="6">
        <f t="shared" si="486"/>
        <v>1.7006802721088433E-2</v>
      </c>
      <c r="G1957" s="12">
        <f t="shared" si="494"/>
        <v>-8.2144669574461204E-2</v>
      </c>
    </row>
    <row r="1958" spans="1:15" x14ac:dyDescent="0.3">
      <c r="A1958" s="11" t="s">
        <v>1854</v>
      </c>
      <c r="B1958" s="7">
        <v>35320</v>
      </c>
      <c r="C1958" s="7">
        <v>12.804</v>
      </c>
      <c r="D1958" s="2">
        <f t="shared" si="489"/>
        <v>-6.9999999999996732E-3</v>
      </c>
      <c r="E1958" s="8">
        <f t="shared" si="500"/>
        <v>12.876137866853373</v>
      </c>
      <c r="F1958" s="6">
        <f t="shared" si="486"/>
        <v>1.7006802721088433E-2</v>
      </c>
      <c r="G1958" s="12">
        <f t="shared" si="494"/>
        <v>-7.2137866853372756E-2</v>
      </c>
    </row>
    <row r="1959" spans="1:15" x14ac:dyDescent="0.3">
      <c r="A1959" s="11" t="s">
        <v>1855</v>
      </c>
      <c r="B1959" s="7">
        <v>35340</v>
      </c>
      <c r="C1959" s="7">
        <v>12.786</v>
      </c>
      <c r="D1959" s="2">
        <f t="shared" si="489"/>
        <v>-1.8000000000000682E-2</v>
      </c>
      <c r="E1959" s="8">
        <f t="shared" si="500"/>
        <v>12.859131064132285</v>
      </c>
      <c r="F1959" s="6">
        <f t="shared" si="486"/>
        <v>1.7006802721088433E-2</v>
      </c>
      <c r="G1959" s="12">
        <f t="shared" si="494"/>
        <v>-7.3131064132285317E-2</v>
      </c>
    </row>
    <row r="1960" spans="1:15" x14ac:dyDescent="0.3">
      <c r="A1960" s="11" t="s">
        <v>1856</v>
      </c>
      <c r="B1960" s="7">
        <v>35360</v>
      </c>
      <c r="C1960" s="7">
        <v>12.766</v>
      </c>
      <c r="D1960" s="2">
        <f t="shared" si="489"/>
        <v>-1.9999999999999574E-2</v>
      </c>
      <c r="E1960" s="8">
        <f t="shared" si="500"/>
        <v>12.842124261411197</v>
      </c>
      <c r="F1960" s="6">
        <f t="shared" si="486"/>
        <v>1.7006802721088433E-2</v>
      </c>
      <c r="G1960" s="12">
        <f t="shared" si="494"/>
        <v>-7.612426141119677E-2</v>
      </c>
    </row>
    <row r="1961" spans="1:15" x14ac:dyDescent="0.3">
      <c r="A1961" s="11" t="s">
        <v>1857</v>
      </c>
      <c r="B1961" s="7">
        <v>35380</v>
      </c>
      <c r="C1961" s="7">
        <v>12.759</v>
      </c>
      <c r="D1961" s="2">
        <f t="shared" si="489"/>
        <v>-6.9999999999996732E-3</v>
      </c>
      <c r="E1961" s="8">
        <f t="shared" si="500"/>
        <v>12.825117458690109</v>
      </c>
      <c r="F1961" s="6">
        <f t="shared" si="486"/>
        <v>1.7006802721088433E-2</v>
      </c>
      <c r="G1961" s="12">
        <f t="shared" si="494"/>
        <v>-6.6117458690108322E-2</v>
      </c>
    </row>
    <row r="1962" spans="1:15" x14ac:dyDescent="0.3">
      <c r="A1962" s="11" t="s">
        <v>1858</v>
      </c>
      <c r="B1962" s="7">
        <v>35400</v>
      </c>
      <c r="C1962" s="7">
        <v>12.750999999999999</v>
      </c>
      <c r="D1962" s="2">
        <f t="shared" si="489"/>
        <v>-8.0000000000008953E-3</v>
      </c>
      <c r="E1962" s="8">
        <f t="shared" ref="E1962:E1969" si="501">E1961-F1961</f>
        <v>12.808110655969021</v>
      </c>
      <c r="F1962" s="6">
        <f t="shared" si="486"/>
        <v>1.7006802721088433E-2</v>
      </c>
      <c r="G1962" s="12">
        <f t="shared" ref="G1962:G1981" si="502">C1962-E1962</f>
        <v>-5.7110655969021096E-2</v>
      </c>
    </row>
    <row r="1963" spans="1:15" x14ac:dyDescent="0.3">
      <c r="A1963" s="11" t="s">
        <v>1859</v>
      </c>
      <c r="B1963" s="7">
        <v>35420</v>
      </c>
      <c r="C1963" s="7">
        <v>12.617000000000001</v>
      </c>
      <c r="D1963" s="2">
        <f t="shared" si="489"/>
        <v>-0.13399999999999856</v>
      </c>
      <c r="E1963" s="8">
        <f t="shared" si="501"/>
        <v>12.791103853247932</v>
      </c>
      <c r="F1963" s="6">
        <f t="shared" ref="F1963:F2027" si="503">F1962</f>
        <v>1.7006802721088433E-2</v>
      </c>
      <c r="G1963" s="12">
        <f t="shared" si="502"/>
        <v>-0.17410385324793154</v>
      </c>
    </row>
    <row r="1964" spans="1:15" x14ac:dyDescent="0.3">
      <c r="A1964" s="11" t="s">
        <v>1860</v>
      </c>
      <c r="B1964" s="7">
        <v>35440</v>
      </c>
      <c r="C1964" s="7">
        <v>12.638</v>
      </c>
      <c r="D1964" s="2">
        <f t="shared" si="489"/>
        <v>2.0999999999999019E-2</v>
      </c>
      <c r="E1964" s="8">
        <f t="shared" si="501"/>
        <v>12.774097050526844</v>
      </c>
      <c r="F1964" s="6">
        <f t="shared" si="503"/>
        <v>1.7006802721088433E-2</v>
      </c>
      <c r="G1964" s="12">
        <f t="shared" si="502"/>
        <v>-0.1360970505268444</v>
      </c>
    </row>
    <row r="1965" spans="1:15" x14ac:dyDescent="0.3">
      <c r="A1965" s="11" t="s">
        <v>1861</v>
      </c>
      <c r="B1965" s="7">
        <v>35460</v>
      </c>
      <c r="C1965" s="7">
        <v>12.712999999999999</v>
      </c>
      <c r="D1965" s="2">
        <f t="shared" si="489"/>
        <v>7.4999999999999289E-2</v>
      </c>
      <c r="E1965" s="8">
        <f t="shared" si="501"/>
        <v>12.757090247805756</v>
      </c>
      <c r="F1965" s="6">
        <f t="shared" si="503"/>
        <v>1.7006802721088433E-2</v>
      </c>
      <c r="G1965" s="12">
        <f t="shared" si="502"/>
        <v>-4.4090247805756988E-2</v>
      </c>
    </row>
    <row r="1966" spans="1:15" x14ac:dyDescent="0.3">
      <c r="A1966" s="11" t="s">
        <v>1862</v>
      </c>
      <c r="B1966" s="7">
        <v>35480</v>
      </c>
      <c r="C1966" s="7">
        <v>12.704000000000001</v>
      </c>
      <c r="D1966" s="2">
        <f t="shared" si="489"/>
        <v>-8.9999999999985647E-3</v>
      </c>
      <c r="E1966" s="8">
        <f t="shared" si="501"/>
        <v>12.740083445084668</v>
      </c>
      <c r="F1966" s="6">
        <f t="shared" si="503"/>
        <v>1.7006802721088433E-2</v>
      </c>
      <c r="G1966" s="12">
        <f t="shared" si="502"/>
        <v>-3.6083445084667432E-2</v>
      </c>
    </row>
    <row r="1967" spans="1:15" x14ac:dyDescent="0.3">
      <c r="A1967" s="11" t="s">
        <v>1863</v>
      </c>
      <c r="B1967" s="7">
        <v>35500</v>
      </c>
      <c r="C1967" s="7">
        <v>12.706</v>
      </c>
      <c r="D1967" s="2">
        <f t="shared" si="489"/>
        <v>1.9999999999988916E-3</v>
      </c>
      <c r="E1967" s="8">
        <f t="shared" si="501"/>
        <v>12.72307664236358</v>
      </c>
      <c r="F1967" s="6">
        <f t="shared" si="503"/>
        <v>1.7006802721088433E-2</v>
      </c>
      <c r="G1967" s="12">
        <f t="shared" si="502"/>
        <v>-1.7076642363580419E-2</v>
      </c>
    </row>
    <row r="1968" spans="1:15" x14ac:dyDescent="0.3">
      <c r="A1968" s="11" t="s">
        <v>1864</v>
      </c>
      <c r="B1968" s="7">
        <v>35520</v>
      </c>
      <c r="C1968" s="7">
        <v>12.701000000000001</v>
      </c>
      <c r="D1968" s="2">
        <f t="shared" si="489"/>
        <v>-4.9999999999990052E-3</v>
      </c>
      <c r="E1968" s="8">
        <f t="shared" si="501"/>
        <v>12.706069839642492</v>
      </c>
      <c r="F1968" s="6">
        <f t="shared" si="503"/>
        <v>1.7006802721088433E-2</v>
      </c>
      <c r="G1968" s="12">
        <f t="shared" si="502"/>
        <v>-5.0698396424913028E-3</v>
      </c>
    </row>
    <row r="1969" spans="1:18" x14ac:dyDescent="0.3">
      <c r="A1969" s="11" t="s">
        <v>1865</v>
      </c>
      <c r="B1969" s="7">
        <v>35540</v>
      </c>
      <c r="C1969" s="7">
        <v>12.689</v>
      </c>
      <c r="D1969" s="2">
        <f t="shared" si="489"/>
        <v>-1.2000000000000455E-2</v>
      </c>
      <c r="E1969" s="8">
        <f t="shared" si="501"/>
        <v>12.689063036921404</v>
      </c>
      <c r="F1969" s="6">
        <f t="shared" si="503"/>
        <v>1.7006802721088433E-2</v>
      </c>
      <c r="G1969" s="12">
        <f t="shared" si="502"/>
        <v>-6.303692140363637E-5</v>
      </c>
    </row>
    <row r="1970" spans="1:18" x14ac:dyDescent="0.3">
      <c r="A1970" s="21"/>
      <c r="B1970" s="22"/>
      <c r="C1970" s="22"/>
      <c r="D1970" s="22"/>
      <c r="E1970" s="22"/>
      <c r="F1970" s="22"/>
      <c r="G1970" s="23"/>
      <c r="H1970" s="4" t="s">
        <v>28</v>
      </c>
      <c r="J1970" s="4"/>
      <c r="O1970" s="3">
        <f>1/O1971</f>
        <v>6.793478260869565E-4</v>
      </c>
      <c r="P1970" s="3">
        <f>O1970*20</f>
        <v>1.358695652173913E-2</v>
      </c>
      <c r="Q1970" s="3" t="s">
        <v>3202</v>
      </c>
      <c r="R1970" s="3">
        <v>1472</v>
      </c>
    </row>
    <row r="1971" spans="1:18" x14ac:dyDescent="0.3">
      <c r="A1971" s="11" t="s">
        <v>1866</v>
      </c>
      <c r="B1971" s="7">
        <v>35560</v>
      </c>
      <c r="C1971" s="7">
        <v>12.686999999999999</v>
      </c>
      <c r="D1971" s="2">
        <f>C1971-C1969</f>
        <v>-2.0000000000006679E-3</v>
      </c>
      <c r="E1971" s="8">
        <f>E1969+F1971</f>
        <v>12.702649993443142</v>
      </c>
      <c r="F1971" s="6">
        <f>P1970</f>
        <v>1.358695652173913E-2</v>
      </c>
      <c r="G1971" s="12">
        <f>C1971-E1971</f>
        <v>-1.5649993443142662E-2</v>
      </c>
      <c r="H1971" s="3">
        <f>B1969</f>
        <v>35540</v>
      </c>
      <c r="I1971" s="3">
        <f>B2000</f>
        <v>36120</v>
      </c>
      <c r="J1971" s="3">
        <f>I1971-H1971</f>
        <v>580</v>
      </c>
      <c r="K1971" s="5">
        <f>E1969</f>
        <v>12.689063036921404</v>
      </c>
      <c r="L1971" s="3">
        <f>C2000</f>
        <v>13.083</v>
      </c>
      <c r="M1971" s="5">
        <f>L1971-K1971</f>
        <v>0.39393696307859649</v>
      </c>
      <c r="N1971" s="3">
        <f>J1971/M1971</f>
        <v>1472.3167774542676</v>
      </c>
      <c r="O1971" s="3">
        <v>1472</v>
      </c>
    </row>
    <row r="1972" spans="1:18" x14ac:dyDescent="0.3">
      <c r="A1972" s="11" t="s">
        <v>1867</v>
      </c>
      <c r="B1972" s="7">
        <v>35580</v>
      </c>
      <c r="C1972" s="7">
        <v>12.698</v>
      </c>
      <c r="D1972" s="2">
        <f t="shared" si="489"/>
        <v>1.1000000000001009E-2</v>
      </c>
      <c r="E1972" s="8">
        <f>E1971+F1971</f>
        <v>12.71623694996488</v>
      </c>
      <c r="F1972" s="6">
        <f t="shared" ref="F1972" si="504">F1971</f>
        <v>1.358695652173913E-2</v>
      </c>
      <c r="G1972" s="12">
        <f t="shared" ref="G1972" si="505">C1972-E1972</f>
        <v>-1.8236949964880012E-2</v>
      </c>
    </row>
    <row r="1973" spans="1:18" x14ac:dyDescent="0.3">
      <c r="A1973" s="11" t="s">
        <v>1868</v>
      </c>
      <c r="B1973" s="7">
        <v>35600</v>
      </c>
      <c r="C1973" s="7">
        <v>12.714</v>
      </c>
      <c r="D1973" s="2">
        <f t="shared" si="489"/>
        <v>1.6000000000000014E-2</v>
      </c>
      <c r="E1973" s="8">
        <f t="shared" ref="E1973:E1981" si="506">E1972+F1972</f>
        <v>12.729823906486619</v>
      </c>
      <c r="F1973" s="6">
        <f t="shared" si="503"/>
        <v>1.358695652173913E-2</v>
      </c>
      <c r="G1973" s="12">
        <f t="shared" si="502"/>
        <v>-1.5823906486618355E-2</v>
      </c>
    </row>
    <row r="1974" spans="1:18" x14ac:dyDescent="0.3">
      <c r="A1974" s="11" t="s">
        <v>1869</v>
      </c>
      <c r="B1974" s="7">
        <v>35620</v>
      </c>
      <c r="C1974" s="7">
        <v>12.722</v>
      </c>
      <c r="D1974" s="2">
        <f t="shared" si="489"/>
        <v>7.9999999999991189E-3</v>
      </c>
      <c r="E1974" s="8">
        <f t="shared" si="506"/>
        <v>12.743410863008357</v>
      </c>
      <c r="F1974" s="6">
        <f t="shared" si="503"/>
        <v>1.358695652173913E-2</v>
      </c>
      <c r="G1974" s="12">
        <f t="shared" si="502"/>
        <v>-2.1410863008357595E-2</v>
      </c>
    </row>
    <row r="1975" spans="1:18" x14ac:dyDescent="0.3">
      <c r="A1975" s="11" t="s">
        <v>1870</v>
      </c>
      <c r="B1975" s="7">
        <v>35640</v>
      </c>
      <c r="C1975" s="7">
        <v>12.724</v>
      </c>
      <c r="D1975" s="2">
        <f t="shared" si="489"/>
        <v>2.0000000000006679E-3</v>
      </c>
      <c r="E1975" s="8">
        <f t="shared" si="506"/>
        <v>12.756997819530095</v>
      </c>
      <c r="F1975" s="6">
        <f t="shared" si="503"/>
        <v>1.358695652173913E-2</v>
      </c>
      <c r="G1975" s="12">
        <f t="shared" si="502"/>
        <v>-3.2997819530095285E-2</v>
      </c>
    </row>
    <row r="1976" spans="1:18" x14ac:dyDescent="0.3">
      <c r="A1976" s="11" t="s">
        <v>1871</v>
      </c>
      <c r="B1976" s="7">
        <v>35660</v>
      </c>
      <c r="C1976" s="7">
        <v>12.737</v>
      </c>
      <c r="D1976" s="2">
        <f t="shared" si="489"/>
        <v>1.2999999999999901E-2</v>
      </c>
      <c r="E1976" s="8">
        <f t="shared" si="506"/>
        <v>12.770584776051834</v>
      </c>
      <c r="F1976" s="6">
        <f t="shared" si="503"/>
        <v>1.358695652173913E-2</v>
      </c>
      <c r="G1976" s="12">
        <f t="shared" si="502"/>
        <v>-3.3584776051833742E-2</v>
      </c>
    </row>
    <row r="1977" spans="1:18" x14ac:dyDescent="0.3">
      <c r="A1977" s="11" t="s">
        <v>1872</v>
      </c>
      <c r="B1977" s="7">
        <v>35680</v>
      </c>
      <c r="C1977" s="7">
        <v>12.74</v>
      </c>
      <c r="D1977" s="2">
        <f t="shared" si="489"/>
        <v>3.0000000000001137E-3</v>
      </c>
      <c r="E1977" s="8">
        <f t="shared" si="506"/>
        <v>12.784171732573572</v>
      </c>
      <c r="F1977" s="6">
        <f t="shared" si="503"/>
        <v>1.358695652173913E-2</v>
      </c>
      <c r="G1977" s="12">
        <f t="shared" si="502"/>
        <v>-4.4171732573571987E-2</v>
      </c>
    </row>
    <row r="1978" spans="1:18" x14ac:dyDescent="0.3">
      <c r="A1978" s="11" t="s">
        <v>1873</v>
      </c>
      <c r="B1978" s="7">
        <v>35700</v>
      </c>
      <c r="C1978" s="7">
        <v>12.759</v>
      </c>
      <c r="D1978" s="2">
        <f t="shared" si="489"/>
        <v>1.9000000000000128E-2</v>
      </c>
      <c r="E1978" s="8">
        <f t="shared" si="506"/>
        <v>12.797758689095311</v>
      </c>
      <c r="F1978" s="6">
        <f t="shared" si="503"/>
        <v>1.358695652173913E-2</v>
      </c>
      <c r="G1978" s="12">
        <f t="shared" si="502"/>
        <v>-3.8758689095310217E-2</v>
      </c>
    </row>
    <row r="1979" spans="1:18" x14ac:dyDescent="0.3">
      <c r="A1979" s="11" t="s">
        <v>1874</v>
      </c>
      <c r="B1979" s="7">
        <v>35720</v>
      </c>
      <c r="C1979" s="7">
        <v>12.776</v>
      </c>
      <c r="D1979" s="2">
        <f t="shared" si="489"/>
        <v>1.699999999999946E-2</v>
      </c>
      <c r="E1979" s="8">
        <f t="shared" si="506"/>
        <v>12.811345645617049</v>
      </c>
      <c r="F1979" s="6">
        <f t="shared" si="503"/>
        <v>1.358695652173913E-2</v>
      </c>
      <c r="G1979" s="12">
        <f t="shared" si="502"/>
        <v>-3.5345645617049115E-2</v>
      </c>
    </row>
    <row r="1980" spans="1:18" x14ac:dyDescent="0.3">
      <c r="A1980" s="11" t="s">
        <v>1875</v>
      </c>
      <c r="B1980" s="7">
        <v>35740</v>
      </c>
      <c r="C1980" s="7">
        <v>12.801</v>
      </c>
      <c r="D1980" s="2">
        <f t="shared" si="489"/>
        <v>2.5000000000000355E-2</v>
      </c>
      <c r="E1980" s="8">
        <f t="shared" si="506"/>
        <v>12.824932602138787</v>
      </c>
      <c r="F1980" s="6">
        <f t="shared" si="503"/>
        <v>1.358695652173913E-2</v>
      </c>
      <c r="G1980" s="12">
        <f t="shared" si="502"/>
        <v>-2.3932602138787118E-2</v>
      </c>
    </row>
    <row r="1981" spans="1:18" x14ac:dyDescent="0.3">
      <c r="A1981" s="11" t="s">
        <v>1876</v>
      </c>
      <c r="B1981" s="7">
        <v>35760</v>
      </c>
      <c r="C1981" s="7">
        <v>12.823</v>
      </c>
      <c r="D1981" s="2">
        <f t="shared" si="489"/>
        <v>2.2000000000000242E-2</v>
      </c>
      <c r="E1981" s="8">
        <f t="shared" si="506"/>
        <v>12.838519558660526</v>
      </c>
      <c r="F1981" s="6">
        <f t="shared" si="503"/>
        <v>1.358695652173913E-2</v>
      </c>
      <c r="G1981" s="12">
        <f t="shared" si="502"/>
        <v>-1.5519558660525234E-2</v>
      </c>
    </row>
    <row r="1982" spans="1:18" x14ac:dyDescent="0.3">
      <c r="A1982" s="11" t="s">
        <v>1877</v>
      </c>
      <c r="B1982" s="7">
        <v>35780</v>
      </c>
      <c r="C1982" s="7">
        <v>12.843</v>
      </c>
      <c r="D1982" s="2">
        <f t="shared" si="489"/>
        <v>1.9999999999999574E-2</v>
      </c>
      <c r="E1982" s="8">
        <f t="shared" ref="E1982:E1998" si="507">E1981+F1981</f>
        <v>12.852106515182264</v>
      </c>
      <c r="F1982" s="6">
        <f t="shared" si="503"/>
        <v>1.358695652173913E-2</v>
      </c>
      <c r="G1982" s="12">
        <f t="shared" ref="G1982:G1998" si="508">C1982-E1982</f>
        <v>-9.1065151822640189E-3</v>
      </c>
    </row>
    <row r="1983" spans="1:18" x14ac:dyDescent="0.3">
      <c r="A1983" s="11" t="s">
        <v>1878</v>
      </c>
      <c r="B1983" s="7">
        <v>35800</v>
      </c>
      <c r="C1983" s="7">
        <v>12.887</v>
      </c>
      <c r="D1983" s="2">
        <f t="shared" si="489"/>
        <v>4.4000000000000483E-2</v>
      </c>
      <c r="E1983" s="8">
        <f t="shared" si="507"/>
        <v>12.865693471704002</v>
      </c>
      <c r="F1983" s="6">
        <f t="shared" si="503"/>
        <v>1.358695652173913E-2</v>
      </c>
      <c r="G1983" s="12">
        <f t="shared" si="508"/>
        <v>2.1306528295998106E-2</v>
      </c>
    </row>
    <row r="1984" spans="1:18" x14ac:dyDescent="0.3">
      <c r="A1984" s="11" t="s">
        <v>1879</v>
      </c>
      <c r="B1984" s="7">
        <v>35820</v>
      </c>
      <c r="C1984" s="7">
        <v>12.944000000000001</v>
      </c>
      <c r="D1984" s="2">
        <f t="shared" si="489"/>
        <v>5.7000000000000384E-2</v>
      </c>
      <c r="E1984" s="8">
        <f t="shared" si="507"/>
        <v>12.879280428225741</v>
      </c>
      <c r="F1984" s="6">
        <f t="shared" si="503"/>
        <v>1.358695652173913E-2</v>
      </c>
      <c r="G1984" s="12">
        <f t="shared" si="508"/>
        <v>6.4719571774260132E-2</v>
      </c>
    </row>
    <row r="1985" spans="1:7" x14ac:dyDescent="0.3">
      <c r="A1985" s="11" t="s">
        <v>1880</v>
      </c>
      <c r="B1985" s="7">
        <v>35840</v>
      </c>
      <c r="C1985" s="7">
        <v>12.991</v>
      </c>
      <c r="D1985" s="2">
        <f t="shared" si="489"/>
        <v>4.699999999999882E-2</v>
      </c>
      <c r="E1985" s="8">
        <f t="shared" si="507"/>
        <v>12.892867384747479</v>
      </c>
      <c r="F1985" s="6">
        <f t="shared" si="503"/>
        <v>1.358695652173913E-2</v>
      </c>
      <c r="G1985" s="12">
        <f t="shared" si="508"/>
        <v>9.8132615252520594E-2</v>
      </c>
    </row>
    <row r="1986" spans="1:7" x14ac:dyDescent="0.3">
      <c r="A1986" s="11" t="s">
        <v>1881</v>
      </c>
      <c r="B1986" s="7">
        <v>35860</v>
      </c>
      <c r="C1986" s="7">
        <v>13.004</v>
      </c>
      <c r="D1986" s="2">
        <f t="shared" si="489"/>
        <v>1.2999999999999901E-2</v>
      </c>
      <c r="E1986" s="8">
        <f t="shared" si="507"/>
        <v>12.906454341269217</v>
      </c>
      <c r="F1986" s="6">
        <f t="shared" si="503"/>
        <v>1.358695652173913E-2</v>
      </c>
      <c r="G1986" s="12">
        <f t="shared" si="508"/>
        <v>9.7545658730782137E-2</v>
      </c>
    </row>
    <row r="1987" spans="1:7" x14ac:dyDescent="0.3">
      <c r="A1987" s="11" t="s">
        <v>1882</v>
      </c>
      <c r="B1987" s="7">
        <v>35880</v>
      </c>
      <c r="C1987" s="7">
        <v>12.984999999999999</v>
      </c>
      <c r="D1987" s="2">
        <f t="shared" ref="D1987:D2056" si="509">C1987-C1986</f>
        <v>-1.9000000000000128E-2</v>
      </c>
      <c r="E1987" s="8">
        <f t="shared" si="507"/>
        <v>12.920041297790956</v>
      </c>
      <c r="F1987" s="6">
        <f t="shared" si="503"/>
        <v>1.358695652173913E-2</v>
      </c>
      <c r="G1987" s="12">
        <f t="shared" si="508"/>
        <v>6.4958702209043651E-2</v>
      </c>
    </row>
    <row r="1988" spans="1:7" x14ac:dyDescent="0.3">
      <c r="A1988" s="11" t="s">
        <v>1883</v>
      </c>
      <c r="B1988" s="7">
        <v>35900</v>
      </c>
      <c r="C1988" s="7">
        <v>12.935</v>
      </c>
      <c r="D1988" s="2">
        <f t="shared" si="509"/>
        <v>-4.9999999999998934E-2</v>
      </c>
      <c r="E1988" s="8">
        <f t="shared" si="507"/>
        <v>12.933628254312694</v>
      </c>
      <c r="F1988" s="6">
        <f t="shared" si="503"/>
        <v>1.358695652173913E-2</v>
      </c>
      <c r="G1988" s="12">
        <f t="shared" si="508"/>
        <v>1.3717456873063583E-3</v>
      </c>
    </row>
    <row r="1989" spans="1:7" x14ac:dyDescent="0.3">
      <c r="A1989" s="11" t="s">
        <v>1884</v>
      </c>
      <c r="B1989" s="7">
        <v>35920</v>
      </c>
      <c r="C1989" s="7">
        <v>12.815</v>
      </c>
      <c r="D1989" s="2">
        <f t="shared" si="509"/>
        <v>-0.12000000000000099</v>
      </c>
      <c r="E1989" s="8">
        <f t="shared" si="507"/>
        <v>12.947215210834432</v>
      </c>
      <c r="F1989" s="6">
        <f t="shared" si="503"/>
        <v>1.358695652173913E-2</v>
      </c>
      <c r="G1989" s="12">
        <f t="shared" si="508"/>
        <v>-0.13221521083443299</v>
      </c>
    </row>
    <row r="1990" spans="1:7" x14ac:dyDescent="0.3">
      <c r="A1990" s="11" t="s">
        <v>1885</v>
      </c>
      <c r="B1990" s="7">
        <v>35940</v>
      </c>
      <c r="C1990" s="7">
        <v>12.869</v>
      </c>
      <c r="D1990" s="2">
        <f t="shared" si="509"/>
        <v>5.400000000000027E-2</v>
      </c>
      <c r="E1990" s="8">
        <f t="shared" si="507"/>
        <v>12.960802167356171</v>
      </c>
      <c r="F1990" s="6">
        <f t="shared" si="503"/>
        <v>1.358695652173913E-2</v>
      </c>
      <c r="G1990" s="12">
        <f t="shared" si="508"/>
        <v>-9.1802167356171083E-2</v>
      </c>
    </row>
    <row r="1991" spans="1:7" x14ac:dyDescent="0.3">
      <c r="A1991" s="13" t="s">
        <v>1886</v>
      </c>
      <c r="B1991" s="24"/>
      <c r="C1991" s="25"/>
      <c r="D1991" s="25"/>
      <c r="E1991" s="25"/>
      <c r="F1991" s="25"/>
      <c r="G1991" s="26"/>
    </row>
    <row r="1992" spans="1:7" x14ac:dyDescent="0.3">
      <c r="A1992" s="11" t="s">
        <v>1887</v>
      </c>
      <c r="B1992" s="7">
        <v>35960</v>
      </c>
      <c r="C1992" s="7">
        <v>12.864000000000001</v>
      </c>
      <c r="D1992" s="2">
        <f>C1992-C1990</f>
        <v>-4.9999999999990052E-3</v>
      </c>
      <c r="E1992" s="8">
        <f>E1990+F1990</f>
        <v>12.974389123877909</v>
      </c>
      <c r="F1992" s="6">
        <f>F1990</f>
        <v>1.358695652173913E-2</v>
      </c>
      <c r="G1992" s="12">
        <f t="shared" si="508"/>
        <v>-0.11038912387790845</v>
      </c>
    </row>
    <row r="1993" spans="1:7" x14ac:dyDescent="0.3">
      <c r="A1993" s="11" t="s">
        <v>1888</v>
      </c>
      <c r="B1993" s="7">
        <v>35980</v>
      </c>
      <c r="C1993" s="7">
        <v>12.864000000000001</v>
      </c>
      <c r="D1993" s="2">
        <f t="shared" si="509"/>
        <v>0</v>
      </c>
      <c r="E1993" s="8">
        <f t="shared" si="507"/>
        <v>12.987976080399648</v>
      </c>
      <c r="F1993" s="6">
        <f t="shared" si="503"/>
        <v>1.358695652173913E-2</v>
      </c>
      <c r="G1993" s="12">
        <f t="shared" si="508"/>
        <v>-0.1239760803996468</v>
      </c>
    </row>
    <row r="1994" spans="1:7" x14ac:dyDescent="0.3">
      <c r="A1994" s="11" t="s">
        <v>1889</v>
      </c>
      <c r="B1994" s="7">
        <v>36000</v>
      </c>
      <c r="C1994" s="7">
        <v>12.875999999999999</v>
      </c>
      <c r="D1994" s="2">
        <f t="shared" si="509"/>
        <v>1.1999999999998678E-2</v>
      </c>
      <c r="E1994" s="8">
        <f t="shared" si="507"/>
        <v>13.001563036921386</v>
      </c>
      <c r="F1994" s="6">
        <f t="shared" si="503"/>
        <v>1.358695652173913E-2</v>
      </c>
      <c r="G1994" s="12">
        <f t="shared" si="508"/>
        <v>-0.12556303692138648</v>
      </c>
    </row>
    <row r="1995" spans="1:7" x14ac:dyDescent="0.3">
      <c r="A1995" s="11" t="s">
        <v>1890</v>
      </c>
      <c r="B1995" s="7">
        <v>36020</v>
      </c>
      <c r="C1995" s="7">
        <v>12.882</v>
      </c>
      <c r="D1995" s="2">
        <f t="shared" si="509"/>
        <v>6.0000000000002274E-3</v>
      </c>
      <c r="E1995" s="8">
        <f t="shared" si="507"/>
        <v>13.015149993443124</v>
      </c>
      <c r="F1995" s="6">
        <f t="shared" si="503"/>
        <v>1.358695652173913E-2</v>
      </c>
      <c r="G1995" s="12">
        <f t="shared" si="508"/>
        <v>-0.13314999344312461</v>
      </c>
    </row>
    <row r="1996" spans="1:7" x14ac:dyDescent="0.3">
      <c r="A1996" s="11" t="s">
        <v>1891</v>
      </c>
      <c r="B1996" s="7">
        <v>36040</v>
      </c>
      <c r="C1996" s="7">
        <v>12.914999999999999</v>
      </c>
      <c r="D1996" s="2">
        <f t="shared" si="509"/>
        <v>3.2999999999999474E-2</v>
      </c>
      <c r="E1996" s="8">
        <f t="shared" si="507"/>
        <v>13.028736949964863</v>
      </c>
      <c r="F1996" s="6">
        <f t="shared" si="503"/>
        <v>1.358695652173913E-2</v>
      </c>
      <c r="G1996" s="12">
        <f t="shared" si="508"/>
        <v>-0.1137369499648635</v>
      </c>
    </row>
    <row r="1997" spans="1:7" x14ac:dyDescent="0.3">
      <c r="A1997" s="11" t="s">
        <v>1892</v>
      </c>
      <c r="B1997" s="7">
        <v>36060</v>
      </c>
      <c r="C1997" s="7">
        <v>12.919</v>
      </c>
      <c r="D1997" s="2">
        <f t="shared" si="509"/>
        <v>4.0000000000013358E-3</v>
      </c>
      <c r="E1997" s="8">
        <f t="shared" si="507"/>
        <v>13.042323906486601</v>
      </c>
      <c r="F1997" s="6">
        <f t="shared" si="503"/>
        <v>1.358695652173913E-2</v>
      </c>
      <c r="G1997" s="12">
        <f t="shared" si="508"/>
        <v>-0.12332390648660052</v>
      </c>
    </row>
    <row r="1998" spans="1:7" x14ac:dyDescent="0.3">
      <c r="A1998" s="11" t="s">
        <v>1893</v>
      </c>
      <c r="B1998" s="7">
        <v>36080</v>
      </c>
      <c r="C1998" s="7">
        <v>12.984</v>
      </c>
      <c r="D1998" s="2">
        <f t="shared" si="509"/>
        <v>6.4999999999999503E-2</v>
      </c>
      <c r="E1998" s="8">
        <f t="shared" si="507"/>
        <v>13.055910863008339</v>
      </c>
      <c r="F1998" s="6">
        <f t="shared" si="503"/>
        <v>1.358695652173913E-2</v>
      </c>
      <c r="G1998" s="12">
        <f t="shared" si="508"/>
        <v>-7.1910863008339376E-2</v>
      </c>
    </row>
    <row r="1999" spans="1:7" x14ac:dyDescent="0.3">
      <c r="A1999" s="11" t="s">
        <v>1894</v>
      </c>
      <c r="B1999" s="7">
        <v>36100</v>
      </c>
      <c r="C1999" s="7">
        <v>13.036</v>
      </c>
      <c r="D1999" s="2">
        <f t="shared" si="509"/>
        <v>5.1999999999999602E-2</v>
      </c>
      <c r="E1999" s="8">
        <f t="shared" ref="E1999:E2000" si="510">E1998+F1998</f>
        <v>13.069497819530078</v>
      </c>
      <c r="F1999" s="6">
        <f t="shared" si="503"/>
        <v>1.358695652173913E-2</v>
      </c>
      <c r="G1999" s="12">
        <f t="shared" ref="G1999:G2000" si="511">C1999-E1999</f>
        <v>-3.3497819530078132E-2</v>
      </c>
    </row>
    <row r="2000" spans="1:7" x14ac:dyDescent="0.3">
      <c r="A2000" s="11" t="s">
        <v>1895</v>
      </c>
      <c r="B2000" s="7">
        <v>36120</v>
      </c>
      <c r="C2000" s="7">
        <v>13.083</v>
      </c>
      <c r="D2000" s="2">
        <f t="shared" si="509"/>
        <v>4.7000000000000597E-2</v>
      </c>
      <c r="E2000" s="8">
        <f t="shared" si="510"/>
        <v>13.083084776051816</v>
      </c>
      <c r="F2000" s="6">
        <f t="shared" si="503"/>
        <v>1.358695652173913E-2</v>
      </c>
      <c r="G2000" s="12">
        <f t="shared" si="511"/>
        <v>-8.4776051815893538E-5</v>
      </c>
    </row>
    <row r="2001" spans="1:18" x14ac:dyDescent="0.3">
      <c r="A2001" s="21"/>
      <c r="B2001" s="22"/>
      <c r="C2001" s="22"/>
      <c r="D2001" s="22"/>
      <c r="E2001" s="22"/>
      <c r="F2001" s="22"/>
      <c r="G2001" s="23"/>
      <c r="H2001" s="4" t="s">
        <v>3234</v>
      </c>
      <c r="J2001" s="4"/>
      <c r="O2001" s="3">
        <f>1/O2002</f>
        <v>4.4444444444444444E-3</v>
      </c>
      <c r="P2001" s="3">
        <f>O2001*20</f>
        <v>8.8888888888888892E-2</v>
      </c>
      <c r="Q2001" s="3" t="s">
        <v>3202</v>
      </c>
      <c r="R2001" s="3">
        <v>225</v>
      </c>
    </row>
    <row r="2002" spans="1:18" x14ac:dyDescent="0.3">
      <c r="A2002" s="11" t="s">
        <v>1896</v>
      </c>
      <c r="B2002" s="7">
        <v>36140</v>
      </c>
      <c r="C2002" s="7">
        <v>13.175000000000001</v>
      </c>
      <c r="D2002" s="2">
        <f>C2002-C2000</f>
        <v>9.2000000000000526E-2</v>
      </c>
      <c r="E2002" s="8">
        <f>E2000+F2002</f>
        <v>13.171973664940705</v>
      </c>
      <c r="F2002" s="6">
        <f>P2001</f>
        <v>8.8888888888888892E-2</v>
      </c>
      <c r="G2002" s="12">
        <f>C2002-E2002</f>
        <v>3.0263350592960592E-3</v>
      </c>
      <c r="H2002" s="3">
        <f>B2000</f>
        <v>36120</v>
      </c>
      <c r="I2002" s="3">
        <f>B2013</f>
        <v>36360</v>
      </c>
      <c r="J2002" s="3">
        <f>I2002-H2002</f>
        <v>240</v>
      </c>
      <c r="K2002" s="5">
        <f>E2000</f>
        <v>13.083084776051816</v>
      </c>
      <c r="L2002" s="3">
        <f>C2013</f>
        <v>14.151999999999999</v>
      </c>
      <c r="M2002" s="5">
        <f>L2002-K2002</f>
        <v>1.0689152239481832</v>
      </c>
      <c r="N2002" s="3">
        <f>J2002/M2002</f>
        <v>224.52669269086419</v>
      </c>
      <c r="O2002" s="3">
        <v>225</v>
      </c>
    </row>
    <row r="2003" spans="1:18" x14ac:dyDescent="0.3">
      <c r="A2003" s="11" t="s">
        <v>1897</v>
      </c>
      <c r="B2003" s="7">
        <v>36160</v>
      </c>
      <c r="C2003" s="7">
        <v>13.287000000000001</v>
      </c>
      <c r="D2003" s="2">
        <f t="shared" si="509"/>
        <v>0.1120000000000001</v>
      </c>
      <c r="E2003" s="8">
        <f>E2002+F2002</f>
        <v>13.260862553829593</v>
      </c>
      <c r="F2003" s="6">
        <f t="shared" ref="F2003" si="512">F2002</f>
        <v>8.8888888888888892E-2</v>
      </c>
      <c r="G2003" s="12">
        <f t="shared" ref="G2003" si="513">C2003-E2003</f>
        <v>2.6137446170407586E-2</v>
      </c>
    </row>
    <row r="2004" spans="1:18" x14ac:dyDescent="0.3">
      <c r="A2004" s="11" t="s">
        <v>1898</v>
      </c>
      <c r="B2004" s="7">
        <v>36180</v>
      </c>
      <c r="C2004" s="7">
        <v>13.398</v>
      </c>
      <c r="D2004" s="2">
        <f t="shared" si="509"/>
        <v>0.11099999999999888</v>
      </c>
      <c r="E2004" s="8">
        <f t="shared" ref="E2004:E2012" si="514">E2003+F2003</f>
        <v>13.349751442718482</v>
      </c>
      <c r="F2004" s="6">
        <f t="shared" si="503"/>
        <v>8.8888888888888892E-2</v>
      </c>
      <c r="G2004" s="12">
        <f t="shared" ref="G2004:G2024" si="515">C2004-E2004</f>
        <v>4.824855728151789E-2</v>
      </c>
    </row>
    <row r="2005" spans="1:18" x14ac:dyDescent="0.3">
      <c r="A2005" s="11" t="s">
        <v>1899</v>
      </c>
      <c r="B2005" s="7">
        <v>36200</v>
      </c>
      <c r="C2005" s="7">
        <v>13.455</v>
      </c>
      <c r="D2005" s="2">
        <f t="shared" si="509"/>
        <v>5.7000000000000384E-2</v>
      </c>
      <c r="E2005" s="8">
        <f t="shared" si="514"/>
        <v>13.43864033160737</v>
      </c>
      <c r="F2005" s="6">
        <f t="shared" si="503"/>
        <v>8.8888888888888892E-2</v>
      </c>
      <c r="G2005" s="12">
        <f t="shared" si="515"/>
        <v>1.63596683926297E-2</v>
      </c>
    </row>
    <row r="2006" spans="1:18" x14ac:dyDescent="0.3">
      <c r="A2006" s="11" t="s">
        <v>1900</v>
      </c>
      <c r="B2006" s="7">
        <v>36220</v>
      </c>
      <c r="C2006" s="7">
        <v>13.503</v>
      </c>
      <c r="D2006" s="2">
        <f t="shared" si="509"/>
        <v>4.8000000000000043E-2</v>
      </c>
      <c r="E2006" s="8">
        <f t="shared" si="514"/>
        <v>13.527529220496259</v>
      </c>
      <c r="F2006" s="6">
        <f t="shared" si="503"/>
        <v>8.8888888888888892E-2</v>
      </c>
      <c r="G2006" s="12">
        <f t="shared" si="515"/>
        <v>-2.452922049625883E-2</v>
      </c>
    </row>
    <row r="2007" spans="1:18" x14ac:dyDescent="0.3">
      <c r="A2007" s="11" t="s">
        <v>1901</v>
      </c>
      <c r="B2007" s="7">
        <v>36240</v>
      </c>
      <c r="C2007" s="7">
        <v>13.57</v>
      </c>
      <c r="D2007" s="2">
        <f t="shared" si="509"/>
        <v>6.7000000000000171E-2</v>
      </c>
      <c r="E2007" s="8">
        <f t="shared" si="514"/>
        <v>13.616418109385148</v>
      </c>
      <c r="F2007" s="6">
        <f t="shared" si="503"/>
        <v>8.8888888888888892E-2</v>
      </c>
      <c r="G2007" s="12">
        <f t="shared" si="515"/>
        <v>-4.6418109385147233E-2</v>
      </c>
    </row>
    <row r="2008" spans="1:18" x14ac:dyDescent="0.3">
      <c r="A2008" s="11" t="s">
        <v>1902</v>
      </c>
      <c r="B2008" s="7">
        <v>36260</v>
      </c>
      <c r="C2008" s="7">
        <v>13.67</v>
      </c>
      <c r="D2008" s="2">
        <f t="shared" si="509"/>
        <v>9.9999999999999645E-2</v>
      </c>
      <c r="E2008" s="8">
        <f t="shared" si="514"/>
        <v>13.705306998274036</v>
      </c>
      <c r="F2008" s="6">
        <f t="shared" si="503"/>
        <v>8.8888888888888892E-2</v>
      </c>
      <c r="G2008" s="12">
        <f t="shared" si="515"/>
        <v>-3.5306998274036161E-2</v>
      </c>
    </row>
    <row r="2009" spans="1:18" x14ac:dyDescent="0.3">
      <c r="A2009" s="11" t="s">
        <v>1903</v>
      </c>
      <c r="B2009" s="7">
        <v>36280</v>
      </c>
      <c r="C2009" s="7">
        <v>13.782999999999999</v>
      </c>
      <c r="D2009" s="2">
        <f t="shared" si="509"/>
        <v>0.11299999999999955</v>
      </c>
      <c r="E2009" s="8">
        <f t="shared" si="514"/>
        <v>13.794195887162925</v>
      </c>
      <c r="F2009" s="6">
        <f t="shared" si="503"/>
        <v>8.8888888888888892E-2</v>
      </c>
      <c r="G2009" s="12">
        <f t="shared" si="515"/>
        <v>-1.1195887162925189E-2</v>
      </c>
    </row>
    <row r="2010" spans="1:18" x14ac:dyDescent="0.3">
      <c r="A2010" s="11" t="s">
        <v>1904</v>
      </c>
      <c r="B2010" s="7">
        <v>36300</v>
      </c>
      <c r="C2010" s="7">
        <v>13.871</v>
      </c>
      <c r="D2010" s="2">
        <f t="shared" si="509"/>
        <v>8.8000000000000966E-2</v>
      </c>
      <c r="E2010" s="8">
        <f t="shared" si="514"/>
        <v>13.883084776051813</v>
      </c>
      <c r="F2010" s="6">
        <f t="shared" si="503"/>
        <v>8.8888888888888892E-2</v>
      </c>
      <c r="G2010" s="12">
        <f t="shared" si="515"/>
        <v>-1.2084776051812796E-2</v>
      </c>
    </row>
    <row r="2011" spans="1:18" x14ac:dyDescent="0.3">
      <c r="A2011" s="11" t="s">
        <v>1905</v>
      </c>
      <c r="B2011" s="7">
        <v>36320</v>
      </c>
      <c r="C2011" s="7">
        <v>14.032999999999999</v>
      </c>
      <c r="D2011" s="2">
        <f t="shared" si="509"/>
        <v>0.16199999999999903</v>
      </c>
      <c r="E2011" s="8">
        <f t="shared" si="514"/>
        <v>13.971973664940702</v>
      </c>
      <c r="F2011" s="6">
        <f t="shared" si="503"/>
        <v>8.8888888888888892E-2</v>
      </c>
      <c r="G2011" s="12">
        <f t="shared" si="515"/>
        <v>6.1026335059297665E-2</v>
      </c>
    </row>
    <row r="2012" spans="1:18" x14ac:dyDescent="0.3">
      <c r="A2012" s="11" t="s">
        <v>1906</v>
      </c>
      <c r="B2012" s="7">
        <v>36340</v>
      </c>
      <c r="C2012" s="7">
        <v>14.11</v>
      </c>
      <c r="D2012" s="2">
        <f t="shared" si="509"/>
        <v>7.6999999999999957E-2</v>
      </c>
      <c r="E2012" s="8">
        <f t="shared" si="514"/>
        <v>14.06086255382959</v>
      </c>
      <c r="F2012" s="6">
        <f t="shared" si="503"/>
        <v>8.8888888888888892E-2</v>
      </c>
      <c r="G2012" s="12">
        <f t="shared" si="515"/>
        <v>4.9137446170409049E-2</v>
      </c>
    </row>
    <row r="2013" spans="1:18" x14ac:dyDescent="0.3">
      <c r="A2013" s="11" t="s">
        <v>1907</v>
      </c>
      <c r="B2013" s="7">
        <v>36360</v>
      </c>
      <c r="C2013" s="7">
        <v>14.151999999999999</v>
      </c>
      <c r="D2013" s="2">
        <f t="shared" si="509"/>
        <v>4.1999999999999815E-2</v>
      </c>
      <c r="E2013" s="8">
        <f>E2012+F2012</f>
        <v>14.149751442718479</v>
      </c>
      <c r="F2013" s="6">
        <f t="shared" si="503"/>
        <v>8.8888888888888892E-2</v>
      </c>
      <c r="G2013" s="12">
        <f t="shared" si="515"/>
        <v>2.2485572815202914E-3</v>
      </c>
    </row>
    <row r="2014" spans="1:18" x14ac:dyDescent="0.3">
      <c r="A2014" s="21"/>
      <c r="B2014" s="22"/>
      <c r="C2014" s="22"/>
      <c r="D2014" s="22"/>
      <c r="E2014" s="22"/>
      <c r="F2014" s="22"/>
      <c r="G2014" s="23"/>
      <c r="H2014" s="4" t="s">
        <v>19</v>
      </c>
      <c r="J2014" s="4"/>
      <c r="O2014" s="3">
        <f>1/O2015</f>
        <v>5.3763440860215058E-3</v>
      </c>
      <c r="P2014" s="3">
        <f>O2014*20</f>
        <v>0.10752688172043012</v>
      </c>
      <c r="Q2014" s="3" t="s">
        <v>3200</v>
      </c>
      <c r="R2014" s="3">
        <v>186</v>
      </c>
    </row>
    <row r="2015" spans="1:18" x14ac:dyDescent="0.3">
      <c r="A2015" s="11" t="s">
        <v>1908</v>
      </c>
      <c r="B2015" s="7">
        <v>36380</v>
      </c>
      <c r="C2015" s="7">
        <v>14.079000000000001</v>
      </c>
      <c r="D2015" s="2">
        <f>C2015-C2013</f>
        <v>-7.2999999999998622E-2</v>
      </c>
      <c r="E2015" s="8">
        <f>E2013-F2015</f>
        <v>14.042224560998049</v>
      </c>
      <c r="F2015" s="6">
        <f>P2014</f>
        <v>0.10752688172043012</v>
      </c>
      <c r="G2015" s="12">
        <f>C2015-E2015</f>
        <v>3.6775439001951682E-2</v>
      </c>
      <c r="H2015" s="3">
        <f>B2013</f>
        <v>36360</v>
      </c>
      <c r="I2015" s="3">
        <f>B2027</f>
        <v>36620</v>
      </c>
      <c r="J2015" s="3">
        <f>I2015-H2015</f>
        <v>260</v>
      </c>
      <c r="K2015" s="5">
        <f>E2013</f>
        <v>14.149751442718479</v>
      </c>
      <c r="L2015" s="3">
        <f>C2027</f>
        <v>12.755000000000001</v>
      </c>
      <c r="M2015" s="5">
        <f>L2015-K2015</f>
        <v>-1.3947514427184782</v>
      </c>
      <c r="N2015" s="3">
        <f>J2015/M2015</f>
        <v>-186.41314289895263</v>
      </c>
      <c r="O2015" s="3">
        <v>186</v>
      </c>
    </row>
    <row r="2016" spans="1:18" x14ac:dyDescent="0.3">
      <c r="A2016" s="11" t="s">
        <v>1909</v>
      </c>
      <c r="B2016" s="7">
        <v>36400</v>
      </c>
      <c r="C2016" s="7">
        <v>13.885999999999999</v>
      </c>
      <c r="D2016" s="2">
        <f t="shared" si="509"/>
        <v>-0.19300000000000139</v>
      </c>
      <c r="E2016" s="8">
        <f>E2015-F2015</f>
        <v>13.934697679277619</v>
      </c>
      <c r="F2016" s="6">
        <f t="shared" ref="F2016" si="516">F2015</f>
        <v>0.10752688172043012</v>
      </c>
      <c r="G2016" s="12">
        <f t="shared" ref="G2016" si="517">C2016-E2016</f>
        <v>-4.8697679277619699E-2</v>
      </c>
    </row>
    <row r="2017" spans="1:18" x14ac:dyDescent="0.3">
      <c r="A2017" s="11" t="s">
        <v>1910</v>
      </c>
      <c r="B2017" s="7">
        <v>36420</v>
      </c>
      <c r="C2017" s="7">
        <v>13.722</v>
      </c>
      <c r="D2017" s="2">
        <f t="shared" si="509"/>
        <v>-0.1639999999999997</v>
      </c>
      <c r="E2017" s="8">
        <f t="shared" ref="E2017:E2035" si="518">E2016-F2016</f>
        <v>13.827170797557189</v>
      </c>
      <c r="F2017" s="6">
        <f t="shared" si="503"/>
        <v>0.10752688172043012</v>
      </c>
      <c r="G2017" s="12">
        <f t="shared" si="515"/>
        <v>-0.10517079755718939</v>
      </c>
    </row>
    <row r="2018" spans="1:18" x14ac:dyDescent="0.3">
      <c r="A2018" s="11" t="s">
        <v>1911</v>
      </c>
      <c r="B2018" s="7">
        <v>36440</v>
      </c>
      <c r="C2018" s="7">
        <v>13.585000000000001</v>
      </c>
      <c r="D2018" s="2">
        <f t="shared" si="509"/>
        <v>-0.13699999999999868</v>
      </c>
      <c r="E2018" s="8">
        <f t="shared" si="518"/>
        <v>13.719643915836759</v>
      </c>
      <c r="F2018" s="6">
        <f t="shared" si="503"/>
        <v>0.10752688172043012</v>
      </c>
      <c r="G2018" s="12">
        <f t="shared" si="515"/>
        <v>-0.13464391583675805</v>
      </c>
    </row>
    <row r="2019" spans="1:18" x14ac:dyDescent="0.3">
      <c r="A2019" s="11" t="s">
        <v>1912</v>
      </c>
      <c r="B2019" s="7">
        <v>36460</v>
      </c>
      <c r="C2019" s="7">
        <v>13.473000000000001</v>
      </c>
      <c r="D2019" s="2">
        <f t="shared" si="509"/>
        <v>-0.1120000000000001</v>
      </c>
      <c r="E2019" s="8">
        <f t="shared" si="518"/>
        <v>13.612117034116329</v>
      </c>
      <c r="F2019" s="6">
        <f t="shared" si="503"/>
        <v>0.10752688172043012</v>
      </c>
      <c r="G2019" s="12">
        <f t="shared" si="515"/>
        <v>-0.13911703411632814</v>
      </c>
    </row>
    <row r="2020" spans="1:18" x14ac:dyDescent="0.3">
      <c r="A2020" s="11" t="s">
        <v>1913</v>
      </c>
      <c r="B2020" s="7">
        <v>36480</v>
      </c>
      <c r="C2020" s="7">
        <v>13.362</v>
      </c>
      <c r="D2020" s="2">
        <f t="shared" si="509"/>
        <v>-0.11100000000000065</v>
      </c>
      <c r="E2020" s="8">
        <f t="shared" si="518"/>
        <v>13.504590152395899</v>
      </c>
      <c r="F2020" s="6">
        <f t="shared" si="503"/>
        <v>0.10752688172043012</v>
      </c>
      <c r="G2020" s="12">
        <f t="shared" si="515"/>
        <v>-0.14259015239589878</v>
      </c>
    </row>
    <row r="2021" spans="1:18" x14ac:dyDescent="0.3">
      <c r="A2021" s="11" t="s">
        <v>1914</v>
      </c>
      <c r="B2021" s="7">
        <v>36500</v>
      </c>
      <c r="C2021" s="7">
        <v>13.257999999999999</v>
      </c>
      <c r="D2021" s="2">
        <f t="shared" si="509"/>
        <v>-0.10400000000000098</v>
      </c>
      <c r="E2021" s="8">
        <f t="shared" si="518"/>
        <v>13.397063270675469</v>
      </c>
      <c r="F2021" s="6">
        <f t="shared" si="503"/>
        <v>0.10752688172043012</v>
      </c>
      <c r="G2021" s="12">
        <f t="shared" si="515"/>
        <v>-0.13906327067546975</v>
      </c>
    </row>
    <row r="2022" spans="1:18" x14ac:dyDescent="0.3">
      <c r="A2022" s="11" t="s">
        <v>1915</v>
      </c>
      <c r="B2022" s="7">
        <v>36520</v>
      </c>
      <c r="C2022" s="7">
        <v>13.169</v>
      </c>
      <c r="D2022" s="2">
        <f t="shared" si="509"/>
        <v>-8.8999999999998636E-2</v>
      </c>
      <c r="E2022" s="8">
        <f t="shared" si="518"/>
        <v>13.289536388955039</v>
      </c>
      <c r="F2022" s="6">
        <f t="shared" si="503"/>
        <v>0.10752688172043012</v>
      </c>
      <c r="G2022" s="12">
        <f t="shared" si="515"/>
        <v>-0.12053638895503838</v>
      </c>
    </row>
    <row r="2023" spans="1:18" x14ac:dyDescent="0.3">
      <c r="A2023" s="11" t="s">
        <v>1916</v>
      </c>
      <c r="B2023" s="7">
        <v>36540</v>
      </c>
      <c r="C2023" s="7">
        <v>13.125</v>
      </c>
      <c r="D2023" s="2">
        <f t="shared" si="509"/>
        <v>-4.4000000000000483E-2</v>
      </c>
      <c r="E2023" s="8">
        <f t="shared" si="518"/>
        <v>13.182009507234609</v>
      </c>
      <c r="F2023" s="6">
        <f t="shared" si="503"/>
        <v>0.10752688172043012</v>
      </c>
      <c r="G2023" s="12">
        <f t="shared" si="515"/>
        <v>-5.7009507234608847E-2</v>
      </c>
    </row>
    <row r="2024" spans="1:18" x14ac:dyDescent="0.3">
      <c r="A2024" s="11" t="s">
        <v>1917</v>
      </c>
      <c r="B2024" s="7">
        <v>36560</v>
      </c>
      <c r="C2024" s="7">
        <v>13.048</v>
      </c>
      <c r="D2024" s="2">
        <f t="shared" si="509"/>
        <v>-7.6999999999999957E-2</v>
      </c>
      <c r="E2024" s="8">
        <f t="shared" si="518"/>
        <v>13.074482625514179</v>
      </c>
      <c r="F2024" s="6">
        <f t="shared" si="503"/>
        <v>0.10752688172043012</v>
      </c>
      <c r="G2024" s="12">
        <f t="shared" si="515"/>
        <v>-2.6482625514178793E-2</v>
      </c>
    </row>
    <row r="2025" spans="1:18" x14ac:dyDescent="0.3">
      <c r="A2025" s="11" t="s">
        <v>1918</v>
      </c>
      <c r="B2025" s="7">
        <v>36580</v>
      </c>
      <c r="C2025" s="7">
        <v>12.942</v>
      </c>
      <c r="D2025" s="2">
        <f t="shared" si="509"/>
        <v>-0.10599999999999987</v>
      </c>
      <c r="E2025" s="8">
        <f t="shared" si="518"/>
        <v>12.966955743793749</v>
      </c>
      <c r="F2025" s="6">
        <f t="shared" si="503"/>
        <v>0.10752688172043012</v>
      </c>
      <c r="G2025" s="12">
        <f t="shared" ref="G2025:G2035" si="519">C2025-E2025</f>
        <v>-2.4955743793748653E-2</v>
      </c>
    </row>
    <row r="2026" spans="1:18" x14ac:dyDescent="0.3">
      <c r="A2026" s="11" t="s">
        <v>1919</v>
      </c>
      <c r="B2026" s="7">
        <v>36600</v>
      </c>
      <c r="C2026" s="7">
        <v>12.872</v>
      </c>
      <c r="D2026" s="2">
        <f t="shared" si="509"/>
        <v>-7.0000000000000284E-2</v>
      </c>
      <c r="E2026" s="8">
        <f t="shared" si="518"/>
        <v>12.859428862073319</v>
      </c>
      <c r="F2026" s="6">
        <f t="shared" si="503"/>
        <v>0.10752688172043012</v>
      </c>
      <c r="G2026" s="12">
        <f t="shared" si="519"/>
        <v>1.2571137926681075E-2</v>
      </c>
    </row>
    <row r="2027" spans="1:18" x14ac:dyDescent="0.3">
      <c r="A2027" s="11" t="s">
        <v>1920</v>
      </c>
      <c r="B2027" s="7">
        <v>36620</v>
      </c>
      <c r="C2027" s="7">
        <v>12.755000000000001</v>
      </c>
      <c r="D2027" s="2">
        <f t="shared" si="509"/>
        <v>-0.1169999999999991</v>
      </c>
      <c r="E2027" s="8">
        <f t="shared" si="518"/>
        <v>12.751901980352889</v>
      </c>
      <c r="F2027" s="6">
        <f t="shared" si="503"/>
        <v>0.10752688172043012</v>
      </c>
      <c r="G2027" s="12">
        <f t="shared" si="519"/>
        <v>3.0980196471119825E-3</v>
      </c>
    </row>
    <row r="2028" spans="1:18" x14ac:dyDescent="0.3">
      <c r="A2028" s="21"/>
      <c r="B2028" s="22"/>
      <c r="C2028" s="22"/>
      <c r="D2028" s="22"/>
      <c r="E2028" s="22"/>
      <c r="F2028" s="22"/>
      <c r="G2028" s="23"/>
      <c r="H2028" s="4" t="s">
        <v>3235</v>
      </c>
      <c r="J2028" s="4"/>
      <c r="O2028" s="3">
        <f>1/O2029</f>
        <v>1.1061946902654867E-3</v>
      </c>
      <c r="P2028" s="3">
        <f>O2028*20</f>
        <v>2.2123893805309734E-2</v>
      </c>
      <c r="Q2028" s="3" t="s">
        <v>3200</v>
      </c>
      <c r="R2028" s="3">
        <v>904</v>
      </c>
    </row>
    <row r="2029" spans="1:18" x14ac:dyDescent="0.3">
      <c r="A2029" s="11" t="s">
        <v>1921</v>
      </c>
      <c r="B2029" s="7">
        <v>36640</v>
      </c>
      <c r="C2029" s="7">
        <v>12.689</v>
      </c>
      <c r="D2029" s="2">
        <f>C2029-C2027</f>
        <v>-6.6000000000000725E-2</v>
      </c>
      <c r="E2029" s="8">
        <f>E2027-F2029</f>
        <v>12.729778086547579</v>
      </c>
      <c r="F2029" s="6">
        <f>P2028</f>
        <v>2.2123893805309734E-2</v>
      </c>
      <c r="G2029" s="12">
        <f>C2029-E2029</f>
        <v>-4.0778086547579306E-2</v>
      </c>
      <c r="H2029" s="3">
        <f>B2027</f>
        <v>36620</v>
      </c>
      <c r="I2029" s="3">
        <f>B2042</f>
        <v>36900</v>
      </c>
      <c r="J2029" s="3">
        <f>I2029-H2029</f>
        <v>280</v>
      </c>
      <c r="K2029" s="5">
        <f>E2027</f>
        <v>12.751901980352889</v>
      </c>
      <c r="L2029" s="3">
        <f>C2042</f>
        <v>12.442</v>
      </c>
      <c r="M2029" s="5">
        <f>L2029-K2029</f>
        <v>-0.30990198035288863</v>
      </c>
      <c r="N2029" s="3">
        <f>J2029/M2029</f>
        <v>-903.51148992710876</v>
      </c>
      <c r="O2029" s="3">
        <v>904</v>
      </c>
    </row>
    <row r="2030" spans="1:18" x14ac:dyDescent="0.3">
      <c r="A2030" s="11" t="s">
        <v>1922</v>
      </c>
      <c r="B2030" s="7">
        <v>36660</v>
      </c>
      <c r="C2030" s="7">
        <v>12.622</v>
      </c>
      <c r="D2030" s="2">
        <f t="shared" si="509"/>
        <v>-6.7000000000000171E-2</v>
      </c>
      <c r="E2030" s="8">
        <f>E2029-F2029</f>
        <v>12.70765419274227</v>
      </c>
      <c r="F2030" s="6">
        <f t="shared" ref="F2030" si="520">F2029</f>
        <v>2.2123893805309734E-2</v>
      </c>
      <c r="G2030" s="12">
        <f t="shared" ref="G2030" si="521">C2030-E2030</f>
        <v>-8.5654192742270041E-2</v>
      </c>
    </row>
    <row r="2031" spans="1:18" x14ac:dyDescent="0.3">
      <c r="A2031" s="11" t="s">
        <v>1923</v>
      </c>
      <c r="B2031" s="7">
        <v>36680</v>
      </c>
      <c r="C2031" s="7">
        <v>12.579000000000001</v>
      </c>
      <c r="D2031" s="2">
        <f t="shared" si="509"/>
        <v>-4.2999999999999261E-2</v>
      </c>
      <c r="E2031" s="8">
        <f t="shared" si="518"/>
        <v>12.68553029893696</v>
      </c>
      <c r="F2031" s="6">
        <f t="shared" ref="F2031:F2098" si="522">F2030</f>
        <v>2.2123893805309734E-2</v>
      </c>
      <c r="G2031" s="12">
        <f t="shared" si="519"/>
        <v>-0.10653029893695987</v>
      </c>
    </row>
    <row r="2032" spans="1:18" x14ac:dyDescent="0.3">
      <c r="A2032" s="11" t="s">
        <v>1924</v>
      </c>
      <c r="B2032" s="7">
        <v>36700</v>
      </c>
      <c r="C2032" s="7">
        <v>12.573</v>
      </c>
      <c r="D2032" s="2">
        <f t="shared" si="509"/>
        <v>-6.0000000000002274E-3</v>
      </c>
      <c r="E2032" s="8">
        <f t="shared" si="518"/>
        <v>12.663406405131651</v>
      </c>
      <c r="F2032" s="6">
        <f t="shared" si="522"/>
        <v>2.2123893805309734E-2</v>
      </c>
      <c r="G2032" s="12">
        <f t="shared" si="519"/>
        <v>-9.0406405131650658E-2</v>
      </c>
    </row>
    <row r="2033" spans="1:18" x14ac:dyDescent="0.3">
      <c r="A2033" s="11" t="s">
        <v>1925</v>
      </c>
      <c r="B2033" s="7">
        <v>36720</v>
      </c>
      <c r="C2033" s="7">
        <v>12.522</v>
      </c>
      <c r="D2033" s="2">
        <f t="shared" si="509"/>
        <v>-5.1000000000000156E-2</v>
      </c>
      <c r="E2033" s="8">
        <f t="shared" si="518"/>
        <v>12.641282511326342</v>
      </c>
      <c r="F2033" s="6">
        <f t="shared" si="522"/>
        <v>2.2123893805309734E-2</v>
      </c>
      <c r="G2033" s="12">
        <f t="shared" si="519"/>
        <v>-0.11928251132634138</v>
      </c>
    </row>
    <row r="2034" spans="1:18" x14ac:dyDescent="0.3">
      <c r="A2034" s="11" t="s">
        <v>1926</v>
      </c>
      <c r="B2034" s="7">
        <v>36740</v>
      </c>
      <c r="C2034" s="7">
        <v>12.46</v>
      </c>
      <c r="D2034" s="2">
        <f t="shared" si="509"/>
        <v>-6.1999999999999389E-2</v>
      </c>
      <c r="E2034" s="8">
        <f t="shared" si="518"/>
        <v>12.619158617521032</v>
      </c>
      <c r="F2034" s="6">
        <f t="shared" si="522"/>
        <v>2.2123893805309734E-2</v>
      </c>
      <c r="G2034" s="12">
        <f t="shared" si="519"/>
        <v>-0.15915861752103133</v>
      </c>
    </row>
    <row r="2035" spans="1:18" x14ac:dyDescent="0.3">
      <c r="A2035" s="11" t="s">
        <v>1927</v>
      </c>
      <c r="B2035" s="7">
        <v>36760</v>
      </c>
      <c r="C2035" s="7">
        <v>12.461</v>
      </c>
      <c r="D2035" s="2">
        <f t="shared" si="509"/>
        <v>9.9999999999944578E-4</v>
      </c>
      <c r="E2035" s="8">
        <f t="shared" si="518"/>
        <v>12.597034723715723</v>
      </c>
      <c r="F2035" s="6">
        <f t="shared" si="522"/>
        <v>2.2123893805309734E-2</v>
      </c>
      <c r="G2035" s="12">
        <f t="shared" si="519"/>
        <v>-0.13603472371572245</v>
      </c>
    </row>
    <row r="2036" spans="1:18" x14ac:dyDescent="0.3">
      <c r="A2036" s="11" t="s">
        <v>1928</v>
      </c>
      <c r="B2036" s="7">
        <v>36780</v>
      </c>
      <c r="C2036" s="7">
        <v>12.468</v>
      </c>
      <c r="D2036" s="2">
        <f t="shared" si="509"/>
        <v>6.9999999999996732E-3</v>
      </c>
      <c r="E2036" s="8">
        <f t="shared" ref="E2036:E2042" si="523">E2035-F2035</f>
        <v>12.574910829910413</v>
      </c>
      <c r="F2036" s="6">
        <f t="shared" si="522"/>
        <v>2.2123893805309734E-2</v>
      </c>
      <c r="G2036" s="12">
        <f t="shared" ref="G2036:G2052" si="524">C2036-E2036</f>
        <v>-0.10691082991041334</v>
      </c>
    </row>
    <row r="2037" spans="1:18" x14ac:dyDescent="0.3">
      <c r="A2037" s="11" t="s">
        <v>1929</v>
      </c>
      <c r="B2037" s="7">
        <v>36800</v>
      </c>
      <c r="C2037" s="7">
        <v>12.461</v>
      </c>
      <c r="D2037" s="2">
        <f t="shared" si="509"/>
        <v>-6.9999999999996732E-3</v>
      </c>
      <c r="E2037" s="8">
        <f t="shared" si="523"/>
        <v>12.552786936105104</v>
      </c>
      <c r="F2037" s="6">
        <f t="shared" si="522"/>
        <v>2.2123893805309734E-2</v>
      </c>
      <c r="G2037" s="12">
        <f t="shared" si="524"/>
        <v>-9.1786936105103578E-2</v>
      </c>
    </row>
    <row r="2038" spans="1:18" x14ac:dyDescent="0.3">
      <c r="A2038" s="11" t="s">
        <v>1930</v>
      </c>
      <c r="B2038" s="7">
        <v>36820</v>
      </c>
      <c r="C2038" s="7">
        <v>12.45</v>
      </c>
      <c r="D2038" s="2">
        <f t="shared" si="509"/>
        <v>-1.1000000000001009E-2</v>
      </c>
      <c r="E2038" s="8">
        <f t="shared" si="523"/>
        <v>12.530663042299794</v>
      </c>
      <c r="F2038" s="6">
        <f t="shared" si="522"/>
        <v>2.2123893805309734E-2</v>
      </c>
      <c r="G2038" s="12">
        <f t="shared" si="524"/>
        <v>-8.0663042299795151E-2</v>
      </c>
    </row>
    <row r="2039" spans="1:18" x14ac:dyDescent="0.3">
      <c r="A2039" s="11" t="s">
        <v>1931</v>
      </c>
      <c r="B2039" s="7">
        <v>36840</v>
      </c>
      <c r="C2039" s="7">
        <v>12.462</v>
      </c>
      <c r="D2039" s="2">
        <f t="shared" si="509"/>
        <v>1.2000000000000455E-2</v>
      </c>
      <c r="E2039" s="8">
        <f t="shared" si="523"/>
        <v>12.508539148494485</v>
      </c>
      <c r="F2039" s="6">
        <f t="shared" si="522"/>
        <v>2.2123893805309734E-2</v>
      </c>
      <c r="G2039" s="12">
        <f t="shared" si="524"/>
        <v>-4.6539148494485261E-2</v>
      </c>
    </row>
    <row r="2040" spans="1:18" x14ac:dyDescent="0.3">
      <c r="A2040" s="11" t="s">
        <v>1932</v>
      </c>
      <c r="B2040" s="7">
        <v>36860</v>
      </c>
      <c r="C2040" s="7">
        <v>12.478</v>
      </c>
      <c r="D2040" s="2">
        <f t="shared" si="509"/>
        <v>1.6000000000000014E-2</v>
      </c>
      <c r="E2040" s="8">
        <f t="shared" si="523"/>
        <v>12.486415254689176</v>
      </c>
      <c r="F2040" s="6">
        <f t="shared" si="522"/>
        <v>2.2123893805309734E-2</v>
      </c>
      <c r="G2040" s="12">
        <f t="shared" si="524"/>
        <v>-8.4152546891758107E-3</v>
      </c>
    </row>
    <row r="2041" spans="1:18" x14ac:dyDescent="0.3">
      <c r="A2041" s="11" t="s">
        <v>1933</v>
      </c>
      <c r="B2041" s="7">
        <v>36880</v>
      </c>
      <c r="C2041" s="7">
        <v>12.458</v>
      </c>
      <c r="D2041" s="2">
        <f t="shared" si="509"/>
        <v>-1.9999999999999574E-2</v>
      </c>
      <c r="E2041" s="8">
        <f t="shared" si="523"/>
        <v>12.464291360883866</v>
      </c>
      <c r="F2041" s="6">
        <f t="shared" si="522"/>
        <v>2.2123893805309734E-2</v>
      </c>
      <c r="G2041" s="12">
        <f t="shared" si="524"/>
        <v>-6.2913608838659485E-3</v>
      </c>
    </row>
    <row r="2042" spans="1:18" x14ac:dyDescent="0.3">
      <c r="A2042" s="11" t="s">
        <v>1934</v>
      </c>
      <c r="B2042" s="7">
        <v>36900</v>
      </c>
      <c r="C2042" s="7">
        <v>12.442</v>
      </c>
      <c r="D2042" s="2">
        <f t="shared" si="509"/>
        <v>-1.6000000000000014E-2</v>
      </c>
      <c r="E2042" s="8">
        <f t="shared" si="523"/>
        <v>12.442167467078557</v>
      </c>
      <c r="F2042" s="6">
        <f t="shared" si="522"/>
        <v>2.2123893805309734E-2</v>
      </c>
      <c r="G2042" s="12">
        <f t="shared" si="524"/>
        <v>-1.6746707855652687E-4</v>
      </c>
    </row>
    <row r="2043" spans="1:18" x14ac:dyDescent="0.3">
      <c r="A2043" s="21"/>
      <c r="B2043" s="22"/>
      <c r="C2043" s="22"/>
      <c r="D2043" s="22"/>
      <c r="E2043" s="22"/>
      <c r="F2043" s="22"/>
      <c r="G2043" s="23"/>
      <c r="H2043" s="4" t="s">
        <v>3236</v>
      </c>
      <c r="J2043" s="4"/>
      <c r="O2043" s="3">
        <f>1/O2044</f>
        <v>5.0226017076845811E-4</v>
      </c>
      <c r="P2043" s="3">
        <f>O2043*20</f>
        <v>1.0045203415369162E-2</v>
      </c>
      <c r="Q2043" s="3" t="s">
        <v>3202</v>
      </c>
      <c r="R2043" s="3">
        <v>1991</v>
      </c>
    </row>
    <row r="2044" spans="1:18" x14ac:dyDescent="0.3">
      <c r="A2044" s="11" t="s">
        <v>1935</v>
      </c>
      <c r="B2044" s="7">
        <v>36920</v>
      </c>
      <c r="C2044" s="7">
        <v>12.45</v>
      </c>
      <c r="D2044" s="2">
        <f>C2044-C2042</f>
        <v>7.9999999999991189E-3</v>
      </c>
      <c r="E2044" s="8">
        <f>E2042+F2044</f>
        <v>12.452212670493926</v>
      </c>
      <c r="F2044" s="6">
        <f>P2043</f>
        <v>1.0045203415369162E-2</v>
      </c>
      <c r="G2044" s="12">
        <f>C2044-E2044</f>
        <v>-2.2126704939271491E-3</v>
      </c>
      <c r="H2044" s="3">
        <f>B2042</f>
        <v>36900</v>
      </c>
      <c r="I2044" s="3">
        <f>B2063</f>
        <v>37280</v>
      </c>
      <c r="J2044" s="3">
        <f>I2044-H2044</f>
        <v>380</v>
      </c>
      <c r="K2044" s="5">
        <f>E2042</f>
        <v>12.442167467078557</v>
      </c>
      <c r="L2044" s="3">
        <f>C2063</f>
        <v>12.632999999999999</v>
      </c>
      <c r="M2044" s="5">
        <f>L2044-K2044</f>
        <v>0.19083253292144242</v>
      </c>
      <c r="N2044" s="3">
        <f>J2044/M2044</f>
        <v>1991.2747275456943</v>
      </c>
      <c r="O2044" s="3">
        <v>1991</v>
      </c>
    </row>
    <row r="2045" spans="1:18" x14ac:dyDescent="0.3">
      <c r="A2045" s="11" t="s">
        <v>1936</v>
      </c>
      <c r="B2045" s="7">
        <v>36940</v>
      </c>
      <c r="C2045" s="7">
        <v>12.457000000000001</v>
      </c>
      <c r="D2045" s="2">
        <f t="shared" si="509"/>
        <v>7.0000000000014495E-3</v>
      </c>
      <c r="E2045" s="8">
        <f>E2044+F2044</f>
        <v>12.462257873909296</v>
      </c>
      <c r="F2045" s="6">
        <f t="shared" ref="F2045" si="525">F2044</f>
        <v>1.0045203415369162E-2</v>
      </c>
      <c r="G2045" s="12">
        <f t="shared" ref="G2045" si="526">C2045-E2045</f>
        <v>-5.2578739092954407E-3</v>
      </c>
    </row>
    <row r="2046" spans="1:18" x14ac:dyDescent="0.3">
      <c r="A2046" s="13" t="s">
        <v>1937</v>
      </c>
      <c r="B2046" s="24"/>
      <c r="C2046" s="25"/>
      <c r="D2046" s="25"/>
      <c r="E2046" s="25"/>
      <c r="F2046" s="25"/>
      <c r="G2046" s="26"/>
    </row>
    <row r="2047" spans="1:18" x14ac:dyDescent="0.3">
      <c r="A2047" s="11" t="s">
        <v>1938</v>
      </c>
      <c r="B2047" s="7">
        <v>36960</v>
      </c>
      <c r="C2047" s="7">
        <v>12.430999999999999</v>
      </c>
      <c r="D2047" s="2">
        <f>C2047-C2045</f>
        <v>-2.6000000000001577E-2</v>
      </c>
      <c r="E2047" s="8">
        <f>E2045+F2045</f>
        <v>12.472303077324666</v>
      </c>
      <c r="F2047" s="6">
        <f>F2045</f>
        <v>1.0045203415369162E-2</v>
      </c>
      <c r="G2047" s="12">
        <f t="shared" si="524"/>
        <v>-4.1303077324666759E-2</v>
      </c>
    </row>
    <row r="2048" spans="1:18" x14ac:dyDescent="0.3">
      <c r="A2048" s="11" t="s">
        <v>1939</v>
      </c>
      <c r="B2048" s="7">
        <v>36980</v>
      </c>
      <c r="C2048" s="7">
        <v>12.401999999999999</v>
      </c>
      <c r="D2048" s="2">
        <f t="shared" si="509"/>
        <v>-2.8999999999999915E-2</v>
      </c>
      <c r="E2048" s="8">
        <f t="shared" ref="E2048:E2063" si="527">E2047+F2047</f>
        <v>12.482348280740036</v>
      </c>
      <c r="F2048" s="6">
        <f t="shared" si="522"/>
        <v>1.0045203415369162E-2</v>
      </c>
      <c r="G2048" s="12">
        <f t="shared" si="524"/>
        <v>-8.0348280740036415E-2</v>
      </c>
    </row>
    <row r="2049" spans="1:18" x14ac:dyDescent="0.3">
      <c r="A2049" s="11" t="s">
        <v>1940</v>
      </c>
      <c r="B2049" s="7">
        <v>37000</v>
      </c>
      <c r="C2049" s="7">
        <v>12.384</v>
      </c>
      <c r="D2049" s="2">
        <f t="shared" si="509"/>
        <v>-1.7999999999998906E-2</v>
      </c>
      <c r="E2049" s="8">
        <f t="shared" si="527"/>
        <v>12.492393484155405</v>
      </c>
      <c r="F2049" s="6">
        <f t="shared" si="522"/>
        <v>1.0045203415369162E-2</v>
      </c>
      <c r="G2049" s="12">
        <f t="shared" si="524"/>
        <v>-0.10839348415540506</v>
      </c>
    </row>
    <row r="2050" spans="1:18" x14ac:dyDescent="0.3">
      <c r="A2050" s="11" t="s">
        <v>1941</v>
      </c>
      <c r="B2050" s="7">
        <v>37020</v>
      </c>
      <c r="C2050" s="7">
        <v>12.385999999999999</v>
      </c>
      <c r="D2050" s="2">
        <f t="shared" si="509"/>
        <v>1.9999999999988916E-3</v>
      </c>
      <c r="E2050" s="8">
        <f t="shared" si="527"/>
        <v>12.502438687570775</v>
      </c>
      <c r="F2050" s="6">
        <f t="shared" si="522"/>
        <v>1.0045203415369162E-2</v>
      </c>
      <c r="G2050" s="12">
        <f t="shared" si="524"/>
        <v>-0.11643868757077591</v>
      </c>
    </row>
    <row r="2051" spans="1:18" x14ac:dyDescent="0.3">
      <c r="A2051" s="11" t="s">
        <v>1942</v>
      </c>
      <c r="B2051" s="7">
        <v>37040</v>
      </c>
      <c r="C2051" s="7">
        <v>12.385</v>
      </c>
      <c r="D2051" s="2">
        <f t="shared" si="509"/>
        <v>-9.9999999999944578E-4</v>
      </c>
      <c r="E2051" s="8">
        <f t="shared" si="527"/>
        <v>12.512483890986145</v>
      </c>
      <c r="F2051" s="6">
        <f t="shared" si="522"/>
        <v>1.0045203415369162E-2</v>
      </c>
      <c r="G2051" s="12">
        <f t="shared" si="524"/>
        <v>-0.1274838909861451</v>
      </c>
    </row>
    <row r="2052" spans="1:18" x14ac:dyDescent="0.3">
      <c r="A2052" s="11" t="s">
        <v>1943</v>
      </c>
      <c r="B2052" s="7">
        <v>37060</v>
      </c>
      <c r="C2052" s="7">
        <v>12.39</v>
      </c>
      <c r="D2052" s="2">
        <f t="shared" si="509"/>
        <v>5.0000000000007816E-3</v>
      </c>
      <c r="E2052" s="8">
        <f t="shared" si="527"/>
        <v>12.522529094401515</v>
      </c>
      <c r="F2052" s="6">
        <f t="shared" si="522"/>
        <v>1.0045203415369162E-2</v>
      </c>
      <c r="G2052" s="12">
        <f t="shared" si="524"/>
        <v>-0.13252909440151406</v>
      </c>
    </row>
    <row r="2053" spans="1:18" x14ac:dyDescent="0.3">
      <c r="A2053" s="11" t="s">
        <v>1944</v>
      </c>
      <c r="B2053" s="7">
        <v>37080</v>
      </c>
      <c r="C2053" s="7">
        <v>12.401</v>
      </c>
      <c r="D2053" s="2">
        <f t="shared" si="509"/>
        <v>1.0999999999999233E-2</v>
      </c>
      <c r="E2053" s="8">
        <f t="shared" si="527"/>
        <v>12.532574297816884</v>
      </c>
      <c r="F2053" s="6">
        <f t="shared" si="522"/>
        <v>1.0045203415369162E-2</v>
      </c>
      <c r="G2053" s="12">
        <f t="shared" ref="G2053:G2063" si="528">C2053-E2053</f>
        <v>-0.13157429781688457</v>
      </c>
    </row>
    <row r="2054" spans="1:18" x14ac:dyDescent="0.3">
      <c r="A2054" s="11" t="s">
        <v>1945</v>
      </c>
      <c r="B2054" s="7">
        <v>37100</v>
      </c>
      <c r="C2054" s="7">
        <v>12.428000000000001</v>
      </c>
      <c r="D2054" s="2">
        <f t="shared" si="509"/>
        <v>2.7000000000001023E-2</v>
      </c>
      <c r="E2054" s="8">
        <f t="shared" si="527"/>
        <v>12.542619501232254</v>
      </c>
      <c r="F2054" s="6">
        <f t="shared" si="522"/>
        <v>1.0045203415369162E-2</v>
      </c>
      <c r="G2054" s="12">
        <f t="shared" si="528"/>
        <v>-0.11461950123225328</v>
      </c>
    </row>
    <row r="2055" spans="1:18" x14ac:dyDescent="0.3">
      <c r="A2055" s="11" t="s">
        <v>1946</v>
      </c>
      <c r="B2055" s="7">
        <v>37120</v>
      </c>
      <c r="C2055" s="7">
        <v>12.441000000000001</v>
      </c>
      <c r="D2055" s="2">
        <f t="shared" si="509"/>
        <v>1.2999999999999901E-2</v>
      </c>
      <c r="E2055" s="8">
        <f t="shared" si="527"/>
        <v>12.552664704647624</v>
      </c>
      <c r="F2055" s="6">
        <f t="shared" si="522"/>
        <v>1.0045203415369162E-2</v>
      </c>
      <c r="G2055" s="12">
        <f t="shared" si="528"/>
        <v>-0.11166470464762313</v>
      </c>
    </row>
    <row r="2056" spans="1:18" x14ac:dyDescent="0.3">
      <c r="A2056" s="11" t="s">
        <v>1947</v>
      </c>
      <c r="B2056" s="7">
        <v>37140</v>
      </c>
      <c r="C2056" s="7">
        <v>12.45</v>
      </c>
      <c r="D2056" s="2">
        <f t="shared" si="509"/>
        <v>8.9999999999985647E-3</v>
      </c>
      <c r="E2056" s="8">
        <f t="shared" si="527"/>
        <v>12.562709908062994</v>
      </c>
      <c r="F2056" s="6">
        <f t="shared" si="522"/>
        <v>1.0045203415369162E-2</v>
      </c>
      <c r="G2056" s="12">
        <f t="shared" si="528"/>
        <v>-0.1127099080629943</v>
      </c>
    </row>
    <row r="2057" spans="1:18" x14ac:dyDescent="0.3">
      <c r="A2057" s="11" t="s">
        <v>1948</v>
      </c>
      <c r="B2057" s="7">
        <v>37160</v>
      </c>
      <c r="C2057" s="7">
        <v>12.468999999999999</v>
      </c>
      <c r="D2057" s="2">
        <f t="shared" ref="D2057:D2130" si="529">C2057-C2056</f>
        <v>1.9000000000000128E-2</v>
      </c>
      <c r="E2057" s="8">
        <f t="shared" si="527"/>
        <v>12.572755111478363</v>
      </c>
      <c r="F2057" s="6">
        <f t="shared" si="522"/>
        <v>1.0045203415369162E-2</v>
      </c>
      <c r="G2057" s="12">
        <f t="shared" si="528"/>
        <v>-0.10375511147836392</v>
      </c>
    </row>
    <row r="2058" spans="1:18" x14ac:dyDescent="0.3">
      <c r="A2058" s="11" t="s">
        <v>1949</v>
      </c>
      <c r="B2058" s="7">
        <v>37180</v>
      </c>
      <c r="C2058" s="7">
        <v>12.486000000000001</v>
      </c>
      <c r="D2058" s="2">
        <f t="shared" si="529"/>
        <v>1.7000000000001236E-2</v>
      </c>
      <c r="E2058" s="8">
        <f t="shared" si="527"/>
        <v>12.582800314893733</v>
      </c>
      <c r="F2058" s="6">
        <f t="shared" si="522"/>
        <v>1.0045203415369162E-2</v>
      </c>
      <c r="G2058" s="12">
        <f t="shared" si="528"/>
        <v>-9.680031489373242E-2</v>
      </c>
    </row>
    <row r="2059" spans="1:18" x14ac:dyDescent="0.3">
      <c r="A2059" s="11" t="s">
        <v>1950</v>
      </c>
      <c r="B2059" s="7">
        <v>37200</v>
      </c>
      <c r="C2059" s="7">
        <v>12.497999999999999</v>
      </c>
      <c r="D2059" s="2">
        <f t="shared" si="529"/>
        <v>1.1999999999998678E-2</v>
      </c>
      <c r="E2059" s="8">
        <f t="shared" si="527"/>
        <v>12.592845518309103</v>
      </c>
      <c r="F2059" s="6">
        <f t="shared" si="522"/>
        <v>1.0045203415369162E-2</v>
      </c>
      <c r="G2059" s="12">
        <f t="shared" si="528"/>
        <v>-9.4845518309103483E-2</v>
      </c>
    </row>
    <row r="2060" spans="1:18" x14ac:dyDescent="0.3">
      <c r="A2060" s="11" t="s">
        <v>1951</v>
      </c>
      <c r="B2060" s="7">
        <v>37220</v>
      </c>
      <c r="C2060" s="7">
        <v>12.51</v>
      </c>
      <c r="D2060" s="2">
        <f t="shared" si="529"/>
        <v>1.2000000000000455E-2</v>
      </c>
      <c r="E2060" s="8">
        <f t="shared" si="527"/>
        <v>12.602890721724473</v>
      </c>
      <c r="F2060" s="6">
        <f t="shared" si="522"/>
        <v>1.0045203415369162E-2</v>
      </c>
      <c r="G2060" s="12">
        <f t="shared" si="528"/>
        <v>-9.2890721724472769E-2</v>
      </c>
    </row>
    <row r="2061" spans="1:18" x14ac:dyDescent="0.3">
      <c r="A2061" s="11" t="s">
        <v>1952</v>
      </c>
      <c r="B2061" s="7">
        <v>37240</v>
      </c>
      <c r="C2061" s="7">
        <v>12.526999999999999</v>
      </c>
      <c r="D2061" s="2">
        <f t="shared" si="529"/>
        <v>1.699999999999946E-2</v>
      </c>
      <c r="E2061" s="8">
        <f t="shared" si="527"/>
        <v>12.612935925139842</v>
      </c>
      <c r="F2061" s="6">
        <f t="shared" si="522"/>
        <v>1.0045203415369162E-2</v>
      </c>
      <c r="G2061" s="12">
        <f t="shared" si="528"/>
        <v>-8.593592513984305E-2</v>
      </c>
    </row>
    <row r="2062" spans="1:18" x14ac:dyDescent="0.3">
      <c r="A2062" s="11" t="s">
        <v>1953</v>
      </c>
      <c r="B2062" s="7">
        <v>37260</v>
      </c>
      <c r="C2062" s="7">
        <v>12.571999999999999</v>
      </c>
      <c r="D2062" s="2">
        <f t="shared" si="529"/>
        <v>4.4999999999999929E-2</v>
      </c>
      <c r="E2062" s="8">
        <f t="shared" si="527"/>
        <v>12.622981128555212</v>
      </c>
      <c r="F2062" s="6">
        <f t="shared" si="522"/>
        <v>1.0045203415369162E-2</v>
      </c>
      <c r="G2062" s="12">
        <f t="shared" si="528"/>
        <v>-5.0981128555212862E-2</v>
      </c>
    </row>
    <row r="2063" spans="1:18" x14ac:dyDescent="0.3">
      <c r="A2063" s="11" t="s">
        <v>1954</v>
      </c>
      <c r="B2063" s="7">
        <v>37280</v>
      </c>
      <c r="C2063" s="7">
        <v>12.632999999999999</v>
      </c>
      <c r="D2063" s="2">
        <f t="shared" si="529"/>
        <v>6.0999999999999943E-2</v>
      </c>
      <c r="E2063" s="8">
        <f t="shared" si="527"/>
        <v>12.633026331970582</v>
      </c>
      <c r="F2063" s="6">
        <f t="shared" si="522"/>
        <v>1.0045203415369162E-2</v>
      </c>
      <c r="G2063" s="12">
        <f t="shared" si="528"/>
        <v>-2.6331970582660347E-5</v>
      </c>
    </row>
    <row r="2064" spans="1:18" x14ac:dyDescent="0.3">
      <c r="A2064" s="21"/>
      <c r="B2064" s="22"/>
      <c r="C2064" s="22"/>
      <c r="D2064" s="22"/>
      <c r="E2064" s="22"/>
      <c r="F2064" s="22"/>
      <c r="G2064" s="23"/>
      <c r="H2064" s="4" t="s">
        <v>29</v>
      </c>
      <c r="J2064" s="4"/>
      <c r="O2064" s="3">
        <f>1/O2065</f>
        <v>5.9523809523809521E-3</v>
      </c>
      <c r="P2064" s="3">
        <f>O2064*20</f>
        <v>0.11904761904761904</v>
      </c>
      <c r="Q2064" s="3" t="s">
        <v>3202</v>
      </c>
      <c r="R2064" s="3">
        <v>168</v>
      </c>
    </row>
    <row r="2065" spans="1:18" x14ac:dyDescent="0.3">
      <c r="A2065" s="11" t="s">
        <v>1955</v>
      </c>
      <c r="B2065" s="7">
        <v>37300</v>
      </c>
      <c r="C2065" s="7">
        <v>12.694000000000001</v>
      </c>
      <c r="D2065" s="2">
        <f>C2065-C2063</f>
        <v>6.100000000000172E-2</v>
      </c>
      <c r="E2065" s="8">
        <f>E2063+F2065</f>
        <v>12.7520739510182</v>
      </c>
      <c r="F2065" s="6">
        <f>P2064</f>
        <v>0.11904761904761904</v>
      </c>
      <c r="G2065" s="12">
        <f>C2065-E2065</f>
        <v>-5.8073951018199566E-2</v>
      </c>
      <c r="H2065" s="3">
        <f>B2063</f>
        <v>37280</v>
      </c>
      <c r="I2065" s="3">
        <f>B2072</f>
        <v>37440</v>
      </c>
      <c r="J2065" s="3">
        <f>I2065-H2065</f>
        <v>160</v>
      </c>
      <c r="K2065" s="5">
        <f>E2063</f>
        <v>12.633026331970582</v>
      </c>
      <c r="L2065" s="3">
        <f>C2072</f>
        <v>13.585000000000001</v>
      </c>
      <c r="M2065" s="5">
        <f>L2065-K2065</f>
        <v>0.95197366802941907</v>
      </c>
      <c r="N2065" s="3">
        <f>J2065/M2065</f>
        <v>168.07187569714952</v>
      </c>
      <c r="O2065" s="3">
        <v>168</v>
      </c>
    </row>
    <row r="2066" spans="1:18" x14ac:dyDescent="0.3">
      <c r="A2066" s="11" t="s">
        <v>1956</v>
      </c>
      <c r="B2066" s="7">
        <v>37320</v>
      </c>
      <c r="C2066" s="7">
        <v>12.762</v>
      </c>
      <c r="D2066" s="2">
        <f t="shared" si="529"/>
        <v>6.7999999999999616E-2</v>
      </c>
      <c r="E2066" s="8">
        <f>E2065+F2065</f>
        <v>12.871121570065819</v>
      </c>
      <c r="F2066" s="6">
        <f t="shared" ref="F2066" si="530">F2065</f>
        <v>0.11904761904761904</v>
      </c>
      <c r="G2066" s="12">
        <f t="shared" ref="G2066" si="531">C2066-E2066</f>
        <v>-0.10912157006581857</v>
      </c>
    </row>
    <row r="2067" spans="1:18" x14ac:dyDescent="0.3">
      <c r="A2067" s="11" t="s">
        <v>1957</v>
      </c>
      <c r="B2067" s="7">
        <v>37340</v>
      </c>
      <c r="C2067" s="7">
        <v>12.847</v>
      </c>
      <c r="D2067" s="2">
        <f t="shared" si="529"/>
        <v>8.4999999999999076E-2</v>
      </c>
      <c r="E2067" s="8">
        <f t="shared" ref="E2067:E2072" si="532">E2066+F2066</f>
        <v>12.990169189113438</v>
      </c>
      <c r="F2067" s="6">
        <f t="shared" si="522"/>
        <v>0.11904761904761904</v>
      </c>
      <c r="G2067" s="12">
        <f t="shared" ref="G2067:G2072" si="533">C2067-E2067</f>
        <v>-0.14316918911343812</v>
      </c>
    </row>
    <row r="2068" spans="1:18" x14ac:dyDescent="0.3">
      <c r="A2068" s="11" t="s">
        <v>1958</v>
      </c>
      <c r="B2068" s="7">
        <v>37360</v>
      </c>
      <c r="C2068" s="7">
        <v>12.961</v>
      </c>
      <c r="D2068" s="2">
        <f t="shared" si="529"/>
        <v>0.11400000000000077</v>
      </c>
      <c r="E2068" s="8">
        <f t="shared" si="532"/>
        <v>13.109216808161056</v>
      </c>
      <c r="F2068" s="6">
        <f t="shared" si="522"/>
        <v>0.11904761904761904</v>
      </c>
      <c r="G2068" s="12">
        <f t="shared" si="533"/>
        <v>-0.14821680816105598</v>
      </c>
    </row>
    <row r="2069" spans="1:18" x14ac:dyDescent="0.3">
      <c r="A2069" s="11" t="s">
        <v>1959</v>
      </c>
      <c r="B2069" s="7">
        <v>37380</v>
      </c>
      <c r="C2069" s="7">
        <v>13.103999999999999</v>
      </c>
      <c r="D2069" s="2">
        <f t="shared" si="529"/>
        <v>0.14299999999999891</v>
      </c>
      <c r="E2069" s="8">
        <f t="shared" si="532"/>
        <v>13.228264427208675</v>
      </c>
      <c r="F2069" s="6">
        <f t="shared" si="522"/>
        <v>0.11904761904761904</v>
      </c>
      <c r="G2069" s="12">
        <f t="shared" si="533"/>
        <v>-0.1242644272086757</v>
      </c>
    </row>
    <row r="2070" spans="1:18" x14ac:dyDescent="0.3">
      <c r="A2070" s="11" t="s">
        <v>1960</v>
      </c>
      <c r="B2070" s="7">
        <v>37400</v>
      </c>
      <c r="C2070" s="7">
        <v>13.260999999999999</v>
      </c>
      <c r="D2070" s="2">
        <f t="shared" si="529"/>
        <v>0.15700000000000003</v>
      </c>
      <c r="E2070" s="8">
        <f t="shared" si="532"/>
        <v>13.347312046256294</v>
      </c>
      <c r="F2070" s="6">
        <f t="shared" si="522"/>
        <v>0.11904761904761904</v>
      </c>
      <c r="G2070" s="12">
        <f t="shared" si="533"/>
        <v>-8.6312046256294295E-2</v>
      </c>
    </row>
    <row r="2071" spans="1:18" x14ac:dyDescent="0.3">
      <c r="A2071" s="11" t="s">
        <v>1961</v>
      </c>
      <c r="B2071" s="7">
        <v>37420</v>
      </c>
      <c r="C2071" s="7">
        <v>13.417999999999999</v>
      </c>
      <c r="D2071" s="2">
        <f t="shared" si="529"/>
        <v>0.15700000000000003</v>
      </c>
      <c r="E2071" s="8">
        <f t="shared" si="532"/>
        <v>13.466359665303912</v>
      </c>
      <c r="F2071" s="6">
        <f t="shared" si="522"/>
        <v>0.11904761904761904</v>
      </c>
      <c r="G2071" s="12">
        <f t="shared" si="533"/>
        <v>-4.8359665303912891E-2</v>
      </c>
    </row>
    <row r="2072" spans="1:18" x14ac:dyDescent="0.3">
      <c r="A2072" s="11" t="s">
        <v>1962</v>
      </c>
      <c r="B2072" s="7">
        <v>37440</v>
      </c>
      <c r="C2072" s="7">
        <v>13.585000000000001</v>
      </c>
      <c r="D2072" s="2">
        <f t="shared" si="529"/>
        <v>0.16700000000000159</v>
      </c>
      <c r="E2072" s="8">
        <f t="shared" si="532"/>
        <v>13.585407284351531</v>
      </c>
      <c r="F2072" s="6">
        <f t="shared" si="522"/>
        <v>0.11904761904761904</v>
      </c>
      <c r="G2072" s="12">
        <f t="shared" si="533"/>
        <v>-4.0728435152992404E-4</v>
      </c>
    </row>
    <row r="2073" spans="1:18" x14ac:dyDescent="0.3">
      <c r="A2073" s="21"/>
      <c r="B2073" s="22"/>
      <c r="C2073" s="22"/>
      <c r="D2073" s="22"/>
      <c r="E2073" s="22"/>
      <c r="F2073" s="22"/>
      <c r="G2073" s="23"/>
      <c r="H2073" s="4" t="s">
        <v>30</v>
      </c>
      <c r="J2073" s="4"/>
      <c r="O2073" s="3">
        <f>1/O2074</f>
        <v>0.01</v>
      </c>
      <c r="P2073" s="3">
        <f>O2073*20</f>
        <v>0.2</v>
      </c>
      <c r="Q2073" s="3" t="s">
        <v>3202</v>
      </c>
      <c r="R2073" s="3">
        <v>100</v>
      </c>
    </row>
    <row r="2074" spans="1:18" x14ac:dyDescent="0.3">
      <c r="A2074" s="11" t="s">
        <v>1963</v>
      </c>
      <c r="B2074" s="7">
        <v>37460</v>
      </c>
      <c r="C2074" s="7">
        <v>13.754</v>
      </c>
      <c r="D2074" s="2">
        <f>C2074-C2072</f>
        <v>0.16899999999999871</v>
      </c>
      <c r="E2074" s="8">
        <f>E2072+F2074</f>
        <v>13.78540728435153</v>
      </c>
      <c r="F2074" s="6">
        <f>P2073</f>
        <v>0.2</v>
      </c>
      <c r="G2074" s="12">
        <f>C2074-E2074</f>
        <v>-3.1407284351530507E-2</v>
      </c>
      <c r="H2074" s="3">
        <f>B2072</f>
        <v>37440</v>
      </c>
      <c r="I2074" s="3">
        <f>B2087</f>
        <v>37720</v>
      </c>
      <c r="J2074" s="3">
        <f>I2074-H2074</f>
        <v>280</v>
      </c>
      <c r="K2074" s="5">
        <f>E2072</f>
        <v>13.585407284351531</v>
      </c>
      <c r="L2074" s="3">
        <f>C2087</f>
        <v>16.390999999999998</v>
      </c>
      <c r="M2074" s="5">
        <f>L2074-K2074</f>
        <v>2.8055927156484675</v>
      </c>
      <c r="N2074" s="3">
        <f>J2074/M2074</f>
        <v>99.800658320173355</v>
      </c>
      <c r="O2074" s="3">
        <v>100</v>
      </c>
    </row>
    <row r="2075" spans="1:18" x14ac:dyDescent="0.3">
      <c r="A2075" s="11" t="s">
        <v>1964</v>
      </c>
      <c r="B2075" s="7">
        <v>37480</v>
      </c>
      <c r="C2075" s="7">
        <v>13.919</v>
      </c>
      <c r="D2075" s="2">
        <f t="shared" si="529"/>
        <v>0.16500000000000092</v>
      </c>
      <c r="E2075" s="8">
        <f>E2074+F2074</f>
        <v>13.985407284351529</v>
      </c>
      <c r="F2075" s="6">
        <f t="shared" ref="F2075" si="534">F2074</f>
        <v>0.2</v>
      </c>
      <c r="G2075" s="12">
        <f t="shared" ref="G2075" si="535">C2075-E2075</f>
        <v>-6.6407284351528872E-2</v>
      </c>
    </row>
    <row r="2076" spans="1:18" x14ac:dyDescent="0.3">
      <c r="A2076" s="11" t="s">
        <v>1965</v>
      </c>
      <c r="B2076" s="7">
        <v>37500</v>
      </c>
      <c r="C2076" s="7">
        <v>14.108000000000001</v>
      </c>
      <c r="D2076" s="2">
        <f t="shared" si="529"/>
        <v>0.18900000000000006</v>
      </c>
      <c r="E2076" s="8">
        <f t="shared" ref="E2076:E2085" si="536">E2075+F2075</f>
        <v>14.185407284351529</v>
      </c>
      <c r="F2076" s="6">
        <f t="shared" si="522"/>
        <v>0.2</v>
      </c>
      <c r="G2076" s="12">
        <f t="shared" ref="G2076:G2085" si="537">C2076-E2076</f>
        <v>-7.7407284351528105E-2</v>
      </c>
    </row>
    <row r="2077" spans="1:18" x14ac:dyDescent="0.3">
      <c r="A2077" s="11" t="s">
        <v>1966</v>
      </c>
      <c r="B2077" s="7">
        <v>37520</v>
      </c>
      <c r="C2077" s="7">
        <v>14.3</v>
      </c>
      <c r="D2077" s="2">
        <f t="shared" si="529"/>
        <v>0.19200000000000017</v>
      </c>
      <c r="E2077" s="8">
        <f t="shared" si="536"/>
        <v>14.385407284351528</v>
      </c>
      <c r="F2077" s="6">
        <f t="shared" si="522"/>
        <v>0.2</v>
      </c>
      <c r="G2077" s="12">
        <f t="shared" si="537"/>
        <v>-8.5407284351527224E-2</v>
      </c>
    </row>
    <row r="2078" spans="1:18" x14ac:dyDescent="0.3">
      <c r="A2078" s="11" t="s">
        <v>1967</v>
      </c>
      <c r="B2078" s="7">
        <v>37540</v>
      </c>
      <c r="C2078" s="7">
        <v>14.486000000000001</v>
      </c>
      <c r="D2078" s="2">
        <f t="shared" si="529"/>
        <v>0.18599999999999994</v>
      </c>
      <c r="E2078" s="8">
        <f t="shared" si="536"/>
        <v>14.585407284351527</v>
      </c>
      <c r="F2078" s="6">
        <f t="shared" si="522"/>
        <v>0.2</v>
      </c>
      <c r="G2078" s="12">
        <f t="shared" si="537"/>
        <v>-9.940728435152657E-2</v>
      </c>
    </row>
    <row r="2079" spans="1:18" x14ac:dyDescent="0.3">
      <c r="A2079" s="11" t="s">
        <v>1968</v>
      </c>
      <c r="B2079" s="7">
        <v>37560</v>
      </c>
      <c r="C2079" s="7">
        <v>14.678000000000001</v>
      </c>
      <c r="D2079" s="2">
        <f t="shared" si="529"/>
        <v>0.19200000000000017</v>
      </c>
      <c r="E2079" s="8">
        <f t="shared" si="536"/>
        <v>14.785407284351527</v>
      </c>
      <c r="F2079" s="6">
        <f t="shared" si="522"/>
        <v>0.2</v>
      </c>
      <c r="G2079" s="12">
        <f t="shared" si="537"/>
        <v>-0.10740728435152569</v>
      </c>
    </row>
    <row r="2080" spans="1:18" x14ac:dyDescent="0.3">
      <c r="A2080" s="11" t="s">
        <v>1969</v>
      </c>
      <c r="B2080" s="7">
        <v>37580</v>
      </c>
      <c r="C2080" s="7">
        <v>14.888</v>
      </c>
      <c r="D2080" s="2">
        <f t="shared" si="529"/>
        <v>0.20999999999999908</v>
      </c>
      <c r="E2080" s="8">
        <f t="shared" si="536"/>
        <v>14.985407284351526</v>
      </c>
      <c r="F2080" s="6">
        <f t="shared" si="522"/>
        <v>0.2</v>
      </c>
      <c r="G2080" s="12">
        <f t="shared" si="537"/>
        <v>-9.7407284351525902E-2</v>
      </c>
    </row>
    <row r="2081" spans="1:18" x14ac:dyDescent="0.3">
      <c r="A2081" s="11" t="s">
        <v>1970</v>
      </c>
      <c r="B2081" s="7">
        <v>37600</v>
      </c>
      <c r="C2081" s="7">
        <v>15.085000000000001</v>
      </c>
      <c r="D2081" s="2">
        <f t="shared" si="529"/>
        <v>0.19700000000000095</v>
      </c>
      <c r="E2081" s="8">
        <f t="shared" si="536"/>
        <v>15.185407284351525</v>
      </c>
      <c r="F2081" s="6">
        <f t="shared" si="522"/>
        <v>0.2</v>
      </c>
      <c r="G2081" s="12">
        <f t="shared" si="537"/>
        <v>-0.10040728435152424</v>
      </c>
    </row>
    <row r="2082" spans="1:18" x14ac:dyDescent="0.3">
      <c r="A2082" s="11" t="s">
        <v>1971</v>
      </c>
      <c r="B2082" s="7">
        <v>37620</v>
      </c>
      <c r="C2082" s="7">
        <v>15.281000000000001</v>
      </c>
      <c r="D2082" s="2">
        <f t="shared" si="529"/>
        <v>0.19599999999999973</v>
      </c>
      <c r="E2082" s="8">
        <f t="shared" si="536"/>
        <v>15.385407284351524</v>
      </c>
      <c r="F2082" s="6">
        <f t="shared" si="522"/>
        <v>0.2</v>
      </c>
      <c r="G2082" s="12">
        <f t="shared" si="537"/>
        <v>-0.1044072843515238</v>
      </c>
    </row>
    <row r="2083" spans="1:18" x14ac:dyDescent="0.3">
      <c r="A2083" s="11" t="s">
        <v>1972</v>
      </c>
      <c r="B2083" s="7">
        <v>37640</v>
      </c>
      <c r="C2083" s="7">
        <v>15.497999999999999</v>
      </c>
      <c r="D2083" s="2">
        <f t="shared" si="529"/>
        <v>0.21699999999999875</v>
      </c>
      <c r="E2083" s="8">
        <f t="shared" si="536"/>
        <v>15.585407284351524</v>
      </c>
      <c r="F2083" s="6">
        <f t="shared" si="522"/>
        <v>0.2</v>
      </c>
      <c r="G2083" s="12">
        <f t="shared" si="537"/>
        <v>-8.7407284351524339E-2</v>
      </c>
    </row>
    <row r="2084" spans="1:18" x14ac:dyDescent="0.3">
      <c r="A2084" s="11" t="s">
        <v>1973</v>
      </c>
      <c r="B2084" s="7">
        <v>37660</v>
      </c>
      <c r="C2084" s="7">
        <v>15.74</v>
      </c>
      <c r="D2084" s="2">
        <f t="shared" si="529"/>
        <v>0.24200000000000088</v>
      </c>
      <c r="E2084" s="8">
        <f t="shared" si="536"/>
        <v>15.785407284351523</v>
      </c>
      <c r="F2084" s="6">
        <f t="shared" si="522"/>
        <v>0.2</v>
      </c>
      <c r="G2084" s="12">
        <f t="shared" si="537"/>
        <v>-4.5407284351522748E-2</v>
      </c>
    </row>
    <row r="2085" spans="1:18" x14ac:dyDescent="0.3">
      <c r="A2085" s="11" t="s">
        <v>1974</v>
      </c>
      <c r="B2085" s="7">
        <v>37680</v>
      </c>
      <c r="C2085" s="7">
        <v>15.98</v>
      </c>
      <c r="D2085" s="2">
        <f t="shared" si="529"/>
        <v>0.24000000000000021</v>
      </c>
      <c r="E2085" s="8">
        <f t="shared" si="536"/>
        <v>15.985407284351522</v>
      </c>
      <c r="F2085" s="6">
        <f t="shared" si="522"/>
        <v>0.2</v>
      </c>
      <c r="G2085" s="12">
        <f t="shared" si="537"/>
        <v>-5.4072843515218239E-3</v>
      </c>
    </row>
    <row r="2086" spans="1:18" x14ac:dyDescent="0.3">
      <c r="A2086" s="11" t="s">
        <v>1975</v>
      </c>
      <c r="B2086" s="7">
        <v>37700</v>
      </c>
      <c r="C2086" s="7">
        <v>16.175000000000001</v>
      </c>
      <c r="D2086" s="2">
        <f t="shared" si="529"/>
        <v>0.19500000000000028</v>
      </c>
      <c r="E2086" s="8">
        <f t="shared" ref="E2086:E2126" si="538">E2085+F2085</f>
        <v>16.185407284351523</v>
      </c>
      <c r="F2086" s="6">
        <f t="shared" si="522"/>
        <v>0.2</v>
      </c>
      <c r="G2086" s="12">
        <f t="shared" ref="G2086:G2108" si="539">C2086-E2086</f>
        <v>-1.0407284351522605E-2</v>
      </c>
    </row>
    <row r="2087" spans="1:18" x14ac:dyDescent="0.3">
      <c r="A2087" s="11" t="s">
        <v>1976</v>
      </c>
      <c r="B2087" s="7">
        <v>37720</v>
      </c>
      <c r="C2087" s="7">
        <v>16.390999999999998</v>
      </c>
      <c r="D2087" s="2">
        <f t="shared" si="529"/>
        <v>0.21599999999999753</v>
      </c>
      <c r="E2087" s="8">
        <f t="shared" si="538"/>
        <v>16.385407284351523</v>
      </c>
      <c r="F2087" s="6">
        <f t="shared" si="522"/>
        <v>0.2</v>
      </c>
      <c r="G2087" s="12">
        <f t="shared" si="539"/>
        <v>5.5927156484756324E-3</v>
      </c>
    </row>
    <row r="2088" spans="1:18" x14ac:dyDescent="0.3">
      <c r="A2088" s="21"/>
      <c r="B2088" s="22"/>
      <c r="C2088" s="22"/>
      <c r="D2088" s="22"/>
      <c r="E2088" s="22"/>
      <c r="F2088" s="22"/>
      <c r="G2088" s="23"/>
      <c r="H2088" s="4" t="s">
        <v>3492</v>
      </c>
      <c r="J2088" s="4"/>
      <c r="O2088" s="3">
        <f>1/O2089</f>
        <v>4.6425255338904364E-4</v>
      </c>
      <c r="P2088" s="3">
        <f>O2088*20</f>
        <v>9.2850510677808737E-3</v>
      </c>
      <c r="Q2088" s="3" t="s">
        <v>3202</v>
      </c>
      <c r="R2088" s="3">
        <v>2154</v>
      </c>
    </row>
    <row r="2089" spans="1:18" x14ac:dyDescent="0.3">
      <c r="A2089" s="11" t="s">
        <v>1977</v>
      </c>
      <c r="B2089" s="7">
        <v>37740</v>
      </c>
      <c r="C2089" s="7">
        <v>16.393999999999998</v>
      </c>
      <c r="D2089" s="2">
        <f>C2089-C2087</f>
        <v>3.0000000000001137E-3</v>
      </c>
      <c r="E2089" s="8">
        <f>E2087-F2089</f>
        <v>16.376122233283741</v>
      </c>
      <c r="F2089" s="6">
        <f>P2088</f>
        <v>9.2850510677808737E-3</v>
      </c>
      <c r="G2089" s="12">
        <f>C2089-E2089</f>
        <v>1.7877766716257071E-2</v>
      </c>
      <c r="H2089" s="3">
        <f>B2087</f>
        <v>37720</v>
      </c>
      <c r="I2089" s="3">
        <f>B2104</f>
        <v>37960</v>
      </c>
      <c r="J2089" s="3">
        <f>I2089-H2089</f>
        <v>240</v>
      </c>
      <c r="K2089" s="5">
        <f>E2087</f>
        <v>16.385407284351523</v>
      </c>
      <c r="L2089" s="3">
        <f>C2104</f>
        <v>16.274000000000001</v>
      </c>
      <c r="M2089" s="5">
        <f>L2089-K2089</f>
        <v>-0.1114072843515217</v>
      </c>
      <c r="N2089" s="3">
        <f>J2089/M2089</f>
        <v>-2154.2576986504014</v>
      </c>
      <c r="O2089" s="3">
        <v>2154</v>
      </c>
    </row>
    <row r="2090" spans="1:18" x14ac:dyDescent="0.3">
      <c r="A2090" s="11" t="s">
        <v>3237</v>
      </c>
      <c r="B2090" s="62" t="s">
        <v>3194</v>
      </c>
      <c r="C2090" s="63"/>
      <c r="D2090" s="63"/>
      <c r="E2090" s="63"/>
      <c r="F2090" s="63"/>
      <c r="G2090" s="64"/>
      <c r="K2090" s="5"/>
      <c r="M2090" s="5"/>
    </row>
    <row r="2091" spans="1:18" x14ac:dyDescent="0.3">
      <c r="A2091" s="11" t="s">
        <v>1978</v>
      </c>
      <c r="B2091" s="7">
        <v>37760</v>
      </c>
      <c r="C2091" s="7">
        <v>16.527999999999999</v>
      </c>
      <c r="D2091" s="2">
        <f>C2091-C2089</f>
        <v>0.13400000000000034</v>
      </c>
      <c r="E2091" s="8">
        <f>E2089-F2089</f>
        <v>16.36683718221596</v>
      </c>
      <c r="F2091" s="6">
        <f t="shared" ref="F2091" si="540">F2089</f>
        <v>9.2850510677808737E-3</v>
      </c>
      <c r="G2091" s="12">
        <f t="shared" ref="G2091" si="541">C2091-E2091</f>
        <v>0.16116281778403874</v>
      </c>
    </row>
    <row r="2092" spans="1:18" x14ac:dyDescent="0.3">
      <c r="A2092" s="11" t="s">
        <v>1979</v>
      </c>
      <c r="B2092" s="7">
        <v>37780</v>
      </c>
      <c r="C2092" s="7">
        <v>16.513000000000002</v>
      </c>
      <c r="D2092" s="2">
        <f t="shared" si="529"/>
        <v>-1.4999999999997016E-2</v>
      </c>
      <c r="E2092" s="8">
        <f>E2091-F2091</f>
        <v>16.357552131148179</v>
      </c>
      <c r="F2092" s="6">
        <f t="shared" si="522"/>
        <v>9.2850510677808737E-3</v>
      </c>
      <c r="G2092" s="12">
        <f t="shared" si="539"/>
        <v>0.15544786885182305</v>
      </c>
    </row>
    <row r="2093" spans="1:18" x14ac:dyDescent="0.3">
      <c r="A2093" s="11" t="s">
        <v>1980</v>
      </c>
      <c r="B2093" s="7">
        <v>37800</v>
      </c>
      <c r="C2093" s="7">
        <v>16.43</v>
      </c>
      <c r="D2093" s="2">
        <f t="shared" si="529"/>
        <v>-8.3000000000001961E-2</v>
      </c>
      <c r="E2093" s="8">
        <f>E2092-F2092</f>
        <v>16.348267080080397</v>
      </c>
      <c r="F2093" s="6">
        <f t="shared" si="522"/>
        <v>9.2850510677808737E-3</v>
      </c>
      <c r="G2093" s="12">
        <f t="shared" si="539"/>
        <v>8.1732919919602409E-2</v>
      </c>
    </row>
    <row r="2094" spans="1:18" x14ac:dyDescent="0.3">
      <c r="A2094" s="11" t="s">
        <v>3238</v>
      </c>
      <c r="B2094" s="62" t="s">
        <v>3197</v>
      </c>
      <c r="C2094" s="63"/>
      <c r="D2094" s="63"/>
      <c r="E2094" s="63"/>
      <c r="F2094" s="63"/>
      <c r="G2094" s="64"/>
    </row>
    <row r="2095" spans="1:18" x14ac:dyDescent="0.3">
      <c r="A2095" s="11" t="s">
        <v>1981</v>
      </c>
      <c r="B2095" s="7">
        <v>37820</v>
      </c>
      <c r="C2095" s="7">
        <v>16.401</v>
      </c>
      <c r="D2095" s="2">
        <f>C2095-C2093</f>
        <v>-2.8999999999999915E-2</v>
      </c>
      <c r="E2095" s="8">
        <f>E2093-F2093</f>
        <v>16.338982029012616</v>
      </c>
      <c r="F2095" s="6">
        <f>F2093</f>
        <v>9.2850510677808737E-3</v>
      </c>
      <c r="G2095" s="12">
        <f t="shared" si="539"/>
        <v>6.2017970987383819E-2</v>
      </c>
    </row>
    <row r="2096" spans="1:18" x14ac:dyDescent="0.3">
      <c r="A2096" s="11" t="s">
        <v>1982</v>
      </c>
      <c r="B2096" s="7">
        <v>37840</v>
      </c>
      <c r="C2096" s="7">
        <v>16.393000000000001</v>
      </c>
      <c r="D2096" s="2">
        <f t="shared" si="529"/>
        <v>-7.9999999999991189E-3</v>
      </c>
      <c r="E2096" s="8">
        <f>E2095-F2095</f>
        <v>16.329696977944835</v>
      </c>
      <c r="F2096" s="6">
        <f t="shared" si="522"/>
        <v>9.2850510677808737E-3</v>
      </c>
      <c r="G2096" s="12">
        <f t="shared" si="539"/>
        <v>6.3303022055166025E-2</v>
      </c>
    </row>
    <row r="2097" spans="1:18" x14ac:dyDescent="0.3">
      <c r="A2097" s="11" t="s">
        <v>1983</v>
      </c>
      <c r="B2097" s="7">
        <v>37860</v>
      </c>
      <c r="C2097" s="7">
        <v>16.312999999999999</v>
      </c>
      <c r="D2097" s="2">
        <f t="shared" si="529"/>
        <v>-8.0000000000001847E-2</v>
      </c>
      <c r="E2097" s="8">
        <f t="shared" ref="E2097:E2099" si="542">E2096-F2096</f>
        <v>16.320411926877053</v>
      </c>
      <c r="F2097" s="6">
        <f t="shared" si="522"/>
        <v>9.2850510677808737E-3</v>
      </c>
      <c r="G2097" s="12">
        <f t="shared" si="539"/>
        <v>-7.4119268770544977E-3</v>
      </c>
    </row>
    <row r="2098" spans="1:18" x14ac:dyDescent="0.3">
      <c r="A2098" s="11" t="s">
        <v>1984</v>
      </c>
      <c r="B2098" s="7">
        <v>37880</v>
      </c>
      <c r="C2098" s="7">
        <v>16.271999999999998</v>
      </c>
      <c r="D2098" s="2">
        <f t="shared" si="529"/>
        <v>-4.1000000000000369E-2</v>
      </c>
      <c r="E2098" s="8">
        <f t="shared" si="542"/>
        <v>16.311126875809272</v>
      </c>
      <c r="F2098" s="6">
        <f t="shared" si="522"/>
        <v>9.2850510677808737E-3</v>
      </c>
      <c r="G2098" s="12">
        <f t="shared" si="539"/>
        <v>-3.9126875809273542E-2</v>
      </c>
    </row>
    <row r="2099" spans="1:18" x14ac:dyDescent="0.3">
      <c r="A2099" s="11" t="s">
        <v>1985</v>
      </c>
      <c r="B2099" s="7">
        <v>37900</v>
      </c>
      <c r="C2099" s="7">
        <v>16.260000000000002</v>
      </c>
      <c r="D2099" s="2">
        <f t="shared" si="529"/>
        <v>-1.1999999999996902E-2</v>
      </c>
      <c r="E2099" s="8">
        <f t="shared" si="542"/>
        <v>16.301841824741491</v>
      </c>
      <c r="F2099" s="6">
        <f t="shared" ref="F2099:F2167" si="543">F2098</f>
        <v>9.2850510677808737E-3</v>
      </c>
      <c r="G2099" s="12">
        <f t="shared" si="539"/>
        <v>-4.184182474148912E-2</v>
      </c>
    </row>
    <row r="2100" spans="1:18" x14ac:dyDescent="0.3">
      <c r="A2100" s="11" t="s">
        <v>3239</v>
      </c>
      <c r="B2100" s="62" t="s">
        <v>3222</v>
      </c>
      <c r="C2100" s="63"/>
      <c r="D2100" s="63"/>
      <c r="E2100" s="63"/>
      <c r="F2100" s="63"/>
      <c r="G2100" s="64"/>
    </row>
    <row r="2101" spans="1:18" x14ac:dyDescent="0.3">
      <c r="A2101" s="11" t="s">
        <v>1986</v>
      </c>
      <c r="B2101" s="7">
        <v>37920</v>
      </c>
      <c r="C2101" s="7">
        <v>16.268000000000001</v>
      </c>
      <c r="D2101" s="2">
        <f>C2101-C2099</f>
        <v>7.9999999999991189E-3</v>
      </c>
      <c r="E2101" s="8">
        <f>E2099-F2099</f>
        <v>16.292556773673709</v>
      </c>
      <c r="F2101" s="6">
        <f>F2099</f>
        <v>9.2850510677808737E-3</v>
      </c>
      <c r="G2101" s="12">
        <f t="shared" si="539"/>
        <v>-2.4556773673708676E-2</v>
      </c>
    </row>
    <row r="2102" spans="1:18" x14ac:dyDescent="0.3">
      <c r="A2102" s="11" t="s">
        <v>1987</v>
      </c>
      <c r="B2102" s="7">
        <v>37940</v>
      </c>
      <c r="C2102" s="7">
        <v>16.283999999999999</v>
      </c>
      <c r="D2102" s="2">
        <f t="shared" si="529"/>
        <v>1.5999999999998238E-2</v>
      </c>
      <c r="E2102" s="8">
        <f>E2101-F2101</f>
        <v>16.283271722605928</v>
      </c>
      <c r="F2102" s="6">
        <f t="shared" si="543"/>
        <v>9.2850510677808737E-3</v>
      </c>
      <c r="G2102" s="12">
        <f t="shared" si="539"/>
        <v>7.2827739407088643E-4</v>
      </c>
    </row>
    <row r="2103" spans="1:18" x14ac:dyDescent="0.3">
      <c r="A2103" s="13" t="s">
        <v>1988</v>
      </c>
      <c r="B2103" s="24"/>
      <c r="C2103" s="25"/>
      <c r="D2103" s="25"/>
      <c r="E2103" s="25"/>
      <c r="F2103" s="25"/>
      <c r="G2103" s="26"/>
    </row>
    <row r="2104" spans="1:18" x14ac:dyDescent="0.3">
      <c r="A2104" s="11" t="s">
        <v>1989</v>
      </c>
      <c r="B2104" s="7">
        <v>37960</v>
      </c>
      <c r="C2104" s="7">
        <v>16.274000000000001</v>
      </c>
      <c r="D2104" s="2">
        <f>C2104-C2102</f>
        <v>-9.9999999999980105E-3</v>
      </c>
      <c r="E2104" s="8">
        <f>E2102-F2102</f>
        <v>16.273986671538147</v>
      </c>
      <c r="F2104" s="6">
        <f>F2102</f>
        <v>9.2850510677808737E-3</v>
      </c>
      <c r="G2104" s="12">
        <f t="shared" si="539"/>
        <v>1.3328461854200668E-5</v>
      </c>
    </row>
    <row r="2105" spans="1:18" x14ac:dyDescent="0.3">
      <c r="A2105" s="11" t="s">
        <v>3440</v>
      </c>
      <c r="B2105" s="70" t="s">
        <v>3441</v>
      </c>
      <c r="C2105" s="7"/>
      <c r="D2105" s="2"/>
      <c r="E2105" s="8"/>
      <c r="F2105" s="6"/>
      <c r="G2105" s="12"/>
      <c r="H2105" s="4" t="s">
        <v>3493</v>
      </c>
      <c r="J2105" s="4"/>
      <c r="O2105" s="3">
        <f>1/O2106</f>
        <v>2.331002331002331E-3</v>
      </c>
      <c r="P2105" s="3">
        <f>O2105*20</f>
        <v>4.6620046620046623E-2</v>
      </c>
      <c r="Q2105" s="3" t="s">
        <v>3202</v>
      </c>
      <c r="R2105" s="3">
        <v>420</v>
      </c>
    </row>
    <row r="2106" spans="1:18" x14ac:dyDescent="0.3">
      <c r="A2106" s="11" t="s">
        <v>1990</v>
      </c>
      <c r="B2106" s="7">
        <v>37980</v>
      </c>
      <c r="C2106" s="7">
        <v>16.28</v>
      </c>
      <c r="D2106" s="2">
        <f>C2106-C2104</f>
        <v>6.0000000000002274E-3</v>
      </c>
      <c r="E2106" s="8">
        <f>E2104+F2106</f>
        <v>16.320606718158192</v>
      </c>
      <c r="F2106" s="6">
        <f>P2105</f>
        <v>4.6620046620046623E-2</v>
      </c>
      <c r="G2106" s="12">
        <f t="shared" si="539"/>
        <v>-4.0606718158191057E-2</v>
      </c>
      <c r="H2106" s="3">
        <f>B2104</f>
        <v>37960</v>
      </c>
      <c r="I2106" s="3">
        <f>B2130</f>
        <v>38400</v>
      </c>
      <c r="J2106" s="3">
        <f>I2106-H2106</f>
        <v>440</v>
      </c>
      <c r="K2106" s="5">
        <f>E2104</f>
        <v>16.273986671538147</v>
      </c>
      <c r="L2106" s="3">
        <f>C2130</f>
        <v>17.3</v>
      </c>
      <c r="M2106" s="5">
        <f>L2106-K2106</f>
        <v>1.026013328461854</v>
      </c>
      <c r="N2106" s="3">
        <f>J2106/M2106</f>
        <v>428.84433154452796</v>
      </c>
      <c r="O2106" s="3">
        <v>429</v>
      </c>
    </row>
    <row r="2107" spans="1:18" x14ac:dyDescent="0.3">
      <c r="A2107" s="11" t="s">
        <v>3442</v>
      </c>
      <c r="B2107" s="70" t="s">
        <v>3444</v>
      </c>
      <c r="C2107" s="7"/>
      <c r="D2107" s="2"/>
      <c r="E2107" s="8"/>
      <c r="F2107" s="6"/>
      <c r="G2107" s="12"/>
      <c r="K2107" s="5"/>
      <c r="M2107" s="5"/>
    </row>
    <row r="2108" spans="1:18" x14ac:dyDescent="0.3">
      <c r="A2108" s="11" t="s">
        <v>1991</v>
      </c>
      <c r="B2108" s="7">
        <v>38000</v>
      </c>
      <c r="C2108" s="7">
        <v>16.288</v>
      </c>
      <c r="D2108" s="2">
        <f>C2108-C2106</f>
        <v>7.9999999999991189E-3</v>
      </c>
      <c r="E2108" s="8">
        <f>E2106+F2106</f>
        <v>16.367226764778238</v>
      </c>
      <c r="F2108" s="6">
        <f>F2106</f>
        <v>4.6620046620046623E-2</v>
      </c>
      <c r="G2108" s="12">
        <f t="shared" si="539"/>
        <v>-7.9226764778237424E-2</v>
      </c>
    </row>
    <row r="2109" spans="1:18" x14ac:dyDescent="0.3">
      <c r="A2109" s="11" t="s">
        <v>1992</v>
      </c>
      <c r="B2109" s="7">
        <v>38020</v>
      </c>
      <c r="C2109" s="7">
        <v>16.312000000000001</v>
      </c>
      <c r="D2109" s="2">
        <f>C2109-C2108</f>
        <v>2.4000000000000909E-2</v>
      </c>
      <c r="E2109" s="8">
        <f t="shared" si="538"/>
        <v>16.413846811398283</v>
      </c>
      <c r="F2109" s="6">
        <f t="shared" si="543"/>
        <v>4.6620046620046623E-2</v>
      </c>
      <c r="G2109" s="12">
        <f>C2109-E2109</f>
        <v>-0.101846811398282</v>
      </c>
    </row>
    <row r="2110" spans="1:18" x14ac:dyDescent="0.3">
      <c r="A2110" s="11" t="s">
        <v>1993</v>
      </c>
      <c r="B2110" s="7">
        <v>38040</v>
      </c>
      <c r="C2110" s="7">
        <v>16.352</v>
      </c>
      <c r="D2110" s="2">
        <f t="shared" si="529"/>
        <v>3.9999999999999147E-2</v>
      </c>
      <c r="E2110" s="8">
        <f t="shared" si="538"/>
        <v>16.460466858018329</v>
      </c>
      <c r="F2110" s="6">
        <f t="shared" si="543"/>
        <v>4.6620046620046623E-2</v>
      </c>
      <c r="G2110" s="12">
        <f t="shared" ref="G2110" si="544">C2110-E2110</f>
        <v>-0.10846685801832834</v>
      </c>
    </row>
    <row r="2111" spans="1:18" x14ac:dyDescent="0.3">
      <c r="A2111" s="11" t="s">
        <v>1994</v>
      </c>
      <c r="B2111" s="7">
        <v>38060</v>
      </c>
      <c r="C2111" s="7">
        <v>16.356000000000002</v>
      </c>
      <c r="D2111" s="2">
        <f t="shared" si="529"/>
        <v>4.0000000000013358E-3</v>
      </c>
      <c r="E2111" s="8">
        <f t="shared" si="538"/>
        <v>16.507086904638374</v>
      </c>
      <c r="F2111" s="6">
        <f t="shared" si="543"/>
        <v>4.6620046620046623E-2</v>
      </c>
      <c r="G2111" s="12">
        <f t="shared" ref="G2111:G2124" si="545">C2111-E2111</f>
        <v>-0.15108690463837249</v>
      </c>
    </row>
    <row r="2112" spans="1:18" x14ac:dyDescent="0.3">
      <c r="A2112" s="11" t="s">
        <v>1995</v>
      </c>
      <c r="B2112" s="7">
        <v>38080</v>
      </c>
      <c r="C2112" s="7">
        <v>16.39</v>
      </c>
      <c r="D2112" s="2">
        <f t="shared" si="529"/>
        <v>3.399999999999892E-2</v>
      </c>
      <c r="E2112" s="8">
        <f t="shared" si="538"/>
        <v>16.55370695125842</v>
      </c>
      <c r="F2112" s="6">
        <f t="shared" si="543"/>
        <v>4.6620046620046623E-2</v>
      </c>
      <c r="G2112" s="12">
        <f t="shared" si="545"/>
        <v>-0.16370695125841905</v>
      </c>
    </row>
    <row r="2113" spans="1:7" x14ac:dyDescent="0.3">
      <c r="A2113" s="11" t="s">
        <v>1996</v>
      </c>
      <c r="B2113" s="7">
        <v>38100</v>
      </c>
      <c r="C2113" s="7">
        <v>16.414999999999999</v>
      </c>
      <c r="D2113" s="2">
        <f t="shared" si="529"/>
        <v>2.4999999999998579E-2</v>
      </c>
      <c r="E2113" s="8">
        <f t="shared" si="538"/>
        <v>16.600326997878465</v>
      </c>
      <c r="F2113" s="6">
        <f t="shared" si="543"/>
        <v>4.6620046620046623E-2</v>
      </c>
      <c r="G2113" s="12">
        <f t="shared" si="545"/>
        <v>-0.18532699787846596</v>
      </c>
    </row>
    <row r="2114" spans="1:7" x14ac:dyDescent="0.3">
      <c r="A2114" s="11" t="s">
        <v>1997</v>
      </c>
      <c r="B2114" s="7">
        <v>38120</v>
      </c>
      <c r="C2114" s="7">
        <v>16.46</v>
      </c>
      <c r="D2114" s="2">
        <f t="shared" si="529"/>
        <v>4.5000000000001705E-2</v>
      </c>
      <c r="E2114" s="8">
        <f t="shared" si="538"/>
        <v>16.646947044498511</v>
      </c>
      <c r="F2114" s="6">
        <f t="shared" si="543"/>
        <v>4.6620046620046623E-2</v>
      </c>
      <c r="G2114" s="12">
        <f t="shared" si="545"/>
        <v>-0.18694704449850974</v>
      </c>
    </row>
    <row r="2115" spans="1:7" x14ac:dyDescent="0.3">
      <c r="A2115" s="11" t="s">
        <v>1998</v>
      </c>
      <c r="B2115" s="7">
        <v>38140</v>
      </c>
      <c r="C2115" s="7">
        <v>16.489000000000001</v>
      </c>
      <c r="D2115" s="2">
        <f t="shared" si="529"/>
        <v>2.8999999999999915E-2</v>
      </c>
      <c r="E2115" s="8">
        <f t="shared" si="538"/>
        <v>16.693567091118556</v>
      </c>
      <c r="F2115" s="6">
        <f t="shared" si="543"/>
        <v>4.6620046620046623E-2</v>
      </c>
      <c r="G2115" s="12">
        <f t="shared" si="545"/>
        <v>-0.20456709111855531</v>
      </c>
    </row>
    <row r="2116" spans="1:7" x14ac:dyDescent="0.3">
      <c r="A2116" s="11" t="s">
        <v>1999</v>
      </c>
      <c r="B2116" s="7">
        <v>38160</v>
      </c>
      <c r="C2116" s="7">
        <v>16.504000000000001</v>
      </c>
      <c r="D2116" s="2">
        <f t="shared" si="529"/>
        <v>1.5000000000000568E-2</v>
      </c>
      <c r="E2116" s="8">
        <f t="shared" si="538"/>
        <v>16.740187137738602</v>
      </c>
      <c r="F2116" s="6">
        <f t="shared" si="543"/>
        <v>4.6620046620046623E-2</v>
      </c>
      <c r="G2116" s="12">
        <f t="shared" si="545"/>
        <v>-0.23618713773860023</v>
      </c>
    </row>
    <row r="2117" spans="1:7" x14ac:dyDescent="0.3">
      <c r="A2117" s="11" t="s">
        <v>2000</v>
      </c>
      <c r="B2117" s="7">
        <v>38180</v>
      </c>
      <c r="C2117" s="7">
        <v>16.556999999999999</v>
      </c>
      <c r="D2117" s="2">
        <f t="shared" si="529"/>
        <v>5.2999999999997272E-2</v>
      </c>
      <c r="E2117" s="8">
        <f t="shared" si="538"/>
        <v>16.786807184358647</v>
      </c>
      <c r="F2117" s="6">
        <f t="shared" si="543"/>
        <v>4.6620046620046623E-2</v>
      </c>
      <c r="G2117" s="12">
        <f t="shared" si="545"/>
        <v>-0.22980718435864844</v>
      </c>
    </row>
    <row r="2118" spans="1:7" x14ac:dyDescent="0.3">
      <c r="A2118" s="11" t="s">
        <v>2001</v>
      </c>
      <c r="B2118" s="7">
        <v>38200</v>
      </c>
      <c r="C2118" s="7">
        <v>16.614000000000001</v>
      </c>
      <c r="D2118" s="2">
        <f t="shared" si="529"/>
        <v>5.700000000000216E-2</v>
      </c>
      <c r="E2118" s="8">
        <f t="shared" si="538"/>
        <v>16.833427230978693</v>
      </c>
      <c r="F2118" s="6">
        <f t="shared" si="543"/>
        <v>4.6620046620046623E-2</v>
      </c>
      <c r="G2118" s="12">
        <f t="shared" si="545"/>
        <v>-0.21942723097869177</v>
      </c>
    </row>
    <row r="2119" spans="1:7" x14ac:dyDescent="0.3">
      <c r="A2119" s="11" t="s">
        <v>2002</v>
      </c>
      <c r="B2119" s="7">
        <v>38220</v>
      </c>
      <c r="C2119" s="7">
        <v>16.666</v>
      </c>
      <c r="D2119" s="2">
        <f t="shared" si="529"/>
        <v>5.1999999999999602E-2</v>
      </c>
      <c r="E2119" s="8">
        <f t="shared" si="538"/>
        <v>16.880047277598738</v>
      </c>
      <c r="F2119" s="6">
        <f t="shared" si="543"/>
        <v>4.6620046620046623E-2</v>
      </c>
      <c r="G2119" s="12">
        <f t="shared" si="545"/>
        <v>-0.21404727759873765</v>
      </c>
    </row>
    <row r="2120" spans="1:7" x14ac:dyDescent="0.3">
      <c r="A2120" s="11" t="s">
        <v>2003</v>
      </c>
      <c r="B2120" s="7">
        <v>38240</v>
      </c>
      <c r="C2120" s="7">
        <v>16.709</v>
      </c>
      <c r="D2120" s="2">
        <f t="shared" si="529"/>
        <v>4.2999999999999261E-2</v>
      </c>
      <c r="E2120" s="8">
        <f t="shared" si="538"/>
        <v>16.926667324218784</v>
      </c>
      <c r="F2120" s="6">
        <f t="shared" si="543"/>
        <v>4.6620046620046623E-2</v>
      </c>
      <c r="G2120" s="12">
        <f t="shared" si="545"/>
        <v>-0.21766732421878388</v>
      </c>
    </row>
    <row r="2121" spans="1:7" x14ac:dyDescent="0.3">
      <c r="A2121" s="11" t="s">
        <v>2004</v>
      </c>
      <c r="B2121" s="7">
        <v>38260</v>
      </c>
      <c r="C2121" s="7">
        <v>16.783000000000001</v>
      </c>
      <c r="D2121" s="2">
        <f t="shared" si="529"/>
        <v>7.400000000000162E-2</v>
      </c>
      <c r="E2121" s="8">
        <f t="shared" si="538"/>
        <v>16.973287370838829</v>
      </c>
      <c r="F2121" s="6">
        <f t="shared" si="543"/>
        <v>4.6620046620046623E-2</v>
      </c>
      <c r="G2121" s="12">
        <f t="shared" si="545"/>
        <v>-0.19028737083882774</v>
      </c>
    </row>
    <row r="2122" spans="1:7" x14ac:dyDescent="0.3">
      <c r="A2122" s="11" t="s">
        <v>2005</v>
      </c>
      <c r="B2122" s="7">
        <v>38280</v>
      </c>
      <c r="C2122" s="7">
        <v>16.867000000000001</v>
      </c>
      <c r="D2122" s="2">
        <f t="shared" si="529"/>
        <v>8.3999999999999631E-2</v>
      </c>
      <c r="E2122" s="8">
        <f t="shared" si="538"/>
        <v>17.019907417458874</v>
      </c>
      <c r="F2122" s="6">
        <f t="shared" si="543"/>
        <v>4.6620046620046623E-2</v>
      </c>
      <c r="G2122" s="12">
        <f t="shared" si="545"/>
        <v>-0.1529074174588736</v>
      </c>
    </row>
    <row r="2123" spans="1:7" x14ac:dyDescent="0.3">
      <c r="A2123" s="11" t="s">
        <v>2006</v>
      </c>
      <c r="B2123" s="7">
        <v>38300</v>
      </c>
      <c r="C2123" s="7">
        <v>16.946000000000002</v>
      </c>
      <c r="D2123" s="2">
        <f t="shared" si="529"/>
        <v>7.9000000000000625E-2</v>
      </c>
      <c r="E2123" s="8">
        <f t="shared" si="538"/>
        <v>17.06652746407892</v>
      </c>
      <c r="F2123" s="6">
        <f t="shared" si="543"/>
        <v>4.6620046620046623E-2</v>
      </c>
      <c r="G2123" s="12">
        <f t="shared" si="545"/>
        <v>-0.12052746407891846</v>
      </c>
    </row>
    <row r="2124" spans="1:7" x14ac:dyDescent="0.3">
      <c r="A2124" s="11" t="s">
        <v>2007</v>
      </c>
      <c r="B2124" s="7">
        <v>38320</v>
      </c>
      <c r="C2124" s="7">
        <v>17.052</v>
      </c>
      <c r="D2124" s="2">
        <f t="shared" si="529"/>
        <v>0.1059999999999981</v>
      </c>
      <c r="E2124" s="8">
        <f t="shared" si="538"/>
        <v>17.113147510698965</v>
      </c>
      <c r="F2124" s="6">
        <f t="shared" si="543"/>
        <v>4.6620046620046623E-2</v>
      </c>
      <c r="G2124" s="12">
        <f t="shared" si="545"/>
        <v>-6.1147510698965846E-2</v>
      </c>
    </row>
    <row r="2125" spans="1:7" x14ac:dyDescent="0.3">
      <c r="A2125" s="11" t="s">
        <v>2008</v>
      </c>
      <c r="B2125" s="7">
        <v>38340</v>
      </c>
      <c r="C2125" s="7">
        <v>17.106999999999999</v>
      </c>
      <c r="D2125" s="2">
        <f t="shared" si="529"/>
        <v>5.4999999999999716E-2</v>
      </c>
      <c r="E2125" s="8">
        <f t="shared" si="538"/>
        <v>17.159767557319011</v>
      </c>
      <c r="F2125" s="6">
        <f t="shared" si="543"/>
        <v>4.6620046620046623E-2</v>
      </c>
      <c r="G2125" s="12">
        <f t="shared" ref="G2125:G2141" si="546">C2125-E2125</f>
        <v>-5.2767557319011615E-2</v>
      </c>
    </row>
    <row r="2126" spans="1:7" x14ac:dyDescent="0.3">
      <c r="A2126" s="11" t="s">
        <v>2009</v>
      </c>
      <c r="B2126" s="7">
        <v>38360</v>
      </c>
      <c r="C2126" s="7">
        <v>17.164999999999999</v>
      </c>
      <c r="D2126" s="2">
        <f t="shared" si="529"/>
        <v>5.7999999999999829E-2</v>
      </c>
      <c r="E2126" s="8">
        <f t="shared" si="538"/>
        <v>17.206387603939056</v>
      </c>
      <c r="F2126" s="6">
        <f t="shared" si="543"/>
        <v>4.6620046620046623E-2</v>
      </c>
      <c r="G2126" s="12">
        <f t="shared" si="546"/>
        <v>-4.1387603939057271E-2</v>
      </c>
    </row>
    <row r="2127" spans="1:7" x14ac:dyDescent="0.3">
      <c r="A2127" s="11" t="s">
        <v>3445</v>
      </c>
      <c r="B2127" s="70" t="s">
        <v>3443</v>
      </c>
      <c r="C2127" s="7"/>
      <c r="D2127" s="2"/>
      <c r="E2127" s="8"/>
      <c r="F2127" s="6"/>
      <c r="G2127" s="12"/>
    </row>
    <row r="2128" spans="1:7" x14ac:dyDescent="0.3">
      <c r="A2128" s="11" t="s">
        <v>3446</v>
      </c>
      <c r="B2128" s="70" t="s">
        <v>3447</v>
      </c>
      <c r="C2128" s="7"/>
      <c r="D2128" s="2"/>
      <c r="E2128" s="8"/>
      <c r="F2128" s="6"/>
      <c r="G2128" s="12"/>
    </row>
    <row r="2129" spans="1:18" x14ac:dyDescent="0.3">
      <c r="A2129" s="11" t="s">
        <v>2010</v>
      </c>
      <c r="B2129" s="7">
        <v>38380</v>
      </c>
      <c r="C2129" s="7">
        <v>17.218</v>
      </c>
      <c r="D2129" s="2">
        <f>C2129-C2126</f>
        <v>5.3000000000000824E-2</v>
      </c>
      <c r="E2129" s="8">
        <f>E2126+F2126</f>
        <v>17.253007650559102</v>
      </c>
      <c r="F2129" s="6">
        <f>F2126</f>
        <v>4.6620046620046623E-2</v>
      </c>
      <c r="G2129" s="12">
        <f t="shared" si="546"/>
        <v>-3.5007650559101933E-2</v>
      </c>
    </row>
    <row r="2130" spans="1:18" x14ac:dyDescent="0.3">
      <c r="A2130" s="11" t="s">
        <v>2011</v>
      </c>
      <c r="B2130" s="7">
        <v>38400</v>
      </c>
      <c r="C2130" s="7">
        <v>17.3</v>
      </c>
      <c r="D2130" s="2">
        <f t="shared" si="529"/>
        <v>8.2000000000000739E-2</v>
      </c>
      <c r="E2130" s="8">
        <f>E2129+F2129</f>
        <v>17.299627697179147</v>
      </c>
      <c r="F2130" s="6">
        <f t="shared" si="543"/>
        <v>4.6620046620046623E-2</v>
      </c>
      <c r="G2130" s="12">
        <f t="shared" si="546"/>
        <v>3.7230282085332078E-4</v>
      </c>
    </row>
    <row r="2131" spans="1:18" x14ac:dyDescent="0.3">
      <c r="A2131" s="11"/>
      <c r="B2131" s="7"/>
      <c r="C2131" s="7"/>
      <c r="D2131" s="2"/>
      <c r="E2131" s="8"/>
      <c r="F2131" s="6"/>
      <c r="G2131" s="12"/>
      <c r="H2131" s="4" t="s">
        <v>3494</v>
      </c>
      <c r="J2131" s="4"/>
      <c r="O2131" s="3">
        <f>1/O2132</f>
        <v>2.3148148148148147E-3</v>
      </c>
      <c r="P2131" s="3">
        <f>O2131*20</f>
        <v>4.6296296296296294E-2</v>
      </c>
      <c r="Q2131" s="3" t="s">
        <v>3202</v>
      </c>
      <c r="R2131" s="3">
        <v>432</v>
      </c>
    </row>
    <row r="2132" spans="1:18" x14ac:dyDescent="0.3">
      <c r="A2132" s="11" t="s">
        <v>2012</v>
      </c>
      <c r="B2132" s="7">
        <v>38420</v>
      </c>
      <c r="C2132" s="7">
        <v>17.469000000000001</v>
      </c>
      <c r="D2132" s="2">
        <f>C2132-C2130</f>
        <v>0.16900000000000048</v>
      </c>
      <c r="E2132" s="8">
        <f>E2130+F2132</f>
        <v>17.345923993475445</v>
      </c>
      <c r="F2132" s="6">
        <f>P2131</f>
        <v>4.6296296296296294E-2</v>
      </c>
      <c r="G2132" s="12">
        <f>C2132-E2132</f>
        <v>0.12307600652455619</v>
      </c>
      <c r="H2132" s="3">
        <f>B2130</f>
        <v>38400</v>
      </c>
      <c r="I2132" s="3">
        <f>B2149</f>
        <v>38740</v>
      </c>
      <c r="J2132" s="3">
        <f>I2132-H2132</f>
        <v>340</v>
      </c>
      <c r="K2132" s="5">
        <f>E2130</f>
        <v>17.299627697179147</v>
      </c>
      <c r="L2132" s="3">
        <f>C2149</f>
        <v>18.087</v>
      </c>
      <c r="M2132" s="5">
        <f>L2132-K2132</f>
        <v>0.78737230282085235</v>
      </c>
      <c r="N2132" s="3">
        <f>J2132/M2132</f>
        <v>431.81605294205889</v>
      </c>
      <c r="O2132" s="3">
        <v>432</v>
      </c>
    </row>
    <row r="2133" spans="1:18" x14ac:dyDescent="0.3">
      <c r="A2133" s="11" t="s">
        <v>2013</v>
      </c>
      <c r="B2133" s="7">
        <v>38440</v>
      </c>
      <c r="C2133" s="7">
        <v>17.5</v>
      </c>
      <c r="D2133" s="2">
        <f>C2133-C2132</f>
        <v>3.0999999999998806E-2</v>
      </c>
      <c r="E2133" s="8">
        <f>E2132+F2132</f>
        <v>17.392220289771743</v>
      </c>
      <c r="F2133" s="6">
        <f>F2132</f>
        <v>4.6296296296296294E-2</v>
      </c>
      <c r="G2133" s="12">
        <f t="shared" ref="G2133" si="547">C2133-E2133</f>
        <v>0.10777971022825739</v>
      </c>
    </row>
    <row r="2134" spans="1:18" x14ac:dyDescent="0.3">
      <c r="A2134" s="11" t="s">
        <v>2014</v>
      </c>
      <c r="B2134" s="7">
        <v>38460</v>
      </c>
      <c r="C2134" s="7">
        <v>17.655000000000001</v>
      </c>
      <c r="D2134" s="2">
        <f>C2134-C2133</f>
        <v>0.15500000000000114</v>
      </c>
      <c r="E2134" s="8">
        <f t="shared" ref="E2134:E2144" si="548">E2133+F2133</f>
        <v>17.43851658606804</v>
      </c>
      <c r="F2134" s="6">
        <f t="shared" ref="F2134:F2144" si="549">F2133</f>
        <v>4.6296296296296294E-2</v>
      </c>
      <c r="G2134" s="12">
        <f t="shared" si="546"/>
        <v>0.21648341393196091</v>
      </c>
    </row>
    <row r="2135" spans="1:18" x14ac:dyDescent="0.3">
      <c r="A2135" s="11" t="s">
        <v>2015</v>
      </c>
      <c r="B2135" s="7">
        <v>38480</v>
      </c>
      <c r="C2135" s="7">
        <v>17.713000000000001</v>
      </c>
      <c r="D2135" s="2">
        <f t="shared" ref="D2135:D2209" si="550">C2135-C2134</f>
        <v>5.7999999999999829E-2</v>
      </c>
      <c r="E2135" s="8">
        <f t="shared" si="548"/>
        <v>17.484812882364338</v>
      </c>
      <c r="F2135" s="6">
        <f t="shared" si="549"/>
        <v>4.6296296296296294E-2</v>
      </c>
      <c r="G2135" s="12">
        <f t="shared" si="546"/>
        <v>0.22818711763566313</v>
      </c>
    </row>
    <row r="2136" spans="1:18" x14ac:dyDescent="0.3">
      <c r="A2136" s="11" t="s">
        <v>2016</v>
      </c>
      <c r="B2136" s="7">
        <v>38500</v>
      </c>
      <c r="C2136" s="7">
        <v>17.8</v>
      </c>
      <c r="D2136" s="2">
        <f t="shared" si="550"/>
        <v>8.6999999999999744E-2</v>
      </c>
      <c r="E2136" s="8">
        <f t="shared" si="548"/>
        <v>17.531109178660635</v>
      </c>
      <c r="F2136" s="6">
        <f t="shared" si="549"/>
        <v>4.6296296296296294E-2</v>
      </c>
      <c r="G2136" s="12">
        <f t="shared" si="546"/>
        <v>0.26889082133936526</v>
      </c>
    </row>
    <row r="2137" spans="1:18" x14ac:dyDescent="0.3">
      <c r="A2137" s="11" t="s">
        <v>2017</v>
      </c>
      <c r="B2137" s="7">
        <v>38520</v>
      </c>
      <c r="C2137" s="7">
        <v>17.78</v>
      </c>
      <c r="D2137" s="2">
        <f>C2137-C2136</f>
        <v>-1.9999999999999574E-2</v>
      </c>
      <c r="E2137" s="8">
        <f t="shared" si="548"/>
        <v>17.577405474956933</v>
      </c>
      <c r="F2137" s="6">
        <f t="shared" si="549"/>
        <v>4.6296296296296294E-2</v>
      </c>
      <c r="G2137" s="12">
        <f>C2137-E2137</f>
        <v>0.20259452504306807</v>
      </c>
    </row>
    <row r="2138" spans="1:18" x14ac:dyDescent="0.3">
      <c r="A2138" s="11" t="s">
        <v>2018</v>
      </c>
      <c r="B2138" s="7">
        <v>38540</v>
      </c>
      <c r="C2138" s="7">
        <v>17.82</v>
      </c>
      <c r="D2138" s="2">
        <f t="shared" si="550"/>
        <v>3.9999999999999147E-2</v>
      </c>
      <c r="E2138" s="8">
        <f t="shared" si="548"/>
        <v>17.623701771253231</v>
      </c>
      <c r="F2138" s="6">
        <f t="shared" si="549"/>
        <v>4.6296296296296294E-2</v>
      </c>
      <c r="G2138" s="12">
        <f t="shared" ref="G2138" si="551">C2138-E2138</f>
        <v>0.19629822874676961</v>
      </c>
    </row>
    <row r="2139" spans="1:18" x14ac:dyDescent="0.3">
      <c r="A2139" s="11" t="s">
        <v>2019</v>
      </c>
      <c r="B2139" s="7">
        <v>38560</v>
      </c>
      <c r="C2139" s="7">
        <v>17.87</v>
      </c>
      <c r="D2139" s="2">
        <f t="shared" si="550"/>
        <v>5.0000000000000711E-2</v>
      </c>
      <c r="E2139" s="8">
        <f t="shared" si="548"/>
        <v>17.669998067549528</v>
      </c>
      <c r="F2139" s="6">
        <f t="shared" si="549"/>
        <v>4.6296296296296294E-2</v>
      </c>
      <c r="G2139" s="12">
        <f t="shared" si="546"/>
        <v>0.20000193245047271</v>
      </c>
    </row>
    <row r="2140" spans="1:18" x14ac:dyDescent="0.3">
      <c r="A2140" s="11" t="s">
        <v>2020</v>
      </c>
      <c r="B2140" s="7">
        <v>38580</v>
      </c>
      <c r="C2140" s="7">
        <v>17.991</v>
      </c>
      <c r="D2140" s="2">
        <f t="shared" si="550"/>
        <v>0.12099999999999866</v>
      </c>
      <c r="E2140" s="8">
        <f t="shared" si="548"/>
        <v>17.716294363845826</v>
      </c>
      <c r="F2140" s="6">
        <f t="shared" si="549"/>
        <v>4.6296296296296294E-2</v>
      </c>
      <c r="G2140" s="12">
        <f t="shared" si="546"/>
        <v>0.27470563615417376</v>
      </c>
    </row>
    <row r="2141" spans="1:18" x14ac:dyDescent="0.3">
      <c r="A2141" s="11" t="s">
        <v>2021</v>
      </c>
      <c r="B2141" s="7">
        <v>38600</v>
      </c>
      <c r="C2141" s="7">
        <v>17.997</v>
      </c>
      <c r="D2141" s="2">
        <f t="shared" si="550"/>
        <v>6.0000000000002274E-3</v>
      </c>
      <c r="E2141" s="8">
        <f t="shared" si="548"/>
        <v>17.762590660142124</v>
      </c>
      <c r="F2141" s="6">
        <f t="shared" si="549"/>
        <v>4.6296296296296294E-2</v>
      </c>
      <c r="G2141" s="12">
        <f t="shared" si="546"/>
        <v>0.23440933985787638</v>
      </c>
    </row>
    <row r="2142" spans="1:18" x14ac:dyDescent="0.3">
      <c r="A2142" s="11" t="s">
        <v>2022</v>
      </c>
      <c r="B2142" s="7">
        <v>38620</v>
      </c>
      <c r="C2142" s="7">
        <v>18.006</v>
      </c>
      <c r="D2142" s="2">
        <f t="shared" si="550"/>
        <v>9.0000000000003411E-3</v>
      </c>
      <c r="E2142" s="8">
        <f t="shared" si="548"/>
        <v>17.808886956438421</v>
      </c>
      <c r="F2142" s="6">
        <f t="shared" si="549"/>
        <v>4.6296296296296294E-2</v>
      </c>
      <c r="G2142" s="12">
        <f t="shared" ref="G2142:G2157" si="552">C2142-E2142</f>
        <v>0.1971130435615791</v>
      </c>
    </row>
    <row r="2143" spans="1:18" x14ac:dyDescent="0.3">
      <c r="A2143" s="11" t="s">
        <v>2023</v>
      </c>
      <c r="B2143" s="7">
        <v>38640</v>
      </c>
      <c r="C2143" s="7">
        <v>18.036999999999999</v>
      </c>
      <c r="D2143" s="2">
        <f t="shared" si="550"/>
        <v>3.0999999999998806E-2</v>
      </c>
      <c r="E2143" s="8">
        <f t="shared" si="548"/>
        <v>17.855183252734719</v>
      </c>
      <c r="F2143" s="6">
        <f t="shared" si="549"/>
        <v>4.6296296296296294E-2</v>
      </c>
      <c r="G2143" s="12">
        <f t="shared" si="552"/>
        <v>0.1818167472652803</v>
      </c>
    </row>
    <row r="2144" spans="1:18" x14ac:dyDescent="0.3">
      <c r="A2144" s="11" t="s">
        <v>2024</v>
      </c>
      <c r="B2144" s="7">
        <v>38660</v>
      </c>
      <c r="C2144" s="7">
        <v>18.064</v>
      </c>
      <c r="D2144" s="2">
        <f t="shared" si="550"/>
        <v>2.7000000000001023E-2</v>
      </c>
      <c r="E2144" s="8">
        <f t="shared" si="548"/>
        <v>17.901479549031016</v>
      </c>
      <c r="F2144" s="6">
        <f t="shared" si="549"/>
        <v>4.6296296296296294E-2</v>
      </c>
      <c r="G2144" s="12">
        <f t="shared" si="552"/>
        <v>0.16252045096898371</v>
      </c>
    </row>
    <row r="2145" spans="1:18" x14ac:dyDescent="0.3">
      <c r="A2145" s="11" t="s">
        <v>3248</v>
      </c>
      <c r="B2145" s="62" t="s">
        <v>3247</v>
      </c>
      <c r="C2145" s="25"/>
      <c r="D2145" s="25"/>
      <c r="E2145" s="25"/>
      <c r="F2145" s="25"/>
      <c r="G2145" s="26"/>
    </row>
    <row r="2146" spans="1:18" x14ac:dyDescent="0.3">
      <c r="A2146" s="11" t="s">
        <v>2025</v>
      </c>
      <c r="B2146" s="7">
        <v>38680</v>
      </c>
      <c r="C2146" s="7">
        <v>18.085000000000001</v>
      </c>
      <c r="D2146" s="2">
        <f>C2146-C2144</f>
        <v>2.1000000000000796E-2</v>
      </c>
      <c r="E2146" s="8">
        <f>E2144+F2144</f>
        <v>17.947775845327314</v>
      </c>
      <c r="F2146" s="6">
        <f>F2144</f>
        <v>4.6296296296296294E-2</v>
      </c>
      <c r="G2146" s="12">
        <f t="shared" si="552"/>
        <v>0.13722415467268689</v>
      </c>
    </row>
    <row r="2147" spans="1:18" x14ac:dyDescent="0.3">
      <c r="A2147" s="11" t="s">
        <v>2026</v>
      </c>
      <c r="B2147" s="7">
        <v>38700</v>
      </c>
      <c r="C2147" s="7">
        <v>18.050999999999998</v>
      </c>
      <c r="D2147" s="2">
        <f t="shared" si="550"/>
        <v>-3.4000000000002473E-2</v>
      </c>
      <c r="E2147" s="8">
        <f t="shared" ref="E2147:E2159" si="553">E2146+F2146</f>
        <v>17.994072141623612</v>
      </c>
      <c r="F2147" s="6">
        <f t="shared" si="543"/>
        <v>4.6296296296296294E-2</v>
      </c>
      <c r="G2147" s="12">
        <f t="shared" si="552"/>
        <v>5.6927858376386808E-2</v>
      </c>
    </row>
    <row r="2148" spans="1:18" x14ac:dyDescent="0.3">
      <c r="A2148" s="11" t="s">
        <v>2027</v>
      </c>
      <c r="B2148" s="7">
        <v>38720</v>
      </c>
      <c r="C2148" s="7">
        <v>18.064</v>
      </c>
      <c r="D2148" s="2">
        <f t="shared" si="550"/>
        <v>1.3000000000001677E-2</v>
      </c>
      <c r="E2148" s="8">
        <f t="shared" si="553"/>
        <v>18.040368437919909</v>
      </c>
      <c r="F2148" s="6">
        <f t="shared" si="543"/>
        <v>4.6296296296296294E-2</v>
      </c>
      <c r="G2148" s="12">
        <f t="shared" si="552"/>
        <v>2.3631562080090873E-2</v>
      </c>
    </row>
    <row r="2149" spans="1:18" x14ac:dyDescent="0.3">
      <c r="A2149" s="11" t="s">
        <v>2028</v>
      </c>
      <c r="B2149" s="7">
        <v>38740</v>
      </c>
      <c r="C2149" s="7">
        <v>18.087</v>
      </c>
      <c r="D2149" s="2">
        <f>C2149-C2148</f>
        <v>2.2999999999999687E-2</v>
      </c>
      <c r="E2149" s="8">
        <f>E2148+F2148</f>
        <v>18.086664734216207</v>
      </c>
      <c r="F2149" s="6">
        <f>F2148</f>
        <v>4.6296296296296294E-2</v>
      </c>
      <c r="G2149" s="12">
        <f t="shared" si="552"/>
        <v>3.3526578379294847E-4</v>
      </c>
    </row>
    <row r="2150" spans="1:18" x14ac:dyDescent="0.3">
      <c r="A2150" s="11"/>
      <c r="B2150" s="7"/>
      <c r="C2150" s="7"/>
      <c r="D2150" s="2"/>
      <c r="E2150" s="8"/>
      <c r="F2150" s="6"/>
      <c r="G2150" s="12"/>
      <c r="H2150" s="4" t="s">
        <v>3246</v>
      </c>
      <c r="J2150" s="4"/>
      <c r="O2150" s="3">
        <f>1/O2151</f>
        <v>1.3986013986013986E-3</v>
      </c>
      <c r="P2150" s="3">
        <f>O2150*20</f>
        <v>2.7972027972027972E-2</v>
      </c>
      <c r="Q2150" s="3" t="s">
        <v>3202</v>
      </c>
      <c r="R2150" s="3">
        <v>714</v>
      </c>
    </row>
    <row r="2151" spans="1:18" x14ac:dyDescent="0.3">
      <c r="A2151" s="11" t="s">
        <v>2029</v>
      </c>
      <c r="B2151" s="7">
        <v>38760</v>
      </c>
      <c r="C2151" s="7">
        <v>18.055</v>
      </c>
      <c r="D2151" s="2">
        <f>C2151-C2149</f>
        <v>-3.2000000000000028E-2</v>
      </c>
      <c r="E2151" s="8">
        <f>E2149+F2151</f>
        <v>18.114636762188233</v>
      </c>
      <c r="F2151" s="6">
        <f>P2150</f>
        <v>2.7972027972027972E-2</v>
      </c>
      <c r="G2151" s="12">
        <f t="shared" si="552"/>
        <v>-5.9636762188233661E-2</v>
      </c>
      <c r="H2151" s="3">
        <f>B2149</f>
        <v>38740</v>
      </c>
      <c r="I2151" s="3">
        <f>B2169</f>
        <v>39040</v>
      </c>
      <c r="J2151" s="3">
        <f>I2151-H2151</f>
        <v>300</v>
      </c>
      <c r="K2151" s="5">
        <f>E2149</f>
        <v>18.086664734216207</v>
      </c>
      <c r="L2151" s="3">
        <f>C2169</f>
        <v>18.507000000000001</v>
      </c>
      <c r="M2151" s="5">
        <f>L2151-K2151</f>
        <v>0.42033526578379465</v>
      </c>
      <c r="N2151" s="3">
        <f>J2151/M2151</f>
        <v>713.71598916544212</v>
      </c>
      <c r="O2151" s="3">
        <v>715</v>
      </c>
    </row>
    <row r="2152" spans="1:18" x14ac:dyDescent="0.3">
      <c r="A2152" s="11" t="s">
        <v>2030</v>
      </c>
      <c r="B2152" s="7">
        <v>38780</v>
      </c>
      <c r="C2152" s="7">
        <v>18.042000000000002</v>
      </c>
      <c r="D2152" s="2">
        <f t="shared" si="550"/>
        <v>-1.2999999999998124E-2</v>
      </c>
      <c r="E2152" s="8">
        <f t="shared" si="553"/>
        <v>18.14260879016026</v>
      </c>
      <c r="F2152" s="6">
        <f t="shared" si="543"/>
        <v>2.7972027972027972E-2</v>
      </c>
      <c r="G2152" s="12">
        <f t="shared" si="552"/>
        <v>-0.10060879016025837</v>
      </c>
    </row>
    <row r="2153" spans="1:18" x14ac:dyDescent="0.3">
      <c r="A2153" s="11" t="s">
        <v>2031</v>
      </c>
      <c r="B2153" s="7">
        <v>38800</v>
      </c>
      <c r="C2153" s="7">
        <v>18.018000000000001</v>
      </c>
      <c r="D2153" s="2">
        <f t="shared" si="550"/>
        <v>-2.4000000000000909E-2</v>
      </c>
      <c r="E2153" s="8">
        <f t="shared" si="553"/>
        <v>18.170580818132287</v>
      </c>
      <c r="F2153" s="6">
        <f t="shared" si="543"/>
        <v>2.7972027972027972E-2</v>
      </c>
      <c r="G2153" s="12">
        <f t="shared" si="552"/>
        <v>-0.15258081813228586</v>
      </c>
    </row>
    <row r="2154" spans="1:18" x14ac:dyDescent="0.3">
      <c r="A2154" s="11" t="s">
        <v>2032</v>
      </c>
      <c r="B2154" s="7">
        <v>38820</v>
      </c>
      <c r="C2154" s="7">
        <v>17.984000000000002</v>
      </c>
      <c r="D2154" s="2">
        <f t="shared" si="550"/>
        <v>-3.399999999999892E-2</v>
      </c>
      <c r="E2154" s="8">
        <f t="shared" si="553"/>
        <v>18.198552846104313</v>
      </c>
      <c r="F2154" s="6">
        <f t="shared" si="543"/>
        <v>2.7972027972027972E-2</v>
      </c>
      <c r="G2154" s="12">
        <f t="shared" si="552"/>
        <v>-0.21455284610431136</v>
      </c>
    </row>
    <row r="2155" spans="1:18" x14ac:dyDescent="0.3">
      <c r="A2155" s="11" t="s">
        <v>2033</v>
      </c>
      <c r="B2155" s="7">
        <v>38840</v>
      </c>
      <c r="C2155" s="7">
        <v>17.957000000000001</v>
      </c>
      <c r="D2155" s="2">
        <f t="shared" si="550"/>
        <v>-2.7000000000001023E-2</v>
      </c>
      <c r="E2155" s="8">
        <f t="shared" si="553"/>
        <v>18.22652487407634</v>
      </c>
      <c r="F2155" s="6">
        <f t="shared" si="543"/>
        <v>2.7972027972027972E-2</v>
      </c>
      <c r="G2155" s="12">
        <f t="shared" si="552"/>
        <v>-0.26952487407633896</v>
      </c>
    </row>
    <row r="2156" spans="1:18" x14ac:dyDescent="0.3">
      <c r="A2156" s="11" t="s">
        <v>2034</v>
      </c>
      <c r="B2156" s="7">
        <v>38860</v>
      </c>
      <c r="C2156" s="7">
        <v>17.998999999999999</v>
      </c>
      <c r="D2156" s="2">
        <f t="shared" si="550"/>
        <v>4.1999999999998039E-2</v>
      </c>
      <c r="E2156" s="8">
        <f t="shared" si="553"/>
        <v>18.254496902048366</v>
      </c>
      <c r="F2156" s="6">
        <f t="shared" si="543"/>
        <v>2.7972027972027972E-2</v>
      </c>
      <c r="G2156" s="12">
        <f t="shared" si="552"/>
        <v>-0.2554969020483675</v>
      </c>
    </row>
    <row r="2157" spans="1:18" x14ac:dyDescent="0.3">
      <c r="A2157" s="11" t="s">
        <v>2035</v>
      </c>
      <c r="B2157" s="7">
        <v>38880</v>
      </c>
      <c r="C2157" s="7">
        <v>18.062000000000001</v>
      </c>
      <c r="D2157" s="2">
        <f t="shared" si="550"/>
        <v>6.3000000000002387E-2</v>
      </c>
      <c r="E2157" s="8">
        <f t="shared" si="553"/>
        <v>18.282468930020393</v>
      </c>
      <c r="F2157" s="6">
        <f t="shared" si="543"/>
        <v>2.7972027972027972E-2</v>
      </c>
      <c r="G2157" s="12">
        <f t="shared" si="552"/>
        <v>-0.2204689300203917</v>
      </c>
    </row>
    <row r="2158" spans="1:18" x14ac:dyDescent="0.3">
      <c r="A2158" s="11" t="s">
        <v>2036</v>
      </c>
      <c r="B2158" s="7">
        <v>38900</v>
      </c>
      <c r="C2158" s="7">
        <v>18.100999999999999</v>
      </c>
      <c r="D2158" s="2">
        <f t="shared" si="550"/>
        <v>3.8999999999997925E-2</v>
      </c>
      <c r="E2158" s="8">
        <f t="shared" si="553"/>
        <v>18.310440957992419</v>
      </c>
      <c r="F2158" s="6">
        <f t="shared" si="543"/>
        <v>2.7972027972027972E-2</v>
      </c>
      <c r="G2158" s="12">
        <f t="shared" ref="G2158:G2179" si="554">C2158-E2158</f>
        <v>-0.20944095799242035</v>
      </c>
    </row>
    <row r="2159" spans="1:18" x14ac:dyDescent="0.3">
      <c r="A2159" s="11" t="s">
        <v>2037</v>
      </c>
      <c r="B2159" s="7">
        <v>38920</v>
      </c>
      <c r="C2159" s="7">
        <v>18.152000000000001</v>
      </c>
      <c r="D2159" s="2">
        <f>C2159-C2158</f>
        <v>5.1000000000001933E-2</v>
      </c>
      <c r="E2159" s="8">
        <f t="shared" si="553"/>
        <v>18.338412985964446</v>
      </c>
      <c r="F2159" s="6">
        <f>F2158</f>
        <v>2.7972027972027972E-2</v>
      </c>
      <c r="G2159" s="12">
        <f>C2159-E2159</f>
        <v>-0.186412985964445</v>
      </c>
      <c r="K2159" s="5"/>
      <c r="M2159" s="5"/>
    </row>
    <row r="2160" spans="1:18" x14ac:dyDescent="0.3">
      <c r="A2160" s="11" t="s">
        <v>3243</v>
      </c>
      <c r="B2160" s="62" t="s">
        <v>3226</v>
      </c>
      <c r="C2160" s="63"/>
      <c r="D2160" s="63"/>
      <c r="E2160" s="63"/>
      <c r="F2160" s="63"/>
      <c r="G2160" s="64"/>
      <c r="K2160" s="5"/>
      <c r="M2160" s="5"/>
    </row>
    <row r="2161" spans="1:18" x14ac:dyDescent="0.3">
      <c r="A2161" s="11" t="s">
        <v>2038</v>
      </c>
      <c r="B2161" s="7">
        <v>38940</v>
      </c>
      <c r="C2161" s="7">
        <v>18.173999999999999</v>
      </c>
      <c r="D2161" s="2">
        <f>C2161-C2159</f>
        <v>2.1999999999998465E-2</v>
      </c>
      <c r="E2161" s="8">
        <f>E2159+F2159</f>
        <v>18.366385013936473</v>
      </c>
      <c r="F2161" s="6">
        <f t="shared" ref="F2161" si="555">F2159</f>
        <v>2.7972027972027972E-2</v>
      </c>
      <c r="G2161" s="12">
        <f t="shared" ref="G2161" si="556">C2161-E2161</f>
        <v>-0.19238501393647311</v>
      </c>
    </row>
    <row r="2162" spans="1:18" x14ac:dyDescent="0.3">
      <c r="A2162" s="13" t="s">
        <v>2039</v>
      </c>
      <c r="B2162" s="24"/>
      <c r="C2162" s="25"/>
      <c r="D2162" s="25"/>
      <c r="E2162" s="25"/>
      <c r="F2162" s="25"/>
      <c r="G2162" s="26"/>
    </row>
    <row r="2163" spans="1:18" x14ac:dyDescent="0.3">
      <c r="A2163" s="11" t="s">
        <v>2040</v>
      </c>
      <c r="B2163" s="7">
        <v>38960</v>
      </c>
      <c r="C2163" s="7">
        <v>18.196999999999999</v>
      </c>
      <c r="D2163" s="2">
        <f>C2163-C2161</f>
        <v>2.2999999999999687E-2</v>
      </c>
      <c r="E2163" s="8">
        <f>E2161+F2161</f>
        <v>18.394357041908499</v>
      </c>
      <c r="F2163" s="6">
        <f>F2161</f>
        <v>2.7972027972027972E-2</v>
      </c>
      <c r="G2163" s="12">
        <f t="shared" si="554"/>
        <v>-0.19735704190850001</v>
      </c>
    </row>
    <row r="2164" spans="1:18" x14ac:dyDescent="0.3">
      <c r="A2164" s="11" t="s">
        <v>2041</v>
      </c>
      <c r="B2164" s="7">
        <v>38980</v>
      </c>
      <c r="C2164" s="7">
        <v>18.239999999999998</v>
      </c>
      <c r="D2164" s="2">
        <f t="shared" si="550"/>
        <v>4.2999999999999261E-2</v>
      </c>
      <c r="E2164" s="8">
        <f t="shared" ref="E2164:E2182" si="557">E2163+F2163</f>
        <v>18.422329069880526</v>
      </c>
      <c r="F2164" s="6">
        <f t="shared" si="543"/>
        <v>2.7972027972027972E-2</v>
      </c>
      <c r="G2164" s="12">
        <f t="shared" si="554"/>
        <v>-0.18232906988052733</v>
      </c>
    </row>
    <row r="2165" spans="1:18" x14ac:dyDescent="0.3">
      <c r="A2165" s="11" t="s">
        <v>3242</v>
      </c>
      <c r="B2165" s="62" t="s">
        <v>3241</v>
      </c>
      <c r="C2165" s="63"/>
      <c r="D2165" s="63"/>
      <c r="E2165" s="63"/>
      <c r="F2165" s="63"/>
      <c r="G2165" s="64"/>
    </row>
    <row r="2166" spans="1:18" x14ac:dyDescent="0.3">
      <c r="A2166" s="11" t="s">
        <v>2042</v>
      </c>
      <c r="B2166" s="7">
        <v>39000</v>
      </c>
      <c r="C2166" s="7">
        <v>18.327000000000002</v>
      </c>
      <c r="D2166" s="2">
        <f>C2166-C2164</f>
        <v>8.7000000000003297E-2</v>
      </c>
      <c r="E2166" s="8">
        <f>E2164+F2164</f>
        <v>18.450301097852552</v>
      </c>
      <c r="F2166" s="6">
        <f>F2164</f>
        <v>2.7972027972027972E-2</v>
      </c>
      <c r="G2166" s="12">
        <f t="shared" si="554"/>
        <v>-0.12330109785255061</v>
      </c>
    </row>
    <row r="2167" spans="1:18" x14ac:dyDescent="0.3">
      <c r="A2167" s="11" t="s">
        <v>2043</v>
      </c>
      <c r="B2167" s="7">
        <v>39020</v>
      </c>
      <c r="C2167" s="7">
        <v>18.434999999999999</v>
      </c>
      <c r="D2167" s="2">
        <f t="shared" si="550"/>
        <v>0.10799999999999699</v>
      </c>
      <c r="E2167" s="8">
        <f t="shared" si="557"/>
        <v>18.478273125824579</v>
      </c>
      <c r="F2167" s="6">
        <f t="shared" si="543"/>
        <v>2.7972027972027972E-2</v>
      </c>
      <c r="G2167" s="12">
        <f t="shared" si="554"/>
        <v>-4.3273125824580205E-2</v>
      </c>
    </row>
    <row r="2168" spans="1:18" x14ac:dyDescent="0.3">
      <c r="A2168" s="11" t="s">
        <v>3240</v>
      </c>
      <c r="B2168" s="63" t="s">
        <v>3194</v>
      </c>
      <c r="C2168" s="25"/>
      <c r="D2168" s="25"/>
      <c r="E2168" s="25"/>
      <c r="F2168" s="25"/>
      <c r="G2168" s="26"/>
    </row>
    <row r="2169" spans="1:18" x14ac:dyDescent="0.3">
      <c r="A2169" s="11" t="s">
        <v>2044</v>
      </c>
      <c r="B2169" s="7">
        <v>39040</v>
      </c>
      <c r="C2169" s="7">
        <v>18.507000000000001</v>
      </c>
      <c r="D2169" s="2">
        <f>C2169-C2167</f>
        <v>7.2000000000002728E-2</v>
      </c>
      <c r="E2169" s="8">
        <f>E2167+F2167</f>
        <v>18.506245153796606</v>
      </c>
      <c r="F2169" s="6">
        <f>F2167</f>
        <v>2.7972027972027972E-2</v>
      </c>
      <c r="G2169" s="12">
        <f t="shared" si="554"/>
        <v>7.5484620339594244E-4</v>
      </c>
    </row>
    <row r="2170" spans="1:18" x14ac:dyDescent="0.3">
      <c r="A2170" s="11"/>
      <c r="B2170" s="7"/>
      <c r="C2170" s="7"/>
      <c r="D2170" s="2"/>
      <c r="E2170" s="8"/>
      <c r="F2170" s="6"/>
      <c r="G2170" s="12"/>
      <c r="H2170" s="4" t="s">
        <v>31</v>
      </c>
      <c r="J2170" s="4"/>
      <c r="O2170" s="3">
        <f>1/O2171</f>
        <v>8.130081300813009E-3</v>
      </c>
      <c r="P2170" s="3">
        <f>O2170*20</f>
        <v>0.16260162601626019</v>
      </c>
      <c r="Q2170" s="3" t="s">
        <v>3202</v>
      </c>
      <c r="R2170" s="3">
        <v>123</v>
      </c>
    </row>
    <row r="2171" spans="1:18" x14ac:dyDescent="0.3">
      <c r="A2171" s="11" t="s">
        <v>2045</v>
      </c>
      <c r="B2171" s="7">
        <v>39060</v>
      </c>
      <c r="C2171" s="7">
        <v>18.584</v>
      </c>
      <c r="D2171" s="2">
        <f>C2171-C2169</f>
        <v>7.6999999999998181E-2</v>
      </c>
      <c r="E2171" s="8">
        <f>E2169+F2171</f>
        <v>18.668846779812867</v>
      </c>
      <c r="F2171" s="6">
        <f>P2170</f>
        <v>0.16260162601626019</v>
      </c>
      <c r="G2171" s="12">
        <f>C2171-E2171</f>
        <v>-8.4846779812867368E-2</v>
      </c>
      <c r="H2171" s="3">
        <f>B2169</f>
        <v>39040</v>
      </c>
      <c r="I2171" s="3">
        <f>B2182</f>
        <v>39240</v>
      </c>
      <c r="J2171" s="3">
        <f>I2171-H2171</f>
        <v>200</v>
      </c>
      <c r="K2171" s="5">
        <f>E2169</f>
        <v>18.506245153796606</v>
      </c>
      <c r="L2171" s="3">
        <f>C2182</f>
        <v>20.137</v>
      </c>
      <c r="M2171" s="5">
        <f>L2171-K2171</f>
        <v>1.6307548462033949</v>
      </c>
      <c r="N2171" s="3">
        <f>J2171/M2171</f>
        <v>122.64259123045103</v>
      </c>
      <c r="O2171" s="3">
        <v>123</v>
      </c>
    </row>
    <row r="2172" spans="1:18" x14ac:dyDescent="0.3">
      <c r="A2172" s="11" t="s">
        <v>2046</v>
      </c>
      <c r="B2172" s="7">
        <v>39080</v>
      </c>
      <c r="C2172" s="7">
        <v>18.71</v>
      </c>
      <c r="D2172" s="2">
        <f t="shared" si="550"/>
        <v>0.12600000000000122</v>
      </c>
      <c r="E2172" s="8">
        <f>E2171+F2171</f>
        <v>18.831448405829128</v>
      </c>
      <c r="F2172" s="6">
        <f t="shared" ref="F2172:F2174" si="558">F2171</f>
        <v>0.16260162601626019</v>
      </c>
      <c r="G2172" s="12">
        <f t="shared" ref="G2172" si="559">C2172-E2172</f>
        <v>-0.12144840582912764</v>
      </c>
    </row>
    <row r="2173" spans="1:18" x14ac:dyDescent="0.3">
      <c r="A2173" s="11" t="s">
        <v>2047</v>
      </c>
      <c r="B2173" s="7">
        <v>39100</v>
      </c>
      <c r="C2173" s="7">
        <v>18.852</v>
      </c>
      <c r="D2173" s="2">
        <f>C2173-C2172</f>
        <v>0.14199999999999946</v>
      </c>
      <c r="E2173" s="8">
        <f t="shared" ref="E2173:E2174" si="560">E2172+F2172</f>
        <v>18.99405003184539</v>
      </c>
      <c r="F2173" s="6">
        <f t="shared" si="558"/>
        <v>0.16260162601626019</v>
      </c>
      <c r="G2173" s="12">
        <f t="shared" si="554"/>
        <v>-0.14205003184538967</v>
      </c>
    </row>
    <row r="2174" spans="1:18" x14ac:dyDescent="0.3">
      <c r="A2174" s="11" t="s">
        <v>2048</v>
      </c>
      <c r="B2174" s="7">
        <v>39120</v>
      </c>
      <c r="C2174" s="7">
        <v>19.047999999999998</v>
      </c>
      <c r="D2174" s="2">
        <f t="shared" si="550"/>
        <v>0.19599999999999795</v>
      </c>
      <c r="E2174" s="8">
        <f t="shared" si="560"/>
        <v>19.156651657861651</v>
      </c>
      <c r="F2174" s="6">
        <f t="shared" si="558"/>
        <v>0.16260162601626019</v>
      </c>
      <c r="G2174" s="12">
        <f t="shared" si="554"/>
        <v>-0.10865165786165321</v>
      </c>
    </row>
    <row r="2175" spans="1:18" x14ac:dyDescent="0.3">
      <c r="A2175" s="11" t="s">
        <v>3297</v>
      </c>
      <c r="B2175" s="70" t="s">
        <v>3362</v>
      </c>
      <c r="C2175" s="7"/>
      <c r="D2175" s="2"/>
      <c r="E2175" s="8"/>
      <c r="F2175" s="6"/>
      <c r="G2175" s="12"/>
    </row>
    <row r="2176" spans="1:18" x14ac:dyDescent="0.3">
      <c r="A2176" s="11" t="s">
        <v>2049</v>
      </c>
      <c r="B2176" s="7">
        <v>39140</v>
      </c>
      <c r="C2176" s="7">
        <v>19.253</v>
      </c>
      <c r="D2176" s="2">
        <f>C2176-C2174</f>
        <v>0.20500000000000185</v>
      </c>
      <c r="E2176" s="8">
        <f>E2174+F2174</f>
        <v>19.319253283877913</v>
      </c>
      <c r="F2176" s="6">
        <f>F2174</f>
        <v>0.16260162601626019</v>
      </c>
      <c r="G2176" s="12">
        <f t="shared" si="554"/>
        <v>-6.625328387791285E-2</v>
      </c>
    </row>
    <row r="2177" spans="1:18" x14ac:dyDescent="0.3">
      <c r="A2177" s="11" t="s">
        <v>3363</v>
      </c>
      <c r="B2177" s="70" t="s">
        <v>3364</v>
      </c>
      <c r="C2177" s="7"/>
      <c r="D2177" s="2"/>
      <c r="E2177" s="8"/>
      <c r="F2177" s="6"/>
      <c r="G2177" s="12"/>
    </row>
    <row r="2178" spans="1:18" x14ac:dyDescent="0.3">
      <c r="A2178" s="11" t="s">
        <v>2050</v>
      </c>
      <c r="B2178" s="7">
        <v>39160</v>
      </c>
      <c r="C2178" s="7">
        <v>19.472000000000001</v>
      </c>
      <c r="D2178" s="2">
        <f>C2178-C2176</f>
        <v>0.21900000000000119</v>
      </c>
      <c r="E2178" s="8">
        <f>E2176+F2176</f>
        <v>19.481854909894174</v>
      </c>
      <c r="F2178" s="6">
        <f>F2176</f>
        <v>0.16260162601626019</v>
      </c>
      <c r="G2178" s="12">
        <f t="shared" si="554"/>
        <v>-9.8549098941731472E-3</v>
      </c>
    </row>
    <row r="2179" spans="1:18" x14ac:dyDescent="0.3">
      <c r="A2179" s="11" t="s">
        <v>2051</v>
      </c>
      <c r="B2179" s="7">
        <v>39180</v>
      </c>
      <c r="C2179" s="7">
        <v>19.734999999999999</v>
      </c>
      <c r="D2179" s="2">
        <f t="shared" si="550"/>
        <v>0.26299999999999812</v>
      </c>
      <c r="E2179" s="8">
        <f t="shared" si="557"/>
        <v>19.644456535910436</v>
      </c>
      <c r="F2179" s="6">
        <f t="shared" ref="F2179:F2243" si="561">F2178</f>
        <v>0.16260162601626019</v>
      </c>
      <c r="G2179" s="12">
        <f t="shared" si="554"/>
        <v>9.0543464089563486E-2</v>
      </c>
    </row>
    <row r="2180" spans="1:18" x14ac:dyDescent="0.3">
      <c r="A2180" s="11" t="s">
        <v>2052</v>
      </c>
      <c r="B2180" s="7">
        <v>39200</v>
      </c>
      <c r="C2180" s="7">
        <v>19.949000000000002</v>
      </c>
      <c r="D2180" s="2">
        <f t="shared" si="550"/>
        <v>0.21400000000000219</v>
      </c>
      <c r="E2180" s="8">
        <f t="shared" si="557"/>
        <v>19.807058161926697</v>
      </c>
      <c r="F2180" s="6">
        <f t="shared" si="561"/>
        <v>0.16260162601626019</v>
      </c>
      <c r="G2180" s="74">
        <f t="shared" ref="G2180:G2193" si="562">C2180-E2180</f>
        <v>0.14194183807330418</v>
      </c>
    </row>
    <row r="2181" spans="1:18" x14ac:dyDescent="0.3">
      <c r="A2181" s="11" t="s">
        <v>2053</v>
      </c>
      <c r="B2181" s="7">
        <v>39220</v>
      </c>
      <c r="C2181" s="7">
        <v>20.097000000000001</v>
      </c>
      <c r="D2181" s="2">
        <f t="shared" si="550"/>
        <v>0.14799999999999969</v>
      </c>
      <c r="E2181" s="8">
        <f t="shared" si="557"/>
        <v>19.969659787942959</v>
      </c>
      <c r="F2181" s="6">
        <f t="shared" si="561"/>
        <v>0.16260162601626019</v>
      </c>
      <c r="G2181" s="74">
        <f t="shared" si="562"/>
        <v>0.12734021205704238</v>
      </c>
    </row>
    <row r="2182" spans="1:18" x14ac:dyDescent="0.3">
      <c r="A2182" s="11" t="s">
        <v>2054</v>
      </c>
      <c r="B2182" s="7">
        <v>39240</v>
      </c>
      <c r="C2182" s="7">
        <v>20.137</v>
      </c>
      <c r="D2182" s="2">
        <f t="shared" si="550"/>
        <v>3.9999999999999147E-2</v>
      </c>
      <c r="E2182" s="8">
        <f t="shared" si="557"/>
        <v>20.13226141395922</v>
      </c>
      <c r="F2182" s="6">
        <f t="shared" si="561"/>
        <v>0.16260162601626019</v>
      </c>
      <c r="G2182" s="74">
        <f t="shared" si="562"/>
        <v>4.7385860407800351E-3</v>
      </c>
    </row>
    <row r="2183" spans="1:18" x14ac:dyDescent="0.3">
      <c r="A2183" s="11"/>
      <c r="B2183" s="7"/>
      <c r="C2183" s="7"/>
      <c r="D2183" s="2"/>
      <c r="E2183" s="8"/>
      <c r="F2183" s="6"/>
      <c r="G2183" s="12"/>
      <c r="H2183" s="4" t="s">
        <v>3368</v>
      </c>
      <c r="J2183" s="4"/>
      <c r="O2183" s="3">
        <f>1/O2184</f>
        <v>1.7331022530329288E-3</v>
      </c>
      <c r="P2183" s="3">
        <f>O2183*20</f>
        <v>3.4662045060658578E-2</v>
      </c>
      <c r="Q2183" s="3" t="s">
        <v>3202</v>
      </c>
      <c r="R2183" s="3">
        <v>577</v>
      </c>
    </row>
    <row r="2184" spans="1:18" x14ac:dyDescent="0.3">
      <c r="A2184" s="11" t="s">
        <v>2055</v>
      </c>
      <c r="B2184" s="7">
        <v>39260</v>
      </c>
      <c r="C2184" s="7">
        <v>20.084</v>
      </c>
      <c r="D2184" s="2">
        <f>C2184-C2182</f>
        <v>-5.3000000000000824E-2</v>
      </c>
      <c r="E2184" s="8">
        <f>E2182-F2184</f>
        <v>20.09759936889856</v>
      </c>
      <c r="F2184" s="6">
        <f>P2183</f>
        <v>3.4662045060658578E-2</v>
      </c>
      <c r="G2184" s="12">
        <f>C2184-E2184</f>
        <v>-1.3599368898560726E-2</v>
      </c>
      <c r="H2184" s="3">
        <f>B2182</f>
        <v>39240</v>
      </c>
      <c r="I2184" s="3">
        <f>B2193</f>
        <v>39400</v>
      </c>
      <c r="J2184" s="3">
        <f>I2184-H2184</f>
        <v>160</v>
      </c>
      <c r="K2184" s="5">
        <f>E2182</f>
        <v>20.13226141395922</v>
      </c>
      <c r="L2184" s="3">
        <f>C2193</f>
        <v>19.855</v>
      </c>
      <c r="M2184" s="5">
        <f>L2184-K2184</f>
        <v>-0.27726141395921999</v>
      </c>
      <c r="N2184" s="3">
        <f>J2184/M2184</f>
        <v>-577.07272611519261</v>
      </c>
      <c r="O2184" s="3">
        <v>577</v>
      </c>
    </row>
    <row r="2185" spans="1:18" x14ac:dyDescent="0.3">
      <c r="A2185" s="11" t="s">
        <v>2056</v>
      </c>
      <c r="B2185" s="7">
        <v>39280</v>
      </c>
      <c r="C2185" s="7">
        <v>20.004000000000001</v>
      </c>
      <c r="D2185" s="2">
        <f t="shared" si="550"/>
        <v>-7.9999999999998295E-2</v>
      </c>
      <c r="E2185" s="8">
        <f>E2184-F2184</f>
        <v>20.0629373238379</v>
      </c>
      <c r="F2185" s="6">
        <f t="shared" ref="F2185" si="563">F2184</f>
        <v>3.4662045060658578E-2</v>
      </c>
      <c r="G2185" s="12">
        <f t="shared" ref="G2185" si="564">C2185-E2185</f>
        <v>-5.8937323837898958E-2</v>
      </c>
    </row>
    <row r="2186" spans="1:18" x14ac:dyDescent="0.3">
      <c r="A2186" s="11" t="s">
        <v>2057</v>
      </c>
      <c r="B2186" s="7">
        <v>39300</v>
      </c>
      <c r="C2186" s="7">
        <v>19.925999999999998</v>
      </c>
      <c r="D2186" s="2">
        <f t="shared" si="550"/>
        <v>-7.8000000000002956E-2</v>
      </c>
      <c r="E2186" s="8">
        <f t="shared" ref="E2186:E2188" si="565">E2185-F2185</f>
        <v>20.02827527877724</v>
      </c>
      <c r="F2186" s="6">
        <f t="shared" si="561"/>
        <v>3.4662045060658578E-2</v>
      </c>
      <c r="G2186" s="12">
        <f t="shared" si="562"/>
        <v>-0.10227527877724185</v>
      </c>
    </row>
    <row r="2187" spans="1:18" x14ac:dyDescent="0.3">
      <c r="A2187" s="11" t="s">
        <v>2058</v>
      </c>
      <c r="B2187" s="7">
        <v>39320</v>
      </c>
      <c r="C2187" s="7">
        <v>19.846</v>
      </c>
      <c r="D2187" s="2">
        <f t="shared" si="550"/>
        <v>-7.9999999999998295E-2</v>
      </c>
      <c r="E2187" s="8">
        <f t="shared" si="565"/>
        <v>19.99361323371658</v>
      </c>
      <c r="F2187" s="6">
        <f t="shared" si="561"/>
        <v>3.4662045060658578E-2</v>
      </c>
      <c r="G2187" s="12">
        <f t="shared" si="562"/>
        <v>-0.14761323371658008</v>
      </c>
    </row>
    <row r="2188" spans="1:18" x14ac:dyDescent="0.3">
      <c r="A2188" s="11" t="s">
        <v>2059</v>
      </c>
      <c r="B2188" s="7">
        <v>39340</v>
      </c>
      <c r="C2188" s="7">
        <v>19.815000000000001</v>
      </c>
      <c r="D2188" s="2">
        <f t="shared" si="550"/>
        <v>-3.0999999999998806E-2</v>
      </c>
      <c r="E2188" s="8">
        <f t="shared" si="565"/>
        <v>19.95895118865592</v>
      </c>
      <c r="F2188" s="6">
        <f t="shared" si="561"/>
        <v>3.4662045060658578E-2</v>
      </c>
      <c r="G2188" s="12">
        <f t="shared" si="562"/>
        <v>-0.14395118865591883</v>
      </c>
    </row>
    <row r="2189" spans="1:18" x14ac:dyDescent="0.3">
      <c r="A2189" s="11" t="s">
        <v>3365</v>
      </c>
      <c r="B2189" s="70" t="s">
        <v>3366</v>
      </c>
      <c r="C2189" s="7"/>
      <c r="D2189" s="2"/>
      <c r="E2189" s="8"/>
      <c r="F2189" s="6"/>
      <c r="G2189" s="12"/>
    </row>
    <row r="2190" spans="1:18" x14ac:dyDescent="0.3">
      <c r="A2190" s="11" t="s">
        <v>3298</v>
      </c>
      <c r="B2190" s="70" t="s">
        <v>3367</v>
      </c>
      <c r="C2190" s="7"/>
      <c r="D2190" s="2"/>
      <c r="E2190" s="8"/>
      <c r="F2190" s="6"/>
      <c r="G2190" s="12"/>
    </row>
    <row r="2191" spans="1:18" x14ac:dyDescent="0.3">
      <c r="A2191" s="11" t="s">
        <v>2060</v>
      </c>
      <c r="B2191" s="7">
        <v>39360</v>
      </c>
      <c r="C2191" s="7">
        <v>19.808</v>
      </c>
      <c r="D2191" s="2">
        <f>C2191-C2188</f>
        <v>-7.0000000000014495E-3</v>
      </c>
      <c r="E2191" s="8">
        <f>E2188-F2188</f>
        <v>19.92428914359526</v>
      </c>
      <c r="F2191" s="6">
        <f>F2188</f>
        <v>3.4662045060658578E-2</v>
      </c>
      <c r="G2191" s="12">
        <f t="shared" si="562"/>
        <v>-0.11628914359526021</v>
      </c>
    </row>
    <row r="2192" spans="1:18" x14ac:dyDescent="0.3">
      <c r="A2192" s="11" t="s">
        <v>2061</v>
      </c>
      <c r="B2192" s="7">
        <v>39380</v>
      </c>
      <c r="C2192" s="7">
        <v>19.829999999999998</v>
      </c>
      <c r="D2192" s="2">
        <f>C2192-C2191</f>
        <v>2.1999999999998465E-2</v>
      </c>
      <c r="E2192" s="8">
        <f>E2191-F2191</f>
        <v>19.8896270985346</v>
      </c>
      <c r="F2192" s="6">
        <f>F2191</f>
        <v>3.4662045060658578E-2</v>
      </c>
      <c r="G2192" s="12">
        <f t="shared" si="562"/>
        <v>-5.9627098534601686E-2</v>
      </c>
    </row>
    <row r="2193" spans="1:18" x14ac:dyDescent="0.3">
      <c r="A2193" s="11" t="s">
        <v>2062</v>
      </c>
      <c r="B2193" s="7">
        <v>39400</v>
      </c>
      <c r="C2193" s="7">
        <v>19.855</v>
      </c>
      <c r="D2193" s="2">
        <f t="shared" si="550"/>
        <v>2.5000000000002132E-2</v>
      </c>
      <c r="E2193" s="8">
        <f>E2192-F2192</f>
        <v>19.85496505347394</v>
      </c>
      <c r="F2193" s="6">
        <f t="shared" si="561"/>
        <v>3.4662045060658578E-2</v>
      </c>
      <c r="G2193" s="12">
        <f t="shared" si="562"/>
        <v>3.4946526060508631E-5</v>
      </c>
    </row>
    <row r="2194" spans="1:18" x14ac:dyDescent="0.3">
      <c r="A2194" s="21"/>
      <c r="B2194" s="22"/>
      <c r="C2194" s="22"/>
      <c r="D2194" s="22"/>
      <c r="E2194" s="22"/>
      <c r="F2194" s="22"/>
      <c r="G2194" s="23"/>
      <c r="H2194" s="4" t="s">
        <v>3495</v>
      </c>
      <c r="J2194" s="4"/>
      <c r="O2194" s="3">
        <f>1/O2195</f>
        <v>4.8402710551790902E-4</v>
      </c>
      <c r="P2194" s="3">
        <f>O2194*20</f>
        <v>9.6805421103581812E-3</v>
      </c>
      <c r="Q2194" s="3" t="s">
        <v>3200</v>
      </c>
      <c r="R2194" s="3">
        <v>2066</v>
      </c>
    </row>
    <row r="2195" spans="1:18" x14ac:dyDescent="0.3">
      <c r="A2195" s="11" t="s">
        <v>2063</v>
      </c>
      <c r="B2195" s="7">
        <v>39420</v>
      </c>
      <c r="C2195" s="7">
        <v>19.858000000000001</v>
      </c>
      <c r="D2195" s="2">
        <f>C2195-C2193</f>
        <v>3.0000000000001137E-3</v>
      </c>
      <c r="E2195" s="8">
        <f>E2193-F2195</f>
        <v>19.84528451136358</v>
      </c>
      <c r="F2195" s="6">
        <f>P2194</f>
        <v>9.6805421103581812E-3</v>
      </c>
      <c r="G2195" s="12">
        <f>C2195-E2195</f>
        <v>1.2715488636420247E-2</v>
      </c>
      <c r="H2195" s="3">
        <f>B2193</f>
        <v>39400</v>
      </c>
      <c r="I2195" s="3">
        <f>B2219</f>
        <v>39900</v>
      </c>
      <c r="J2195" s="3">
        <f>I2195-H2195</f>
        <v>500</v>
      </c>
      <c r="K2195" s="5">
        <f>E2193</f>
        <v>19.85496505347394</v>
      </c>
      <c r="L2195" s="3">
        <f>C2219</f>
        <v>19.613</v>
      </c>
      <c r="M2195" s="5">
        <f>L2195-K2195</f>
        <v>-0.24196505347394037</v>
      </c>
      <c r="N2195" s="3">
        <f>J2195/M2195</f>
        <v>-2066.4141074151025</v>
      </c>
      <c r="O2195" s="3">
        <v>2066</v>
      </c>
    </row>
    <row r="2196" spans="1:18" x14ac:dyDescent="0.3">
      <c r="A2196" s="11" t="s">
        <v>2064</v>
      </c>
      <c r="B2196" s="7">
        <v>39440</v>
      </c>
      <c r="C2196" s="7">
        <v>19.855</v>
      </c>
      <c r="D2196" s="2">
        <f t="shared" si="550"/>
        <v>-3.0000000000001137E-3</v>
      </c>
      <c r="E2196" s="8">
        <f>E2195-F2195</f>
        <v>19.835603969253221</v>
      </c>
      <c r="F2196" s="6">
        <f t="shared" ref="F2196" si="566">F2195</f>
        <v>9.6805421103581812E-3</v>
      </c>
      <c r="G2196" s="12">
        <f t="shared" ref="G2196" si="567">C2196-E2196</f>
        <v>1.9396030746779758E-2</v>
      </c>
    </row>
    <row r="2197" spans="1:18" x14ac:dyDescent="0.3">
      <c r="A2197" s="11" t="s">
        <v>2065</v>
      </c>
      <c r="B2197" s="7">
        <v>39460</v>
      </c>
      <c r="C2197" s="7">
        <v>19.84</v>
      </c>
      <c r="D2197" s="2">
        <f t="shared" si="550"/>
        <v>-1.5000000000000568E-2</v>
      </c>
      <c r="E2197" s="8">
        <f t="shared" ref="E2197:E2209" si="568">E2196-F2196</f>
        <v>19.825923427142861</v>
      </c>
      <c r="F2197" s="6">
        <f t="shared" si="561"/>
        <v>9.6805421103581812E-3</v>
      </c>
      <c r="G2197" s="12">
        <f t="shared" ref="G2197:G2209" si="569">C2197-E2197</f>
        <v>1.4076572857138814E-2</v>
      </c>
    </row>
    <row r="2198" spans="1:18" x14ac:dyDescent="0.3">
      <c r="A2198" s="11" t="s">
        <v>2066</v>
      </c>
      <c r="B2198" s="7">
        <v>39480</v>
      </c>
      <c r="C2198" s="7">
        <v>19.84</v>
      </c>
      <c r="D2198" s="2">
        <f t="shared" si="550"/>
        <v>0</v>
      </c>
      <c r="E2198" s="8">
        <f t="shared" si="568"/>
        <v>19.816242885032501</v>
      </c>
      <c r="F2198" s="6">
        <f t="shared" si="561"/>
        <v>9.6805421103581812E-3</v>
      </c>
      <c r="G2198" s="12">
        <f t="shared" si="569"/>
        <v>2.3757114967498438E-2</v>
      </c>
    </row>
    <row r="2199" spans="1:18" x14ac:dyDescent="0.3">
      <c r="A2199" s="11" t="s">
        <v>2067</v>
      </c>
      <c r="B2199" s="7">
        <v>39500</v>
      </c>
      <c r="C2199" s="7">
        <v>19.861999999999998</v>
      </c>
      <c r="D2199" s="2">
        <f t="shared" si="550"/>
        <v>2.1999999999998465E-2</v>
      </c>
      <c r="E2199" s="8">
        <f t="shared" si="568"/>
        <v>19.806562342922142</v>
      </c>
      <c r="F2199" s="6">
        <f t="shared" si="561"/>
        <v>9.6805421103581812E-3</v>
      </c>
      <c r="G2199" s="12">
        <f t="shared" si="569"/>
        <v>5.5437657077856528E-2</v>
      </c>
    </row>
    <row r="2200" spans="1:18" x14ac:dyDescent="0.3">
      <c r="A2200" s="11" t="s">
        <v>2068</v>
      </c>
      <c r="B2200" s="7">
        <v>39520</v>
      </c>
      <c r="C2200" s="7">
        <v>19.866</v>
      </c>
      <c r="D2200" s="2">
        <f t="shared" si="550"/>
        <v>4.0000000000013358E-3</v>
      </c>
      <c r="E2200" s="8">
        <f t="shared" si="568"/>
        <v>19.796881800811782</v>
      </c>
      <c r="F2200" s="6">
        <f t="shared" si="561"/>
        <v>9.6805421103581812E-3</v>
      </c>
      <c r="G2200" s="12">
        <f t="shared" si="569"/>
        <v>6.9118199188217488E-2</v>
      </c>
    </row>
    <row r="2201" spans="1:18" x14ac:dyDescent="0.3">
      <c r="A2201" s="11" t="s">
        <v>2069</v>
      </c>
      <c r="B2201" s="7">
        <v>39540</v>
      </c>
      <c r="C2201" s="7">
        <v>19.850999999999999</v>
      </c>
      <c r="D2201" s="2">
        <f t="shared" si="550"/>
        <v>-1.5000000000000568E-2</v>
      </c>
      <c r="E2201" s="8">
        <f t="shared" si="568"/>
        <v>19.787201258701423</v>
      </c>
      <c r="F2201" s="6">
        <f t="shared" si="561"/>
        <v>9.6805421103581812E-3</v>
      </c>
      <c r="G2201" s="12">
        <f t="shared" si="569"/>
        <v>6.3798741298576545E-2</v>
      </c>
    </row>
    <row r="2202" spans="1:18" x14ac:dyDescent="0.3">
      <c r="A2202" s="11" t="s">
        <v>2070</v>
      </c>
      <c r="B2202" s="7">
        <v>39560</v>
      </c>
      <c r="C2202" s="7">
        <v>19.893000000000001</v>
      </c>
      <c r="D2202" s="2">
        <f t="shared" si="550"/>
        <v>4.2000000000001592E-2</v>
      </c>
      <c r="E2202" s="8">
        <f t="shared" si="568"/>
        <v>19.777520716591063</v>
      </c>
      <c r="F2202" s="6">
        <f t="shared" si="561"/>
        <v>9.6805421103581812E-3</v>
      </c>
      <c r="G2202" s="12">
        <f t="shared" si="569"/>
        <v>0.11547928340893776</v>
      </c>
    </row>
    <row r="2203" spans="1:18" x14ac:dyDescent="0.3">
      <c r="A2203" s="11" t="s">
        <v>2071</v>
      </c>
      <c r="B2203" s="7">
        <v>39580</v>
      </c>
      <c r="C2203" s="7">
        <v>19.878</v>
      </c>
      <c r="D2203" s="2">
        <f t="shared" si="550"/>
        <v>-1.5000000000000568E-2</v>
      </c>
      <c r="E2203" s="8">
        <f t="shared" si="568"/>
        <v>19.767840174480703</v>
      </c>
      <c r="F2203" s="6">
        <f t="shared" si="561"/>
        <v>9.6805421103581812E-3</v>
      </c>
      <c r="G2203" s="12">
        <f t="shared" si="569"/>
        <v>0.11015982551929682</v>
      </c>
    </row>
    <row r="2204" spans="1:18" x14ac:dyDescent="0.3">
      <c r="A2204" s="11" t="s">
        <v>2072</v>
      </c>
      <c r="B2204" s="7">
        <v>39600</v>
      </c>
      <c r="C2204" s="7">
        <v>19.875</v>
      </c>
      <c r="D2204" s="2">
        <f t="shared" si="550"/>
        <v>-3.0000000000001137E-3</v>
      </c>
      <c r="E2204" s="8">
        <f t="shared" si="568"/>
        <v>19.758159632370344</v>
      </c>
      <c r="F2204" s="6">
        <f t="shared" si="561"/>
        <v>9.6805421103581812E-3</v>
      </c>
      <c r="G2204" s="12">
        <f t="shared" si="569"/>
        <v>0.11684036762965633</v>
      </c>
    </row>
    <row r="2205" spans="1:18" x14ac:dyDescent="0.3">
      <c r="A2205" s="11" t="s">
        <v>2073</v>
      </c>
      <c r="B2205" s="7">
        <v>39620</v>
      </c>
      <c r="C2205" s="7">
        <v>19.895</v>
      </c>
      <c r="D2205" s="2">
        <f t="shared" si="550"/>
        <v>1.9999999999999574E-2</v>
      </c>
      <c r="E2205" s="8">
        <f t="shared" si="568"/>
        <v>19.748479090259984</v>
      </c>
      <c r="F2205" s="6">
        <f t="shared" si="561"/>
        <v>9.6805421103581812E-3</v>
      </c>
      <c r="G2205" s="12">
        <f t="shared" si="569"/>
        <v>0.14652090974001553</v>
      </c>
    </row>
    <row r="2206" spans="1:18" x14ac:dyDescent="0.3">
      <c r="A2206" s="11" t="s">
        <v>2074</v>
      </c>
      <c r="B2206" s="7">
        <v>39640</v>
      </c>
      <c r="C2206" s="7">
        <v>19.882000000000001</v>
      </c>
      <c r="D2206" s="2">
        <f t="shared" si="550"/>
        <v>-1.2999999999998124E-2</v>
      </c>
      <c r="E2206" s="8">
        <f t="shared" si="568"/>
        <v>19.738798548149624</v>
      </c>
      <c r="F2206" s="6">
        <f t="shared" si="561"/>
        <v>9.6805421103581812E-3</v>
      </c>
      <c r="G2206" s="12">
        <f t="shared" si="569"/>
        <v>0.14320145185037703</v>
      </c>
    </row>
    <row r="2207" spans="1:18" x14ac:dyDescent="0.3">
      <c r="A2207" s="11" t="s">
        <v>2075</v>
      </c>
      <c r="B2207" s="7">
        <v>39660</v>
      </c>
      <c r="C2207" s="7">
        <v>19.861000000000001</v>
      </c>
      <c r="D2207" s="2">
        <f t="shared" si="550"/>
        <v>-2.1000000000000796E-2</v>
      </c>
      <c r="E2207" s="8">
        <f t="shared" si="568"/>
        <v>19.729118006039265</v>
      </c>
      <c r="F2207" s="6">
        <f t="shared" si="561"/>
        <v>9.6805421103581812E-3</v>
      </c>
      <c r="G2207" s="12">
        <f t="shared" si="569"/>
        <v>0.13188199396073585</v>
      </c>
    </row>
    <row r="2208" spans="1:18" x14ac:dyDescent="0.3">
      <c r="A2208" s="11" t="s">
        <v>2076</v>
      </c>
      <c r="B2208" s="7">
        <v>39680</v>
      </c>
      <c r="C2208" s="7">
        <v>19.838000000000001</v>
      </c>
      <c r="D2208" s="2">
        <f t="shared" si="550"/>
        <v>-2.2999999999999687E-2</v>
      </c>
      <c r="E2208" s="8">
        <f t="shared" si="568"/>
        <v>19.719437463928905</v>
      </c>
      <c r="F2208" s="6">
        <f t="shared" si="561"/>
        <v>9.6805421103581812E-3</v>
      </c>
      <c r="G2208" s="12">
        <f t="shared" si="569"/>
        <v>0.11856253607109579</v>
      </c>
    </row>
    <row r="2209" spans="1:18" x14ac:dyDescent="0.3">
      <c r="A2209" s="11" t="s">
        <v>2077</v>
      </c>
      <c r="B2209" s="7">
        <v>39700</v>
      </c>
      <c r="C2209" s="7">
        <v>19.809999999999999</v>
      </c>
      <c r="D2209" s="2">
        <f t="shared" si="550"/>
        <v>-2.8000000000002245E-2</v>
      </c>
      <c r="E2209" s="8">
        <f t="shared" si="568"/>
        <v>19.709756921818546</v>
      </c>
      <c r="F2209" s="6">
        <f t="shared" si="561"/>
        <v>9.6805421103581812E-3</v>
      </c>
      <c r="G2209" s="12">
        <f t="shared" si="569"/>
        <v>0.10024307818145317</v>
      </c>
    </row>
    <row r="2210" spans="1:18" x14ac:dyDescent="0.3">
      <c r="A2210" s="11" t="s">
        <v>2078</v>
      </c>
      <c r="B2210" s="7">
        <v>39720</v>
      </c>
      <c r="C2210" s="7">
        <v>19.797000000000001</v>
      </c>
      <c r="D2210" s="2">
        <f t="shared" ref="D2210:D2277" si="570">C2210-C2209</f>
        <v>-1.2999999999998124E-2</v>
      </c>
      <c r="E2210" s="8">
        <f t="shared" ref="E2210:E2226" si="571">E2209-F2209</f>
        <v>19.700076379708186</v>
      </c>
      <c r="F2210" s="6">
        <f t="shared" si="561"/>
        <v>9.6805421103581812E-3</v>
      </c>
      <c r="G2210" s="12">
        <f t="shared" ref="G2210:G2226" si="572">C2210-E2210</f>
        <v>9.6923620291814672E-2</v>
      </c>
    </row>
    <row r="2211" spans="1:18" x14ac:dyDescent="0.3">
      <c r="A2211" s="11" t="s">
        <v>2079</v>
      </c>
      <c r="B2211" s="7">
        <v>39740</v>
      </c>
      <c r="C2211" s="7">
        <v>19.788</v>
      </c>
      <c r="D2211" s="2">
        <f t="shared" si="570"/>
        <v>-9.0000000000003411E-3</v>
      </c>
      <c r="E2211" s="8">
        <f t="shared" si="571"/>
        <v>19.690395837597826</v>
      </c>
      <c r="F2211" s="6">
        <f t="shared" si="561"/>
        <v>9.6805421103581812E-3</v>
      </c>
      <c r="G2211" s="12">
        <f t="shared" si="572"/>
        <v>9.7604162402173955E-2</v>
      </c>
    </row>
    <row r="2212" spans="1:18" x14ac:dyDescent="0.3">
      <c r="A2212" s="11" t="s">
        <v>2080</v>
      </c>
      <c r="B2212" s="7">
        <v>39760</v>
      </c>
      <c r="C2212" s="7">
        <v>19.782</v>
      </c>
      <c r="D2212" s="2">
        <f t="shared" si="570"/>
        <v>-6.0000000000002274E-3</v>
      </c>
      <c r="E2212" s="8">
        <f t="shared" si="571"/>
        <v>19.680715295487467</v>
      </c>
      <c r="F2212" s="6">
        <f t="shared" si="561"/>
        <v>9.6805421103581812E-3</v>
      </c>
      <c r="G2212" s="12">
        <f t="shared" si="572"/>
        <v>0.10128470451253335</v>
      </c>
    </row>
    <row r="2213" spans="1:18" x14ac:dyDescent="0.3">
      <c r="A2213" s="11" t="s">
        <v>2081</v>
      </c>
      <c r="B2213" s="7">
        <v>39780</v>
      </c>
      <c r="C2213" s="7">
        <v>19.765000000000001</v>
      </c>
      <c r="D2213" s="2">
        <f t="shared" si="570"/>
        <v>-1.699999999999946E-2</v>
      </c>
      <c r="E2213" s="8">
        <f t="shared" si="571"/>
        <v>19.671034753377107</v>
      </c>
      <c r="F2213" s="6">
        <f t="shared" si="561"/>
        <v>9.6805421103581812E-3</v>
      </c>
      <c r="G2213" s="12">
        <f t="shared" si="572"/>
        <v>9.3965246622893517E-2</v>
      </c>
    </row>
    <row r="2214" spans="1:18" x14ac:dyDescent="0.3">
      <c r="A2214" s="11" t="s">
        <v>2082</v>
      </c>
      <c r="B2214" s="7">
        <v>39800</v>
      </c>
      <c r="C2214" s="7">
        <v>19.739000000000001</v>
      </c>
      <c r="D2214" s="2">
        <f t="shared" si="570"/>
        <v>-2.5999999999999801E-2</v>
      </c>
      <c r="E2214" s="8">
        <f t="shared" si="571"/>
        <v>19.661354211266747</v>
      </c>
      <c r="F2214" s="6">
        <f t="shared" si="561"/>
        <v>9.6805421103581812E-3</v>
      </c>
      <c r="G2214" s="12">
        <f t="shared" si="572"/>
        <v>7.764578873325334E-2</v>
      </c>
    </row>
    <row r="2215" spans="1:18" x14ac:dyDescent="0.3">
      <c r="A2215" s="11" t="s">
        <v>2083</v>
      </c>
      <c r="B2215" s="7">
        <v>39820</v>
      </c>
      <c r="C2215" s="7">
        <v>19.731999999999999</v>
      </c>
      <c r="D2215" s="2">
        <f t="shared" si="570"/>
        <v>-7.0000000000014495E-3</v>
      </c>
      <c r="E2215" s="8">
        <f t="shared" si="571"/>
        <v>19.651673669156388</v>
      </c>
      <c r="F2215" s="6">
        <f t="shared" si="561"/>
        <v>9.6805421103581812E-3</v>
      </c>
      <c r="G2215" s="12">
        <f t="shared" si="572"/>
        <v>8.0326330843611515E-2</v>
      </c>
    </row>
    <row r="2216" spans="1:18" x14ac:dyDescent="0.3">
      <c r="A2216" s="11" t="s">
        <v>2084</v>
      </c>
      <c r="B2216" s="7">
        <v>39840</v>
      </c>
      <c r="C2216" s="7">
        <v>19.721</v>
      </c>
      <c r="D2216" s="2">
        <f t="shared" si="570"/>
        <v>-1.0999999999999233E-2</v>
      </c>
      <c r="E2216" s="8">
        <f t="shared" si="571"/>
        <v>19.641993127046028</v>
      </c>
      <c r="F2216" s="6">
        <f t="shared" si="561"/>
        <v>9.6805421103581812E-3</v>
      </c>
      <c r="G2216" s="12">
        <f t="shared" si="572"/>
        <v>7.9006872953971907E-2</v>
      </c>
    </row>
    <row r="2217" spans="1:18" x14ac:dyDescent="0.3">
      <c r="A2217" s="11" t="s">
        <v>2085</v>
      </c>
      <c r="B2217" s="7">
        <v>39860</v>
      </c>
      <c r="C2217" s="7">
        <v>19.696000000000002</v>
      </c>
      <c r="D2217" s="2">
        <f t="shared" si="570"/>
        <v>-2.4999999999998579E-2</v>
      </c>
      <c r="E2217" s="8">
        <f t="shared" si="571"/>
        <v>19.632312584935669</v>
      </c>
      <c r="F2217" s="6">
        <f t="shared" si="561"/>
        <v>9.6805421103581812E-3</v>
      </c>
      <c r="G2217" s="12">
        <f t="shared" si="572"/>
        <v>6.3687415064332953E-2</v>
      </c>
    </row>
    <row r="2218" spans="1:18" x14ac:dyDescent="0.3">
      <c r="A2218" s="11" t="s">
        <v>2086</v>
      </c>
      <c r="B2218" s="7">
        <v>39880</v>
      </c>
      <c r="C2218" s="7">
        <v>19.664999999999999</v>
      </c>
      <c r="D2218" s="2">
        <f t="shared" si="570"/>
        <v>-3.1000000000002359E-2</v>
      </c>
      <c r="E2218" s="8">
        <f t="shared" si="571"/>
        <v>19.622632042825309</v>
      </c>
      <c r="F2218" s="6">
        <f t="shared" si="561"/>
        <v>9.6805421103581812E-3</v>
      </c>
      <c r="G2218" s="12">
        <f t="shared" si="572"/>
        <v>4.2367957174690218E-2</v>
      </c>
    </row>
    <row r="2219" spans="1:18" x14ac:dyDescent="0.3">
      <c r="A2219" s="11" t="s">
        <v>2087</v>
      </c>
      <c r="B2219" s="7">
        <v>39900</v>
      </c>
      <c r="C2219" s="7">
        <v>19.613</v>
      </c>
      <c r="D2219" s="2">
        <f t="shared" si="570"/>
        <v>-5.1999999999999602E-2</v>
      </c>
      <c r="E2219" s="8">
        <f t="shared" si="571"/>
        <v>19.612951500714949</v>
      </c>
      <c r="F2219" s="6">
        <f t="shared" si="561"/>
        <v>9.6805421103581812E-3</v>
      </c>
      <c r="G2219" s="12">
        <f t="shared" si="572"/>
        <v>4.8499285050240815E-5</v>
      </c>
    </row>
    <row r="2220" spans="1:18" x14ac:dyDescent="0.3">
      <c r="A2220" s="21"/>
      <c r="B2220" s="22"/>
      <c r="C2220" s="22"/>
      <c r="D2220" s="22"/>
      <c r="E2220" s="22"/>
      <c r="F2220" s="22"/>
      <c r="G2220" s="23"/>
      <c r="H2220" s="4" t="s">
        <v>32</v>
      </c>
      <c r="J2220" s="4"/>
      <c r="O2220" s="3">
        <f>1/O2221</f>
        <v>3.6363636363636364E-3</v>
      </c>
      <c r="P2220" s="3">
        <f>O2220*20</f>
        <v>7.2727272727272724E-2</v>
      </c>
      <c r="Q2220" s="3" t="s">
        <v>3200</v>
      </c>
      <c r="R2220" s="3">
        <v>275</v>
      </c>
    </row>
    <row r="2221" spans="1:18" x14ac:dyDescent="0.3">
      <c r="A2221" s="11" t="s">
        <v>2088</v>
      </c>
      <c r="B2221" s="7">
        <v>39920</v>
      </c>
      <c r="C2221" s="7">
        <v>19.54</v>
      </c>
      <c r="D2221" s="2">
        <f>C2221-C2219</f>
        <v>-7.3000000000000398E-2</v>
      </c>
      <c r="E2221" s="8">
        <f>E2219-F2221</f>
        <v>19.540224227987675</v>
      </c>
      <c r="F2221" s="6">
        <f>P2220</f>
        <v>7.2727272727272724E-2</v>
      </c>
      <c r="G2221" s="12">
        <f>C2221-E2221</f>
        <v>-2.2422798767607333E-4</v>
      </c>
      <c r="H2221" s="3">
        <f>B2219</f>
        <v>39900</v>
      </c>
      <c r="I2221" s="3">
        <f>B2231</f>
        <v>40100</v>
      </c>
      <c r="J2221" s="3">
        <f>I2221-H2221</f>
        <v>200</v>
      </c>
      <c r="K2221" s="5">
        <f>E2219</f>
        <v>19.612951500714949</v>
      </c>
      <c r="L2221" s="3">
        <f>C2231</f>
        <v>18.885000000000002</v>
      </c>
      <c r="M2221" s="5">
        <f>L2221-K2221</f>
        <v>-0.72795150071494774</v>
      </c>
      <c r="N2221" s="3">
        <f>J2221/M2221</f>
        <v>-274.74357811416377</v>
      </c>
      <c r="O2221" s="3">
        <v>275</v>
      </c>
    </row>
    <row r="2222" spans="1:18" x14ac:dyDescent="0.3">
      <c r="A2222" s="11" t="s">
        <v>2089</v>
      </c>
      <c r="B2222" s="7">
        <v>39940</v>
      </c>
      <c r="C2222" s="7">
        <v>19.45</v>
      </c>
      <c r="D2222" s="2">
        <f t="shared" si="570"/>
        <v>-8.9999999999999858E-2</v>
      </c>
      <c r="E2222" s="8">
        <f>E2221-F2221</f>
        <v>19.467496955260401</v>
      </c>
      <c r="F2222" s="6">
        <f t="shared" ref="F2222" si="573">F2221</f>
        <v>7.2727272727272724E-2</v>
      </c>
      <c r="G2222" s="12">
        <f t="shared" ref="G2222" si="574">C2222-E2222</f>
        <v>-1.7496955260401847E-2</v>
      </c>
    </row>
    <row r="2223" spans="1:18" x14ac:dyDescent="0.3">
      <c r="A2223" s="13" t="s">
        <v>2090</v>
      </c>
      <c r="B2223" s="24"/>
      <c r="C2223" s="25"/>
      <c r="D2223" s="25"/>
      <c r="E2223" s="25"/>
      <c r="F2223" s="25"/>
      <c r="G2223" s="26"/>
    </row>
    <row r="2224" spans="1:18" x14ac:dyDescent="0.3">
      <c r="A2224" s="11" t="s">
        <v>2091</v>
      </c>
      <c r="B2224" s="7">
        <v>39960</v>
      </c>
      <c r="C2224" s="7">
        <v>19.39</v>
      </c>
      <c r="D2224" s="2">
        <f>C2224-C2222</f>
        <v>-5.9999999999998721E-2</v>
      </c>
      <c r="E2224" s="8">
        <f>E2222-F2222</f>
        <v>19.394769682533127</v>
      </c>
      <c r="F2224" s="6">
        <f>F2222</f>
        <v>7.2727272727272724E-2</v>
      </c>
      <c r="G2224" s="12">
        <f t="shared" si="572"/>
        <v>-4.7696825331264847E-3</v>
      </c>
    </row>
    <row r="2225" spans="1:18" x14ac:dyDescent="0.3">
      <c r="A2225" s="11" t="s">
        <v>2092</v>
      </c>
      <c r="B2225" s="7">
        <v>39980</v>
      </c>
      <c r="C2225" s="7">
        <v>19.326000000000001</v>
      </c>
      <c r="D2225" s="2">
        <f t="shared" si="570"/>
        <v>-6.4000000000000057E-2</v>
      </c>
      <c r="E2225" s="8">
        <f t="shared" si="571"/>
        <v>19.322042409805853</v>
      </c>
      <c r="F2225" s="6">
        <f t="shared" si="561"/>
        <v>7.2727272727272724E-2</v>
      </c>
      <c r="G2225" s="12">
        <f t="shared" si="572"/>
        <v>3.9575901941475422E-3</v>
      </c>
    </row>
    <row r="2226" spans="1:18" x14ac:dyDescent="0.3">
      <c r="A2226" s="11" t="s">
        <v>2093</v>
      </c>
      <c r="B2226" s="7">
        <v>40000</v>
      </c>
      <c r="C2226" s="7">
        <v>19.251999999999999</v>
      </c>
      <c r="D2226" s="2">
        <f t="shared" si="570"/>
        <v>-7.400000000000162E-2</v>
      </c>
      <c r="E2226" s="8">
        <f t="shared" si="571"/>
        <v>19.249315137078579</v>
      </c>
      <c r="F2226" s="6">
        <f t="shared" si="561"/>
        <v>7.2727272727272724E-2</v>
      </c>
      <c r="G2226" s="12">
        <f t="shared" si="572"/>
        <v>2.6848629214200059E-3</v>
      </c>
    </row>
    <row r="2227" spans="1:18" x14ac:dyDescent="0.3">
      <c r="A2227" s="11" t="s">
        <v>2094</v>
      </c>
      <c r="B2227" s="7">
        <v>40020</v>
      </c>
      <c r="C2227" s="7">
        <v>19.172999999999998</v>
      </c>
      <c r="D2227" s="2">
        <f t="shared" si="570"/>
        <v>-7.9000000000000625E-2</v>
      </c>
      <c r="E2227" s="8">
        <f t="shared" ref="E2227:E2242" si="575">E2226-F2226</f>
        <v>19.176587864351305</v>
      </c>
      <c r="F2227" s="6">
        <f t="shared" si="561"/>
        <v>7.2727272727272724E-2</v>
      </c>
      <c r="G2227" s="12">
        <f t="shared" ref="G2227:G2242" si="576">C2227-E2227</f>
        <v>-3.5878643513065356E-3</v>
      </c>
    </row>
    <row r="2228" spans="1:18" x14ac:dyDescent="0.3">
      <c r="A2228" s="11" t="s">
        <v>2095</v>
      </c>
      <c r="B2228" s="7">
        <v>40040</v>
      </c>
      <c r="C2228" s="7">
        <v>19.093</v>
      </c>
      <c r="D2228" s="2">
        <f t="shared" si="570"/>
        <v>-7.9999999999998295E-2</v>
      </c>
      <c r="E2228" s="8">
        <f t="shared" si="575"/>
        <v>19.103860591624031</v>
      </c>
      <c r="F2228" s="6">
        <f t="shared" si="561"/>
        <v>7.2727272727272724E-2</v>
      </c>
      <c r="G2228" s="12">
        <f t="shared" si="576"/>
        <v>-1.0860591624030747E-2</v>
      </c>
    </row>
    <row r="2229" spans="1:18" x14ac:dyDescent="0.3">
      <c r="A2229" s="11" t="s">
        <v>2096</v>
      </c>
      <c r="B2229" s="7">
        <v>40060</v>
      </c>
      <c r="C2229" s="7">
        <v>19.018000000000001</v>
      </c>
      <c r="D2229" s="2">
        <f t="shared" si="570"/>
        <v>-7.4999999999999289E-2</v>
      </c>
      <c r="E2229" s="8">
        <f t="shared" si="575"/>
        <v>19.031133318896757</v>
      </c>
      <c r="F2229" s="6">
        <f t="shared" si="561"/>
        <v>7.2727272727272724E-2</v>
      </c>
      <c r="G2229" s="12">
        <f t="shared" si="576"/>
        <v>-1.3133318896755952E-2</v>
      </c>
    </row>
    <row r="2230" spans="1:18" x14ac:dyDescent="0.3">
      <c r="A2230" s="11" t="s">
        <v>2097</v>
      </c>
      <c r="B2230" s="7">
        <v>40080</v>
      </c>
      <c r="C2230" s="7">
        <v>18.948</v>
      </c>
      <c r="D2230" s="2">
        <f t="shared" si="570"/>
        <v>-7.0000000000000284E-2</v>
      </c>
      <c r="E2230" s="8">
        <f t="shared" si="575"/>
        <v>18.958406046169483</v>
      </c>
      <c r="F2230" s="6">
        <f t="shared" si="561"/>
        <v>7.2727272727272724E-2</v>
      </c>
      <c r="G2230" s="12">
        <f t="shared" si="576"/>
        <v>-1.0406046169482153E-2</v>
      </c>
    </row>
    <row r="2231" spans="1:18" x14ac:dyDescent="0.3">
      <c r="A2231" s="11" t="s">
        <v>2098</v>
      </c>
      <c r="B2231" s="7">
        <v>40100</v>
      </c>
      <c r="C2231" s="7">
        <v>18.885000000000002</v>
      </c>
      <c r="D2231" s="2">
        <f t="shared" si="570"/>
        <v>-6.2999999999998835E-2</v>
      </c>
      <c r="E2231" s="8">
        <f t="shared" si="575"/>
        <v>18.885678773442208</v>
      </c>
      <c r="F2231" s="6">
        <f t="shared" si="561"/>
        <v>7.2727272727272724E-2</v>
      </c>
      <c r="G2231" s="12">
        <f t="shared" si="576"/>
        <v>-6.7877344220690361E-4</v>
      </c>
    </row>
    <row r="2232" spans="1:18" x14ac:dyDescent="0.3">
      <c r="A2232" s="21"/>
      <c r="B2232" s="22"/>
      <c r="C2232" s="22"/>
      <c r="D2232" s="22"/>
      <c r="E2232" s="22"/>
      <c r="F2232" s="22"/>
      <c r="G2232" s="23"/>
      <c r="H2232" s="4" t="s">
        <v>3496</v>
      </c>
      <c r="J2232" s="4"/>
      <c r="O2232" s="3">
        <f>1/O2233</f>
        <v>9.5057034220532313E-5</v>
      </c>
      <c r="P2232" s="3">
        <f>O2232*20</f>
        <v>1.9011406844106462E-3</v>
      </c>
      <c r="Q2232" s="3" t="s">
        <v>3200</v>
      </c>
      <c r="R2232" s="3">
        <v>10520</v>
      </c>
    </row>
    <row r="2233" spans="1:18" x14ac:dyDescent="0.3">
      <c r="A2233" s="11" t="s">
        <v>2099</v>
      </c>
      <c r="B2233" s="7">
        <v>40120</v>
      </c>
      <c r="C2233" s="7">
        <v>18.841999999999999</v>
      </c>
      <c r="D2233" s="2">
        <f>C2233-C2231</f>
        <v>-4.3000000000002814E-2</v>
      </c>
      <c r="E2233" s="8">
        <f>E2231-F2233</f>
        <v>18.883777632757798</v>
      </c>
      <c r="F2233" s="6">
        <f>P2232</f>
        <v>1.9011406844106462E-3</v>
      </c>
      <c r="G2233" s="12">
        <f>C2233-E2233</f>
        <v>-4.1777632757799665E-2</v>
      </c>
      <c r="H2233" s="3">
        <f>B2231</f>
        <v>40100</v>
      </c>
      <c r="I2233" s="3">
        <f>B2307</f>
        <v>41580</v>
      </c>
      <c r="J2233" s="3">
        <f>I2233-H2233</f>
        <v>1480</v>
      </c>
      <c r="K2233" s="5">
        <f>E2231</f>
        <v>18.885678773442208</v>
      </c>
      <c r="L2233" s="3">
        <f>C2307</f>
        <v>18.745000000000001</v>
      </c>
      <c r="M2233" s="5">
        <f>L2233-K2233</f>
        <v>-0.14067877344220747</v>
      </c>
      <c r="N2233" s="3">
        <f>J2233/M2233</f>
        <v>-10520.42155178444</v>
      </c>
      <c r="O2233" s="3">
        <v>10520</v>
      </c>
    </row>
    <row r="2234" spans="1:18" x14ac:dyDescent="0.3">
      <c r="A2234" s="11" t="s">
        <v>2100</v>
      </c>
      <c r="B2234" s="7">
        <v>40140</v>
      </c>
      <c r="C2234" s="7">
        <v>18.818999999999999</v>
      </c>
      <c r="D2234" s="2">
        <f t="shared" si="570"/>
        <v>-2.2999999999999687E-2</v>
      </c>
      <c r="E2234" s="8">
        <f>E2233-F2233</f>
        <v>18.881876492073388</v>
      </c>
      <c r="F2234" s="6">
        <f t="shared" ref="F2234" si="577">F2233</f>
        <v>1.9011406844106462E-3</v>
      </c>
      <c r="G2234" s="12">
        <f t="shared" ref="G2234" si="578">C2234-E2234</f>
        <v>-6.2876492073389301E-2</v>
      </c>
    </row>
    <row r="2235" spans="1:18" x14ac:dyDescent="0.3">
      <c r="A2235" s="11" t="s">
        <v>2101</v>
      </c>
      <c r="B2235" s="7">
        <v>40160</v>
      </c>
      <c r="C2235" s="7">
        <v>18.8</v>
      </c>
      <c r="D2235" s="2">
        <f t="shared" si="570"/>
        <v>-1.8999999999998352E-2</v>
      </c>
      <c r="E2235" s="8">
        <f t="shared" si="575"/>
        <v>18.879975351388978</v>
      </c>
      <c r="F2235" s="6">
        <f t="shared" si="561"/>
        <v>1.9011406844106462E-3</v>
      </c>
      <c r="G2235" s="12">
        <f t="shared" si="576"/>
        <v>-7.99753513889776E-2</v>
      </c>
    </row>
    <row r="2236" spans="1:18" x14ac:dyDescent="0.3">
      <c r="A2236" s="11" t="s">
        <v>2102</v>
      </c>
      <c r="B2236" s="7">
        <v>40180</v>
      </c>
      <c r="C2236" s="7">
        <v>18.797000000000001</v>
      </c>
      <c r="D2236" s="2">
        <f t="shared" si="570"/>
        <v>-3.0000000000001137E-3</v>
      </c>
      <c r="E2236" s="8">
        <f t="shared" si="575"/>
        <v>18.878074210704568</v>
      </c>
      <c r="F2236" s="6">
        <f t="shared" si="561"/>
        <v>1.9011406844106462E-3</v>
      </c>
      <c r="G2236" s="12">
        <f t="shared" si="576"/>
        <v>-8.1074210704567662E-2</v>
      </c>
    </row>
    <row r="2237" spans="1:18" x14ac:dyDescent="0.3">
      <c r="A2237" s="11" t="s">
        <v>2103</v>
      </c>
      <c r="B2237" s="7">
        <v>40200</v>
      </c>
      <c r="C2237" s="7">
        <v>18.806000000000001</v>
      </c>
      <c r="D2237" s="2">
        <f t="shared" si="570"/>
        <v>9.0000000000003411E-3</v>
      </c>
      <c r="E2237" s="8">
        <f t="shared" si="575"/>
        <v>18.876173070020158</v>
      </c>
      <c r="F2237" s="6">
        <f t="shared" si="561"/>
        <v>1.9011406844106462E-3</v>
      </c>
      <c r="G2237" s="12">
        <f t="shared" si="576"/>
        <v>-7.0173070020157269E-2</v>
      </c>
    </row>
    <row r="2238" spans="1:18" x14ac:dyDescent="0.3">
      <c r="A2238" s="11" t="s">
        <v>2104</v>
      </c>
      <c r="B2238" s="7">
        <v>40220</v>
      </c>
      <c r="C2238" s="7">
        <v>18.802</v>
      </c>
      <c r="D2238" s="2">
        <f t="shared" si="570"/>
        <v>-4.0000000000013358E-3</v>
      </c>
      <c r="E2238" s="8">
        <f t="shared" si="575"/>
        <v>18.874271929335748</v>
      </c>
      <c r="F2238" s="6">
        <f t="shared" si="561"/>
        <v>1.9011406844106462E-3</v>
      </c>
      <c r="G2238" s="12">
        <f t="shared" si="576"/>
        <v>-7.2271929335748553E-2</v>
      </c>
    </row>
    <row r="2239" spans="1:18" x14ac:dyDescent="0.3">
      <c r="A2239" s="11" t="s">
        <v>2105</v>
      </c>
      <c r="B2239" s="7">
        <v>40240</v>
      </c>
      <c r="C2239" s="7">
        <v>18.806000000000001</v>
      </c>
      <c r="D2239" s="2">
        <f t="shared" si="570"/>
        <v>4.0000000000013358E-3</v>
      </c>
      <c r="E2239" s="8">
        <f t="shared" si="575"/>
        <v>18.872370788651338</v>
      </c>
      <c r="F2239" s="6">
        <f t="shared" si="561"/>
        <v>1.9011406844106462E-3</v>
      </c>
      <c r="G2239" s="12">
        <f t="shared" si="576"/>
        <v>-6.6370788651337165E-2</v>
      </c>
    </row>
    <row r="2240" spans="1:18" x14ac:dyDescent="0.3">
      <c r="A2240" s="11" t="s">
        <v>2106</v>
      </c>
      <c r="B2240" s="7">
        <v>40260</v>
      </c>
      <c r="C2240" s="7">
        <v>18.818000000000001</v>
      </c>
      <c r="D2240" s="2">
        <f t="shared" si="570"/>
        <v>1.2000000000000455E-2</v>
      </c>
      <c r="E2240" s="8">
        <f t="shared" si="575"/>
        <v>18.870469647966928</v>
      </c>
      <c r="F2240" s="6">
        <f t="shared" si="561"/>
        <v>1.9011406844106462E-3</v>
      </c>
      <c r="G2240" s="12">
        <f t="shared" si="576"/>
        <v>-5.2469647966926658E-2</v>
      </c>
    </row>
    <row r="2241" spans="1:7" x14ac:dyDescent="0.3">
      <c r="A2241" s="11" t="s">
        <v>2107</v>
      </c>
      <c r="B2241" s="7">
        <v>40280</v>
      </c>
      <c r="C2241" s="7">
        <v>18.832000000000001</v>
      </c>
      <c r="D2241" s="2">
        <f t="shared" si="570"/>
        <v>1.3999999999999346E-2</v>
      </c>
      <c r="E2241" s="8">
        <f t="shared" si="575"/>
        <v>18.868568507282518</v>
      </c>
      <c r="F2241" s="6">
        <f t="shared" si="561"/>
        <v>1.9011406844106462E-3</v>
      </c>
      <c r="G2241" s="12">
        <f t="shared" si="576"/>
        <v>-3.656850728251726E-2</v>
      </c>
    </row>
    <row r="2242" spans="1:7" x14ac:dyDescent="0.3">
      <c r="A2242" s="11" t="s">
        <v>2108</v>
      </c>
      <c r="B2242" s="7">
        <v>40300</v>
      </c>
      <c r="C2242" s="7">
        <v>18.864000000000001</v>
      </c>
      <c r="D2242" s="2">
        <f t="shared" si="570"/>
        <v>3.2000000000000028E-2</v>
      </c>
      <c r="E2242" s="8">
        <f t="shared" si="575"/>
        <v>18.866667366598108</v>
      </c>
      <c r="F2242" s="6">
        <f t="shared" si="561"/>
        <v>1.9011406844106462E-3</v>
      </c>
      <c r="G2242" s="12">
        <f t="shared" si="576"/>
        <v>-2.6673665981071792E-3</v>
      </c>
    </row>
    <row r="2243" spans="1:7" x14ac:dyDescent="0.3">
      <c r="A2243" s="11" t="s">
        <v>2109</v>
      </c>
      <c r="B2243" s="7">
        <v>40320</v>
      </c>
      <c r="C2243" s="7">
        <v>18.876999999999999</v>
      </c>
      <c r="D2243" s="2">
        <f t="shared" si="570"/>
        <v>1.2999999999998124E-2</v>
      </c>
      <c r="E2243" s="8">
        <f t="shared" ref="E2243:E2262" si="579">E2242-F2242</f>
        <v>18.864766225913698</v>
      </c>
      <c r="F2243" s="6">
        <f t="shared" si="561"/>
        <v>1.9011406844106462E-3</v>
      </c>
      <c r="G2243" s="12">
        <f t="shared" ref="G2243:G2262" si="580">C2243-E2243</f>
        <v>1.2233774086300997E-2</v>
      </c>
    </row>
    <row r="2244" spans="1:7" x14ac:dyDescent="0.3">
      <c r="A2244" s="11" t="s">
        <v>2110</v>
      </c>
      <c r="B2244" s="7">
        <v>40340</v>
      </c>
      <c r="C2244" s="7">
        <v>18.911000000000001</v>
      </c>
      <c r="D2244" s="2">
        <f t="shared" si="570"/>
        <v>3.4000000000002473E-2</v>
      </c>
      <c r="E2244" s="8">
        <f t="shared" si="579"/>
        <v>18.862865085229288</v>
      </c>
      <c r="F2244" s="6">
        <f t="shared" ref="F2244:F2307" si="581">F2243</f>
        <v>1.9011406844106462E-3</v>
      </c>
      <c r="G2244" s="12">
        <f t="shared" si="580"/>
        <v>4.8134914770713522E-2</v>
      </c>
    </row>
    <row r="2245" spans="1:7" x14ac:dyDescent="0.3">
      <c r="A2245" s="11" t="s">
        <v>2111</v>
      </c>
      <c r="B2245" s="7">
        <v>40360</v>
      </c>
      <c r="C2245" s="7">
        <v>18.917000000000002</v>
      </c>
      <c r="D2245" s="2">
        <f t="shared" si="570"/>
        <v>6.0000000000002274E-3</v>
      </c>
      <c r="E2245" s="8">
        <f t="shared" si="579"/>
        <v>18.860963944544878</v>
      </c>
      <c r="F2245" s="6">
        <f t="shared" si="581"/>
        <v>1.9011406844106462E-3</v>
      </c>
      <c r="G2245" s="12">
        <f t="shared" si="580"/>
        <v>5.6036055455123801E-2</v>
      </c>
    </row>
    <row r="2246" spans="1:7" x14ac:dyDescent="0.3">
      <c r="A2246" s="11" t="s">
        <v>2112</v>
      </c>
      <c r="B2246" s="7">
        <v>40380</v>
      </c>
      <c r="C2246" s="7">
        <v>18.907</v>
      </c>
      <c r="D2246" s="2">
        <f t="shared" si="570"/>
        <v>-1.0000000000001563E-2</v>
      </c>
      <c r="E2246" s="8">
        <f t="shared" si="579"/>
        <v>18.859062803860468</v>
      </c>
      <c r="F2246" s="6">
        <f t="shared" si="581"/>
        <v>1.9011406844106462E-3</v>
      </c>
      <c r="G2246" s="12">
        <f t="shared" si="580"/>
        <v>4.793719613953229E-2</v>
      </c>
    </row>
    <row r="2247" spans="1:7" x14ac:dyDescent="0.3">
      <c r="A2247" s="11" t="s">
        <v>2113</v>
      </c>
      <c r="B2247" s="7">
        <v>40400</v>
      </c>
      <c r="C2247" s="7">
        <v>18.914999999999999</v>
      </c>
      <c r="D2247" s="2">
        <f t="shared" si="570"/>
        <v>7.9999999999991189E-3</v>
      </c>
      <c r="E2247" s="8">
        <f t="shared" si="579"/>
        <v>18.857161663176058</v>
      </c>
      <c r="F2247" s="6">
        <f t="shared" si="581"/>
        <v>1.9011406844106462E-3</v>
      </c>
      <c r="G2247" s="12">
        <f t="shared" si="580"/>
        <v>5.7838336823941461E-2</v>
      </c>
    </row>
    <row r="2248" spans="1:7" x14ac:dyDescent="0.3">
      <c r="A2248" s="11" t="s">
        <v>2114</v>
      </c>
      <c r="B2248" s="7">
        <v>40420</v>
      </c>
      <c r="C2248" s="7">
        <v>18.937000000000001</v>
      </c>
      <c r="D2248" s="2">
        <f t="shared" si="570"/>
        <v>2.2000000000002018E-2</v>
      </c>
      <c r="E2248" s="8">
        <f t="shared" si="579"/>
        <v>18.855260522491648</v>
      </c>
      <c r="F2248" s="6">
        <f t="shared" si="581"/>
        <v>1.9011406844106462E-3</v>
      </c>
      <c r="G2248" s="12">
        <f t="shared" si="580"/>
        <v>8.1739477508353531E-2</v>
      </c>
    </row>
    <row r="2249" spans="1:7" x14ac:dyDescent="0.3">
      <c r="A2249" s="11" t="s">
        <v>2115</v>
      </c>
      <c r="B2249" s="7">
        <v>40440</v>
      </c>
      <c r="C2249" s="7">
        <v>18.943000000000001</v>
      </c>
      <c r="D2249" s="2">
        <f t="shared" si="570"/>
        <v>6.0000000000002274E-3</v>
      </c>
      <c r="E2249" s="8">
        <f t="shared" si="579"/>
        <v>18.853359381807238</v>
      </c>
      <c r="F2249" s="6">
        <f t="shared" si="581"/>
        <v>1.9011406844106462E-3</v>
      </c>
      <c r="G2249" s="12">
        <f t="shared" si="580"/>
        <v>8.964061819276381E-2</v>
      </c>
    </row>
    <row r="2250" spans="1:7" x14ac:dyDescent="0.3">
      <c r="A2250" s="11" t="s">
        <v>2116</v>
      </c>
      <c r="B2250" s="7">
        <v>40460</v>
      </c>
      <c r="C2250" s="7">
        <v>18.920000000000002</v>
      </c>
      <c r="D2250" s="2">
        <f t="shared" si="570"/>
        <v>-2.2999999999999687E-2</v>
      </c>
      <c r="E2250" s="8">
        <f t="shared" si="579"/>
        <v>18.851458241122828</v>
      </c>
      <c r="F2250" s="6">
        <f t="shared" si="581"/>
        <v>1.9011406844106462E-3</v>
      </c>
      <c r="G2250" s="12">
        <f t="shared" si="580"/>
        <v>6.8541758877174175E-2</v>
      </c>
    </row>
    <row r="2251" spans="1:7" x14ac:dyDescent="0.3">
      <c r="A2251" s="11" t="s">
        <v>2117</v>
      </c>
      <c r="B2251" s="7">
        <v>40480</v>
      </c>
      <c r="C2251" s="7">
        <v>18.93</v>
      </c>
      <c r="D2251" s="2">
        <f t="shared" si="570"/>
        <v>9.9999999999980105E-3</v>
      </c>
      <c r="E2251" s="8">
        <f t="shared" si="579"/>
        <v>18.849557100438417</v>
      </c>
      <c r="F2251" s="6">
        <f t="shared" si="581"/>
        <v>1.9011406844106462E-3</v>
      </c>
      <c r="G2251" s="12">
        <f t="shared" si="580"/>
        <v>8.0442899561582237E-2</v>
      </c>
    </row>
    <row r="2252" spans="1:7" x14ac:dyDescent="0.3">
      <c r="A2252" s="11" t="s">
        <v>2118</v>
      </c>
      <c r="B2252" s="7">
        <v>40500</v>
      </c>
      <c r="C2252" s="7">
        <v>18.927</v>
      </c>
      <c r="D2252" s="2">
        <f t="shared" si="570"/>
        <v>-3.0000000000001137E-3</v>
      </c>
      <c r="E2252" s="8">
        <f t="shared" si="579"/>
        <v>18.847655959754007</v>
      </c>
      <c r="F2252" s="6">
        <f t="shared" si="581"/>
        <v>1.9011406844106462E-3</v>
      </c>
      <c r="G2252" s="12">
        <f t="shared" si="580"/>
        <v>7.9344040245992176E-2</v>
      </c>
    </row>
    <row r="2253" spans="1:7" x14ac:dyDescent="0.3">
      <c r="A2253" s="11" t="s">
        <v>2119</v>
      </c>
      <c r="B2253" s="7">
        <v>40520</v>
      </c>
      <c r="C2253" s="7">
        <v>18.916</v>
      </c>
      <c r="D2253" s="2">
        <f t="shared" si="570"/>
        <v>-1.0999999999999233E-2</v>
      </c>
      <c r="E2253" s="8">
        <f t="shared" si="579"/>
        <v>18.845754819069597</v>
      </c>
      <c r="F2253" s="6">
        <f t="shared" si="581"/>
        <v>1.9011406844106462E-3</v>
      </c>
      <c r="G2253" s="12">
        <f t="shared" si="580"/>
        <v>7.0245180930402995E-2</v>
      </c>
    </row>
    <row r="2254" spans="1:7" x14ac:dyDescent="0.3">
      <c r="A2254" s="11" t="s">
        <v>2120</v>
      </c>
      <c r="B2254" s="7">
        <v>40540</v>
      </c>
      <c r="C2254" s="7">
        <v>18.914000000000001</v>
      </c>
      <c r="D2254" s="2">
        <f t="shared" si="570"/>
        <v>-1.9999999999988916E-3</v>
      </c>
      <c r="E2254" s="8">
        <f t="shared" si="579"/>
        <v>18.843853678385187</v>
      </c>
      <c r="F2254" s="6">
        <f t="shared" si="581"/>
        <v>1.9011406844106462E-3</v>
      </c>
      <c r="G2254" s="12">
        <f t="shared" si="580"/>
        <v>7.0146321614814156E-2</v>
      </c>
    </row>
    <row r="2255" spans="1:7" x14ac:dyDescent="0.3">
      <c r="A2255" s="11" t="s">
        <v>2121</v>
      </c>
      <c r="B2255" s="7">
        <v>40560</v>
      </c>
      <c r="C2255" s="7">
        <v>18.911999999999999</v>
      </c>
      <c r="D2255" s="2">
        <f t="shared" si="570"/>
        <v>-2.0000000000024443E-3</v>
      </c>
      <c r="E2255" s="8">
        <f t="shared" si="579"/>
        <v>18.841952537700777</v>
      </c>
      <c r="F2255" s="6">
        <f t="shared" si="581"/>
        <v>1.9011406844106462E-3</v>
      </c>
      <c r="G2255" s="12">
        <f t="shared" si="580"/>
        <v>7.0047462299221763E-2</v>
      </c>
    </row>
    <row r="2256" spans="1:7" x14ac:dyDescent="0.3">
      <c r="A2256" s="11" t="s">
        <v>2122</v>
      </c>
      <c r="B2256" s="7">
        <v>40580</v>
      </c>
      <c r="C2256" s="7">
        <v>18.902999999999999</v>
      </c>
      <c r="D2256" s="2">
        <f t="shared" si="570"/>
        <v>-9.0000000000003411E-3</v>
      </c>
      <c r="E2256" s="8">
        <f t="shared" si="579"/>
        <v>18.840051397016367</v>
      </c>
      <c r="F2256" s="6">
        <f t="shared" si="581"/>
        <v>1.9011406844106462E-3</v>
      </c>
      <c r="G2256" s="12">
        <f t="shared" si="580"/>
        <v>6.2948602983631474E-2</v>
      </c>
    </row>
    <row r="2257" spans="1:7" x14ac:dyDescent="0.3">
      <c r="A2257" s="11" t="s">
        <v>2123</v>
      </c>
      <c r="B2257" s="7">
        <v>40600</v>
      </c>
      <c r="C2257" s="7">
        <v>18.884</v>
      </c>
      <c r="D2257" s="2">
        <f t="shared" si="570"/>
        <v>-1.8999999999998352E-2</v>
      </c>
      <c r="E2257" s="8">
        <f t="shared" si="579"/>
        <v>18.838150256331957</v>
      </c>
      <c r="F2257" s="6">
        <f t="shared" si="581"/>
        <v>1.9011406844106462E-3</v>
      </c>
      <c r="G2257" s="12">
        <f t="shared" si="580"/>
        <v>4.5849743668043175E-2</v>
      </c>
    </row>
    <row r="2258" spans="1:7" x14ac:dyDescent="0.3">
      <c r="A2258" s="11" t="s">
        <v>2124</v>
      </c>
      <c r="B2258" s="7">
        <v>40620</v>
      </c>
      <c r="C2258" s="7">
        <v>18.878</v>
      </c>
      <c r="D2258" s="2">
        <f t="shared" si="570"/>
        <v>-6.0000000000002274E-3</v>
      </c>
      <c r="E2258" s="8">
        <f t="shared" si="579"/>
        <v>18.836249115647547</v>
      </c>
      <c r="F2258" s="6">
        <f t="shared" si="581"/>
        <v>1.9011406844106462E-3</v>
      </c>
      <c r="G2258" s="12">
        <f t="shared" si="580"/>
        <v>4.1750884352452999E-2</v>
      </c>
    </row>
    <row r="2259" spans="1:7" x14ac:dyDescent="0.3">
      <c r="A2259" s="11" t="s">
        <v>2125</v>
      </c>
      <c r="B2259" s="7">
        <v>40640</v>
      </c>
      <c r="C2259" s="7">
        <v>18.891999999999999</v>
      </c>
      <c r="D2259" s="2">
        <f t="shared" si="570"/>
        <v>1.3999999999999346E-2</v>
      </c>
      <c r="E2259" s="8">
        <f t="shared" si="579"/>
        <v>18.834347974963137</v>
      </c>
      <c r="F2259" s="6">
        <f t="shared" si="581"/>
        <v>1.9011406844106462E-3</v>
      </c>
      <c r="G2259" s="12">
        <f t="shared" si="580"/>
        <v>5.7652025036862398E-2</v>
      </c>
    </row>
    <row r="2260" spans="1:7" x14ac:dyDescent="0.3">
      <c r="A2260" s="11" t="s">
        <v>2126</v>
      </c>
      <c r="B2260" s="7">
        <v>40660</v>
      </c>
      <c r="C2260" s="7">
        <v>18.870999999999999</v>
      </c>
      <c r="D2260" s="2">
        <f t="shared" si="570"/>
        <v>-2.1000000000000796E-2</v>
      </c>
      <c r="E2260" s="8">
        <f t="shared" si="579"/>
        <v>18.832446834278727</v>
      </c>
      <c r="F2260" s="6">
        <f t="shared" si="581"/>
        <v>1.9011406844106462E-3</v>
      </c>
      <c r="G2260" s="12">
        <f t="shared" si="580"/>
        <v>3.8553165721271654E-2</v>
      </c>
    </row>
    <row r="2261" spans="1:7" x14ac:dyDescent="0.3">
      <c r="A2261" s="11" t="s">
        <v>2127</v>
      </c>
      <c r="B2261" s="7">
        <v>40680</v>
      </c>
      <c r="C2261" s="7">
        <v>18.859000000000002</v>
      </c>
      <c r="D2261" s="2">
        <f t="shared" si="570"/>
        <v>-1.1999999999996902E-2</v>
      </c>
      <c r="E2261" s="8">
        <f t="shared" si="579"/>
        <v>18.830545693594317</v>
      </c>
      <c r="F2261" s="6">
        <f t="shared" si="581"/>
        <v>1.9011406844106462E-3</v>
      </c>
      <c r="G2261" s="12">
        <f t="shared" si="580"/>
        <v>2.8454306405684804E-2</v>
      </c>
    </row>
    <row r="2262" spans="1:7" x14ac:dyDescent="0.3">
      <c r="A2262" s="11" t="s">
        <v>2128</v>
      </c>
      <c r="B2262" s="7">
        <v>40700</v>
      </c>
      <c r="C2262" s="7">
        <v>18.853999999999999</v>
      </c>
      <c r="D2262" s="2">
        <f t="shared" si="570"/>
        <v>-5.000000000002558E-3</v>
      </c>
      <c r="E2262" s="8">
        <f t="shared" si="579"/>
        <v>18.828644552909907</v>
      </c>
      <c r="F2262" s="6">
        <f t="shared" si="581"/>
        <v>1.9011406844106462E-3</v>
      </c>
      <c r="G2262" s="12">
        <f t="shared" si="580"/>
        <v>2.5355447090092298E-2</v>
      </c>
    </row>
    <row r="2263" spans="1:7" x14ac:dyDescent="0.3">
      <c r="A2263" s="11" t="s">
        <v>2129</v>
      </c>
      <c r="B2263" s="7">
        <v>40720</v>
      </c>
      <c r="C2263" s="7">
        <v>18.831</v>
      </c>
      <c r="D2263" s="2">
        <f t="shared" si="570"/>
        <v>-2.2999999999999687E-2</v>
      </c>
      <c r="E2263" s="8">
        <f t="shared" ref="E2263:E2279" si="582">E2262-F2262</f>
        <v>18.826743412225497</v>
      </c>
      <c r="F2263" s="6">
        <f t="shared" si="581"/>
        <v>1.9011406844106462E-3</v>
      </c>
      <c r="G2263" s="12">
        <f t="shared" ref="G2263:G2279" si="583">C2263-E2263</f>
        <v>4.2565877745026626E-3</v>
      </c>
    </row>
    <row r="2264" spans="1:7" x14ac:dyDescent="0.3">
      <c r="A2264" s="11" t="s">
        <v>2130</v>
      </c>
      <c r="B2264" s="7">
        <v>40740</v>
      </c>
      <c r="C2264" s="7">
        <v>18.812999999999999</v>
      </c>
      <c r="D2264" s="2">
        <f t="shared" si="570"/>
        <v>-1.8000000000000682E-2</v>
      </c>
      <c r="E2264" s="8">
        <f t="shared" si="582"/>
        <v>18.824842271541087</v>
      </c>
      <c r="F2264" s="6">
        <f t="shared" si="581"/>
        <v>1.9011406844106462E-3</v>
      </c>
      <c r="G2264" s="12">
        <f t="shared" si="583"/>
        <v>-1.1842271541087968E-2</v>
      </c>
    </row>
    <row r="2265" spans="1:7" x14ac:dyDescent="0.3">
      <c r="A2265" s="11" t="s">
        <v>2131</v>
      </c>
      <c r="B2265" s="7">
        <v>40760</v>
      </c>
      <c r="C2265" s="7">
        <v>18.795000000000002</v>
      </c>
      <c r="D2265" s="2">
        <f t="shared" si="570"/>
        <v>-1.7999999999997129E-2</v>
      </c>
      <c r="E2265" s="8">
        <f t="shared" si="582"/>
        <v>18.822941130856677</v>
      </c>
      <c r="F2265" s="6">
        <f t="shared" si="581"/>
        <v>1.9011406844106462E-3</v>
      </c>
      <c r="G2265" s="12">
        <f t="shared" si="583"/>
        <v>-2.7941130856675045E-2</v>
      </c>
    </row>
    <row r="2266" spans="1:7" x14ac:dyDescent="0.3">
      <c r="A2266" s="11" t="s">
        <v>2132</v>
      </c>
      <c r="B2266" s="7">
        <v>40780</v>
      </c>
      <c r="C2266" s="7">
        <v>18.789000000000001</v>
      </c>
      <c r="D2266" s="2">
        <f t="shared" si="570"/>
        <v>-6.0000000000002274E-3</v>
      </c>
      <c r="E2266" s="8">
        <f t="shared" si="582"/>
        <v>18.821039990172267</v>
      </c>
      <c r="F2266" s="6">
        <f t="shared" si="581"/>
        <v>1.9011406844106462E-3</v>
      </c>
      <c r="G2266" s="12">
        <f t="shared" si="583"/>
        <v>-3.203999017226522E-2</v>
      </c>
    </row>
    <row r="2267" spans="1:7" x14ac:dyDescent="0.3">
      <c r="A2267" s="11" t="s">
        <v>2133</v>
      </c>
      <c r="B2267" s="7">
        <v>40800</v>
      </c>
      <c r="C2267" s="7">
        <v>18.795999999999999</v>
      </c>
      <c r="D2267" s="2">
        <f t="shared" si="570"/>
        <v>6.9999999999978968E-3</v>
      </c>
      <c r="E2267" s="8">
        <f t="shared" si="582"/>
        <v>18.819138849487857</v>
      </c>
      <c r="F2267" s="6">
        <f t="shared" si="581"/>
        <v>1.9011406844106462E-3</v>
      </c>
      <c r="G2267" s="12">
        <f t="shared" si="583"/>
        <v>-2.3138849487857271E-2</v>
      </c>
    </row>
    <row r="2268" spans="1:7" x14ac:dyDescent="0.3">
      <c r="A2268" s="11" t="s">
        <v>2134</v>
      </c>
      <c r="B2268" s="7">
        <v>40820</v>
      </c>
      <c r="C2268" s="7">
        <v>18.808</v>
      </c>
      <c r="D2268" s="2">
        <f t="shared" si="570"/>
        <v>1.2000000000000455E-2</v>
      </c>
      <c r="E2268" s="8">
        <f t="shared" si="582"/>
        <v>18.817237708803447</v>
      </c>
      <c r="F2268" s="6">
        <f t="shared" si="581"/>
        <v>1.9011406844106462E-3</v>
      </c>
      <c r="G2268" s="12">
        <f t="shared" si="583"/>
        <v>-9.2377088034467647E-3</v>
      </c>
    </row>
    <row r="2269" spans="1:7" x14ac:dyDescent="0.3">
      <c r="A2269" s="11" t="s">
        <v>2135</v>
      </c>
      <c r="B2269" s="7">
        <v>40840</v>
      </c>
      <c r="C2269" s="7">
        <v>18.829999999999998</v>
      </c>
      <c r="D2269" s="2">
        <f t="shared" si="570"/>
        <v>2.1999999999998465E-2</v>
      </c>
      <c r="E2269" s="8">
        <f t="shared" si="582"/>
        <v>18.815336568119037</v>
      </c>
      <c r="F2269" s="6">
        <f t="shared" si="581"/>
        <v>1.9011406844106462E-3</v>
      </c>
      <c r="G2269" s="12">
        <f t="shared" si="583"/>
        <v>1.4663431880961753E-2</v>
      </c>
    </row>
    <row r="2270" spans="1:7" x14ac:dyDescent="0.3">
      <c r="A2270" s="11" t="s">
        <v>2136</v>
      </c>
      <c r="B2270" s="7">
        <v>40860</v>
      </c>
      <c r="C2270" s="7">
        <v>18.847000000000001</v>
      </c>
      <c r="D2270" s="2">
        <f t="shared" si="570"/>
        <v>1.7000000000003013E-2</v>
      </c>
      <c r="E2270" s="8">
        <f t="shared" si="582"/>
        <v>18.813435427434626</v>
      </c>
      <c r="F2270" s="6">
        <f t="shared" si="581"/>
        <v>1.9011406844106462E-3</v>
      </c>
      <c r="G2270" s="12">
        <f t="shared" si="583"/>
        <v>3.3564572565374817E-2</v>
      </c>
    </row>
    <row r="2271" spans="1:7" x14ac:dyDescent="0.3">
      <c r="A2271" s="11" t="s">
        <v>2137</v>
      </c>
      <c r="B2271" s="7">
        <v>40880</v>
      </c>
      <c r="C2271" s="7">
        <v>18.870999999999999</v>
      </c>
      <c r="D2271" s="2">
        <f t="shared" si="570"/>
        <v>2.3999999999997357E-2</v>
      </c>
      <c r="E2271" s="8">
        <f t="shared" si="582"/>
        <v>18.811534286750216</v>
      </c>
      <c r="F2271" s="6">
        <f t="shared" si="581"/>
        <v>1.9011406844106462E-3</v>
      </c>
      <c r="G2271" s="12">
        <f t="shared" si="583"/>
        <v>5.9465713249782226E-2</v>
      </c>
    </row>
    <row r="2272" spans="1:7" x14ac:dyDescent="0.3">
      <c r="A2272" s="11" t="s">
        <v>2138</v>
      </c>
      <c r="B2272" s="7">
        <v>40900</v>
      </c>
      <c r="C2272" s="7">
        <v>18.878</v>
      </c>
      <c r="D2272" s="2">
        <f t="shared" si="570"/>
        <v>7.0000000000014495E-3</v>
      </c>
      <c r="E2272" s="8">
        <f t="shared" si="582"/>
        <v>18.809633146065806</v>
      </c>
      <c r="F2272" s="6">
        <f t="shared" si="581"/>
        <v>1.9011406844106462E-3</v>
      </c>
      <c r="G2272" s="12">
        <f t="shared" si="583"/>
        <v>6.8366853934193728E-2</v>
      </c>
    </row>
    <row r="2273" spans="1:7" x14ac:dyDescent="0.3">
      <c r="A2273" s="11" t="s">
        <v>2139</v>
      </c>
      <c r="B2273" s="7">
        <v>40920</v>
      </c>
      <c r="C2273" s="7">
        <v>18.867000000000001</v>
      </c>
      <c r="D2273" s="2">
        <f t="shared" si="570"/>
        <v>-1.0999999999999233E-2</v>
      </c>
      <c r="E2273" s="8">
        <f t="shared" si="582"/>
        <v>18.807732005381396</v>
      </c>
      <c r="F2273" s="6">
        <f t="shared" si="581"/>
        <v>1.9011406844106462E-3</v>
      </c>
      <c r="G2273" s="12">
        <f t="shared" si="583"/>
        <v>5.9267994618604547E-2</v>
      </c>
    </row>
    <row r="2274" spans="1:7" x14ac:dyDescent="0.3">
      <c r="A2274" s="11" t="s">
        <v>2140</v>
      </c>
      <c r="B2274" s="7">
        <v>40940</v>
      </c>
      <c r="C2274" s="7">
        <v>18.858000000000001</v>
      </c>
      <c r="D2274" s="2">
        <f t="shared" si="570"/>
        <v>-9.0000000000003411E-3</v>
      </c>
      <c r="E2274" s="8">
        <f t="shared" si="582"/>
        <v>18.805830864696986</v>
      </c>
      <c r="F2274" s="6">
        <f t="shared" si="581"/>
        <v>1.9011406844106462E-3</v>
      </c>
      <c r="G2274" s="12">
        <f t="shared" si="583"/>
        <v>5.2169135303014258E-2</v>
      </c>
    </row>
    <row r="2275" spans="1:7" x14ac:dyDescent="0.3">
      <c r="A2275" s="13" t="s">
        <v>2141</v>
      </c>
      <c r="B2275" s="24"/>
      <c r="C2275" s="25"/>
      <c r="D2275" s="25"/>
      <c r="E2275" s="25"/>
      <c r="F2275" s="25"/>
      <c r="G2275" s="26"/>
    </row>
    <row r="2276" spans="1:7" x14ac:dyDescent="0.3">
      <c r="A2276" s="11" t="s">
        <v>2142</v>
      </c>
      <c r="B2276" s="7">
        <v>40960</v>
      </c>
      <c r="C2276" s="7">
        <v>18.849</v>
      </c>
      <c r="D2276" s="2">
        <f>C2276-C2274</f>
        <v>-9.0000000000003411E-3</v>
      </c>
      <c r="E2276" s="8">
        <f>E2274-F2274</f>
        <v>18.803929724012576</v>
      </c>
      <c r="F2276" s="6">
        <f>F2274</f>
        <v>1.9011406844106462E-3</v>
      </c>
      <c r="G2276" s="12">
        <f t="shared" si="583"/>
        <v>4.5070275987423969E-2</v>
      </c>
    </row>
    <row r="2277" spans="1:7" x14ac:dyDescent="0.3">
      <c r="A2277" s="11" t="s">
        <v>2143</v>
      </c>
      <c r="B2277" s="7">
        <v>40980</v>
      </c>
      <c r="C2277" s="7">
        <v>18.856000000000002</v>
      </c>
      <c r="D2277" s="2">
        <f t="shared" si="570"/>
        <v>7.0000000000014495E-3</v>
      </c>
      <c r="E2277" s="8">
        <f t="shared" si="582"/>
        <v>18.802028583328166</v>
      </c>
      <c r="F2277" s="6">
        <f t="shared" si="581"/>
        <v>1.9011406844106462E-3</v>
      </c>
      <c r="G2277" s="12">
        <f t="shared" si="583"/>
        <v>5.397141667183547E-2</v>
      </c>
    </row>
    <row r="2278" spans="1:7" x14ac:dyDescent="0.3">
      <c r="A2278" s="11" t="s">
        <v>2144</v>
      </c>
      <c r="B2278" s="7">
        <v>41000</v>
      </c>
      <c r="C2278" s="7">
        <v>18.838000000000001</v>
      </c>
      <c r="D2278" s="2">
        <f t="shared" ref="D2278:D2343" si="584">C2278-C2277</f>
        <v>-1.8000000000000682E-2</v>
      </c>
      <c r="E2278" s="8">
        <f t="shared" si="582"/>
        <v>18.800127442643756</v>
      </c>
      <c r="F2278" s="6">
        <f t="shared" si="581"/>
        <v>1.9011406844106462E-3</v>
      </c>
      <c r="G2278" s="12">
        <f t="shared" si="583"/>
        <v>3.787255735624484E-2</v>
      </c>
    </row>
    <row r="2279" spans="1:7" x14ac:dyDescent="0.3">
      <c r="A2279" s="11" t="s">
        <v>2145</v>
      </c>
      <c r="B2279" s="7">
        <v>41020</v>
      </c>
      <c r="C2279" s="7">
        <v>18.834</v>
      </c>
      <c r="D2279" s="2">
        <f t="shared" si="584"/>
        <v>-4.0000000000013358E-3</v>
      </c>
      <c r="E2279" s="8">
        <f t="shared" si="582"/>
        <v>18.798226301959346</v>
      </c>
      <c r="F2279" s="6">
        <f t="shared" si="581"/>
        <v>1.9011406844106462E-3</v>
      </c>
      <c r="G2279" s="12">
        <f t="shared" si="583"/>
        <v>3.5773698040653557E-2</v>
      </c>
    </row>
    <row r="2280" spans="1:7" x14ac:dyDescent="0.3">
      <c r="A2280" s="11" t="s">
        <v>2146</v>
      </c>
      <c r="B2280" s="7">
        <v>41040</v>
      </c>
      <c r="C2280" s="7">
        <v>18.844000000000001</v>
      </c>
      <c r="D2280" s="2">
        <f t="shared" si="584"/>
        <v>1.0000000000001563E-2</v>
      </c>
      <c r="E2280" s="8">
        <f t="shared" ref="E2280:E2291" si="585">E2279-F2279</f>
        <v>18.796325161274936</v>
      </c>
      <c r="F2280" s="6">
        <f t="shared" si="581"/>
        <v>1.9011406844106462E-3</v>
      </c>
      <c r="G2280" s="12">
        <f t="shared" ref="G2280:G2291" si="586">C2280-E2280</f>
        <v>4.7674838725065172E-2</v>
      </c>
    </row>
    <row r="2281" spans="1:7" x14ac:dyDescent="0.3">
      <c r="A2281" s="11" t="s">
        <v>2147</v>
      </c>
      <c r="B2281" s="7">
        <v>41060</v>
      </c>
      <c r="C2281" s="7">
        <v>18.864000000000001</v>
      </c>
      <c r="D2281" s="2">
        <f t="shared" si="584"/>
        <v>1.9999999999999574E-2</v>
      </c>
      <c r="E2281" s="8">
        <f t="shared" si="585"/>
        <v>18.794424020590526</v>
      </c>
      <c r="F2281" s="6">
        <f t="shared" si="581"/>
        <v>1.9011406844106462E-3</v>
      </c>
      <c r="G2281" s="12">
        <f t="shared" si="586"/>
        <v>6.9575979409474797E-2</v>
      </c>
    </row>
    <row r="2282" spans="1:7" x14ac:dyDescent="0.3">
      <c r="A2282" s="11" t="s">
        <v>2148</v>
      </c>
      <c r="B2282" s="7">
        <v>41080</v>
      </c>
      <c r="C2282" s="7">
        <v>18.844999999999999</v>
      </c>
      <c r="D2282" s="2">
        <f t="shared" si="584"/>
        <v>-1.9000000000001904E-2</v>
      </c>
      <c r="E2282" s="8">
        <f t="shared" si="585"/>
        <v>18.792522879906116</v>
      </c>
      <c r="F2282" s="6">
        <f t="shared" si="581"/>
        <v>1.9011406844106462E-3</v>
      </c>
      <c r="G2282" s="12">
        <f t="shared" si="586"/>
        <v>5.2477120093882945E-2</v>
      </c>
    </row>
    <row r="2283" spans="1:7" x14ac:dyDescent="0.3">
      <c r="A2283" s="11" t="s">
        <v>2149</v>
      </c>
      <c r="B2283" s="7">
        <v>41100</v>
      </c>
      <c r="C2283" s="7">
        <v>18.838000000000001</v>
      </c>
      <c r="D2283" s="2">
        <f t="shared" si="584"/>
        <v>-6.9999999999978968E-3</v>
      </c>
      <c r="E2283" s="8">
        <f t="shared" si="585"/>
        <v>18.790621739221706</v>
      </c>
      <c r="F2283" s="6">
        <f t="shared" si="581"/>
        <v>1.9011406844106462E-3</v>
      </c>
      <c r="G2283" s="12">
        <f t="shared" si="586"/>
        <v>4.73782607782951E-2</v>
      </c>
    </row>
    <row r="2284" spans="1:7" x14ac:dyDescent="0.3">
      <c r="A2284" s="11" t="s">
        <v>2150</v>
      </c>
      <c r="B2284" s="7">
        <v>41120</v>
      </c>
      <c r="C2284" s="7">
        <v>18.821000000000002</v>
      </c>
      <c r="D2284" s="2">
        <f t="shared" si="584"/>
        <v>-1.699999999999946E-2</v>
      </c>
      <c r="E2284" s="8">
        <f t="shared" si="585"/>
        <v>18.788720598537296</v>
      </c>
      <c r="F2284" s="6">
        <f t="shared" si="581"/>
        <v>1.9011406844106462E-3</v>
      </c>
      <c r="G2284" s="12">
        <f t="shared" si="586"/>
        <v>3.2279401462705692E-2</v>
      </c>
    </row>
    <row r="2285" spans="1:7" x14ac:dyDescent="0.3">
      <c r="A2285" s="11" t="s">
        <v>2151</v>
      </c>
      <c r="B2285" s="7">
        <v>41140</v>
      </c>
      <c r="C2285" s="7">
        <v>18.849</v>
      </c>
      <c r="D2285" s="2">
        <f t="shared" si="584"/>
        <v>2.7999999999998693E-2</v>
      </c>
      <c r="E2285" s="8">
        <f t="shared" si="585"/>
        <v>18.786819457852886</v>
      </c>
      <c r="F2285" s="6">
        <f t="shared" si="581"/>
        <v>1.9011406844106462E-3</v>
      </c>
      <c r="G2285" s="12">
        <f t="shared" si="586"/>
        <v>6.2180542147114437E-2</v>
      </c>
    </row>
    <row r="2286" spans="1:7" x14ac:dyDescent="0.3">
      <c r="A2286" s="11" t="s">
        <v>2152</v>
      </c>
      <c r="B2286" s="7">
        <v>41160</v>
      </c>
      <c r="C2286" s="7">
        <v>18.835000000000001</v>
      </c>
      <c r="D2286" s="2">
        <f t="shared" si="584"/>
        <v>-1.3999999999999346E-2</v>
      </c>
      <c r="E2286" s="8">
        <f t="shared" si="585"/>
        <v>18.784918317168476</v>
      </c>
      <c r="F2286" s="6">
        <f t="shared" si="581"/>
        <v>1.9011406844106462E-3</v>
      </c>
      <c r="G2286" s="12">
        <f t="shared" si="586"/>
        <v>5.0081682831525143E-2</v>
      </c>
    </row>
    <row r="2287" spans="1:7" x14ac:dyDescent="0.3">
      <c r="A2287" s="11" t="s">
        <v>2153</v>
      </c>
      <c r="B2287" s="7">
        <v>41180</v>
      </c>
      <c r="C2287" s="7">
        <v>18.835000000000001</v>
      </c>
      <c r="D2287" s="2">
        <f t="shared" si="584"/>
        <v>0</v>
      </c>
      <c r="E2287" s="8">
        <f t="shared" si="585"/>
        <v>18.783017176484066</v>
      </c>
      <c r="F2287" s="6">
        <f t="shared" si="581"/>
        <v>1.9011406844106462E-3</v>
      </c>
      <c r="G2287" s="12">
        <f t="shared" si="586"/>
        <v>5.1982823515935195E-2</v>
      </c>
    </row>
    <row r="2288" spans="1:7" x14ac:dyDescent="0.3">
      <c r="A2288" s="11" t="s">
        <v>2154</v>
      </c>
      <c r="B2288" s="7">
        <v>41200</v>
      </c>
      <c r="C2288" s="7">
        <v>18.847000000000001</v>
      </c>
      <c r="D2288" s="2">
        <f t="shared" si="584"/>
        <v>1.2000000000000455E-2</v>
      </c>
      <c r="E2288" s="8">
        <f t="shared" si="585"/>
        <v>18.781116035799656</v>
      </c>
      <c r="F2288" s="6">
        <f t="shared" si="581"/>
        <v>1.9011406844106462E-3</v>
      </c>
      <c r="G2288" s="12">
        <f t="shared" si="586"/>
        <v>6.5883964200345702E-2</v>
      </c>
    </row>
    <row r="2289" spans="1:7" x14ac:dyDescent="0.3">
      <c r="A2289" s="11" t="s">
        <v>2155</v>
      </c>
      <c r="B2289" s="7">
        <v>41220</v>
      </c>
      <c r="C2289" s="7">
        <v>18.843</v>
      </c>
      <c r="D2289" s="2">
        <f t="shared" si="584"/>
        <v>-4.0000000000013358E-3</v>
      </c>
      <c r="E2289" s="8">
        <f t="shared" si="585"/>
        <v>18.779214895115246</v>
      </c>
      <c r="F2289" s="6">
        <f t="shared" si="581"/>
        <v>1.9011406844106462E-3</v>
      </c>
      <c r="G2289" s="12">
        <f t="shared" si="586"/>
        <v>6.3785104884754418E-2</v>
      </c>
    </row>
    <row r="2290" spans="1:7" x14ac:dyDescent="0.3">
      <c r="A2290" s="11" t="s">
        <v>2156</v>
      </c>
      <c r="B2290" s="7">
        <v>41240</v>
      </c>
      <c r="C2290" s="7">
        <v>18.843</v>
      </c>
      <c r="D2290" s="2">
        <f t="shared" si="584"/>
        <v>0</v>
      </c>
      <c r="E2290" s="8">
        <f t="shared" si="585"/>
        <v>18.777313754430836</v>
      </c>
      <c r="F2290" s="6">
        <f t="shared" si="581"/>
        <v>1.9011406844106462E-3</v>
      </c>
      <c r="G2290" s="12">
        <f t="shared" si="586"/>
        <v>6.568624556916447E-2</v>
      </c>
    </row>
    <row r="2291" spans="1:7" x14ac:dyDescent="0.3">
      <c r="A2291" s="11" t="s">
        <v>2157</v>
      </c>
      <c r="B2291" s="7">
        <v>41260</v>
      </c>
      <c r="C2291" s="7">
        <v>18.826000000000001</v>
      </c>
      <c r="D2291" s="2">
        <f t="shared" si="584"/>
        <v>-1.699999999999946E-2</v>
      </c>
      <c r="E2291" s="8">
        <f t="shared" si="585"/>
        <v>18.775412613746425</v>
      </c>
      <c r="F2291" s="6">
        <f t="shared" si="581"/>
        <v>1.9011406844106462E-3</v>
      </c>
      <c r="G2291" s="12">
        <f t="shared" si="586"/>
        <v>5.0587386253575062E-2</v>
      </c>
    </row>
    <row r="2292" spans="1:7" x14ac:dyDescent="0.3">
      <c r="A2292" s="11" t="s">
        <v>2158</v>
      </c>
      <c r="B2292" s="7">
        <v>41280</v>
      </c>
      <c r="C2292" s="7">
        <v>18.797999999999998</v>
      </c>
      <c r="D2292" s="2">
        <f t="shared" si="584"/>
        <v>-2.8000000000002245E-2</v>
      </c>
      <c r="E2292" s="8">
        <f t="shared" ref="E2292:E2316" si="587">E2291-F2291</f>
        <v>18.773511473062015</v>
      </c>
      <c r="F2292" s="6">
        <f t="shared" si="581"/>
        <v>1.9011406844106462E-3</v>
      </c>
      <c r="G2292" s="12">
        <f t="shared" ref="G2292:G2316" si="588">C2292-E2292</f>
        <v>2.4488526937982869E-2</v>
      </c>
    </row>
    <row r="2293" spans="1:7" x14ac:dyDescent="0.3">
      <c r="A2293" s="11" t="s">
        <v>2159</v>
      </c>
      <c r="B2293" s="7">
        <v>41300</v>
      </c>
      <c r="C2293" s="7">
        <v>18.803000000000001</v>
      </c>
      <c r="D2293" s="2">
        <f t="shared" si="584"/>
        <v>5.000000000002558E-3</v>
      </c>
      <c r="E2293" s="8">
        <f t="shared" si="587"/>
        <v>18.771610332377605</v>
      </c>
      <c r="F2293" s="6">
        <f t="shared" si="581"/>
        <v>1.9011406844106462E-3</v>
      </c>
      <c r="G2293" s="12">
        <f t="shared" si="588"/>
        <v>3.1389667622395478E-2</v>
      </c>
    </row>
    <row r="2294" spans="1:7" x14ac:dyDescent="0.3">
      <c r="A2294" s="11" t="s">
        <v>2160</v>
      </c>
      <c r="B2294" s="7">
        <v>41320</v>
      </c>
      <c r="C2294" s="7">
        <v>18.771999999999998</v>
      </c>
      <c r="D2294" s="2">
        <f t="shared" si="584"/>
        <v>-3.1000000000002359E-2</v>
      </c>
      <c r="E2294" s="8">
        <f t="shared" si="587"/>
        <v>18.769709191693195</v>
      </c>
      <c r="F2294" s="6">
        <f t="shared" si="581"/>
        <v>1.9011406844106462E-3</v>
      </c>
      <c r="G2294" s="12">
        <f t="shared" si="588"/>
        <v>2.2908083068031715E-3</v>
      </c>
    </row>
    <row r="2295" spans="1:7" x14ac:dyDescent="0.3">
      <c r="A2295" s="11" t="s">
        <v>2161</v>
      </c>
      <c r="B2295" s="7">
        <v>41340</v>
      </c>
      <c r="C2295" s="7">
        <v>18.780999999999999</v>
      </c>
      <c r="D2295" s="2">
        <f t="shared" si="584"/>
        <v>9.0000000000003411E-3</v>
      </c>
      <c r="E2295" s="8">
        <f t="shared" si="587"/>
        <v>18.767808051008785</v>
      </c>
      <c r="F2295" s="6">
        <f t="shared" si="581"/>
        <v>1.9011406844106462E-3</v>
      </c>
      <c r="G2295" s="12">
        <f t="shared" si="588"/>
        <v>1.3191948991213565E-2</v>
      </c>
    </row>
    <row r="2296" spans="1:7" x14ac:dyDescent="0.3">
      <c r="A2296" s="11" t="s">
        <v>2162</v>
      </c>
      <c r="B2296" s="7">
        <v>41360</v>
      </c>
      <c r="C2296" s="7">
        <v>18.808</v>
      </c>
      <c r="D2296" s="2">
        <f t="shared" si="584"/>
        <v>2.7000000000001023E-2</v>
      </c>
      <c r="E2296" s="8">
        <f t="shared" si="587"/>
        <v>18.765906910324375</v>
      </c>
      <c r="F2296" s="6">
        <f t="shared" si="581"/>
        <v>1.9011406844106462E-3</v>
      </c>
      <c r="G2296" s="12">
        <f t="shared" si="588"/>
        <v>4.209308967562464E-2</v>
      </c>
    </row>
    <row r="2297" spans="1:7" x14ac:dyDescent="0.3">
      <c r="A2297" s="11" t="s">
        <v>2163</v>
      </c>
      <c r="B2297" s="7">
        <v>41380</v>
      </c>
      <c r="C2297" s="7">
        <v>18.811</v>
      </c>
      <c r="D2297" s="2">
        <f t="shared" si="584"/>
        <v>3.0000000000001137E-3</v>
      </c>
      <c r="E2297" s="8">
        <f t="shared" si="587"/>
        <v>18.764005769639965</v>
      </c>
      <c r="F2297" s="6">
        <f t="shared" si="581"/>
        <v>1.9011406844106462E-3</v>
      </c>
      <c r="G2297" s="12">
        <f t="shared" si="588"/>
        <v>4.6994230360034805E-2</v>
      </c>
    </row>
    <row r="2298" spans="1:7" x14ac:dyDescent="0.3">
      <c r="A2298" s="11" t="s">
        <v>2164</v>
      </c>
      <c r="B2298" s="7">
        <v>41400</v>
      </c>
      <c r="C2298" s="7">
        <v>18.835999999999999</v>
      </c>
      <c r="D2298" s="2">
        <f t="shared" si="584"/>
        <v>2.4999999999998579E-2</v>
      </c>
      <c r="E2298" s="8">
        <f t="shared" si="587"/>
        <v>18.762104628955555</v>
      </c>
      <c r="F2298" s="6">
        <f t="shared" si="581"/>
        <v>1.9011406844106462E-3</v>
      </c>
      <c r="G2298" s="12">
        <f t="shared" si="588"/>
        <v>7.3895371044443436E-2</v>
      </c>
    </row>
    <row r="2299" spans="1:7" x14ac:dyDescent="0.3">
      <c r="A2299" s="11" t="s">
        <v>2165</v>
      </c>
      <c r="B2299" s="7">
        <v>41420</v>
      </c>
      <c r="C2299" s="7">
        <v>18.835999999999999</v>
      </c>
      <c r="D2299" s="2">
        <f t="shared" si="584"/>
        <v>0</v>
      </c>
      <c r="E2299" s="8">
        <f t="shared" si="587"/>
        <v>18.760203488271145</v>
      </c>
      <c r="F2299" s="6">
        <f t="shared" si="581"/>
        <v>1.9011406844106462E-3</v>
      </c>
      <c r="G2299" s="12">
        <f t="shared" si="588"/>
        <v>7.5796511728853488E-2</v>
      </c>
    </row>
    <row r="2300" spans="1:7" x14ac:dyDescent="0.3">
      <c r="A2300" s="11" t="s">
        <v>2166</v>
      </c>
      <c r="B2300" s="7">
        <v>41440</v>
      </c>
      <c r="C2300" s="7">
        <v>18.809000000000001</v>
      </c>
      <c r="D2300" s="2">
        <f t="shared" si="584"/>
        <v>-2.699999999999747E-2</v>
      </c>
      <c r="E2300" s="8">
        <f t="shared" si="587"/>
        <v>18.758302347586735</v>
      </c>
      <c r="F2300" s="6">
        <f t="shared" si="581"/>
        <v>1.9011406844106462E-3</v>
      </c>
      <c r="G2300" s="12">
        <f t="shared" si="588"/>
        <v>5.069765241326607E-2</v>
      </c>
    </row>
    <row r="2301" spans="1:7" x14ac:dyDescent="0.3">
      <c r="A2301" s="11" t="s">
        <v>2167</v>
      </c>
      <c r="B2301" s="7">
        <v>41460</v>
      </c>
      <c r="C2301" s="7">
        <v>18.808</v>
      </c>
      <c r="D2301" s="2">
        <f t="shared" si="584"/>
        <v>-1.0000000000012221E-3</v>
      </c>
      <c r="E2301" s="8">
        <f t="shared" si="587"/>
        <v>18.756401206902325</v>
      </c>
      <c r="F2301" s="6">
        <f t="shared" si="581"/>
        <v>1.9011406844106462E-3</v>
      </c>
      <c r="G2301" s="12">
        <f t="shared" si="588"/>
        <v>5.15987930976749E-2</v>
      </c>
    </row>
    <row r="2302" spans="1:7" x14ac:dyDescent="0.3">
      <c r="A2302" s="11" t="s">
        <v>2168</v>
      </c>
      <c r="B2302" s="7">
        <v>41480</v>
      </c>
      <c r="C2302" s="7">
        <v>18.777999999999999</v>
      </c>
      <c r="D2302" s="2">
        <f t="shared" si="584"/>
        <v>-3.0000000000001137E-2</v>
      </c>
      <c r="E2302" s="8">
        <f t="shared" si="587"/>
        <v>18.754500066217915</v>
      </c>
      <c r="F2302" s="6">
        <f t="shared" si="581"/>
        <v>1.9011406844106462E-3</v>
      </c>
      <c r="G2302" s="12">
        <f t="shared" si="588"/>
        <v>2.3499933782083815E-2</v>
      </c>
    </row>
    <row r="2303" spans="1:7" x14ac:dyDescent="0.3">
      <c r="A2303" s="11" t="s">
        <v>2169</v>
      </c>
      <c r="B2303" s="7">
        <v>41500</v>
      </c>
      <c r="C2303" s="7">
        <v>18.800999999999998</v>
      </c>
      <c r="D2303" s="2">
        <f t="shared" si="584"/>
        <v>2.2999999999999687E-2</v>
      </c>
      <c r="E2303" s="8">
        <f t="shared" si="587"/>
        <v>18.752598925533505</v>
      </c>
      <c r="F2303" s="6">
        <f t="shared" si="581"/>
        <v>1.9011406844106462E-3</v>
      </c>
      <c r="G2303" s="12">
        <f t="shared" si="588"/>
        <v>4.8401074466493554E-2</v>
      </c>
    </row>
    <row r="2304" spans="1:7" x14ac:dyDescent="0.3">
      <c r="A2304" s="11" t="s">
        <v>2170</v>
      </c>
      <c r="B2304" s="7">
        <v>41520</v>
      </c>
      <c r="C2304" s="7">
        <v>18.817</v>
      </c>
      <c r="D2304" s="2">
        <f t="shared" si="584"/>
        <v>1.6000000000001791E-2</v>
      </c>
      <c r="E2304" s="8">
        <f t="shared" si="587"/>
        <v>18.750697784849095</v>
      </c>
      <c r="F2304" s="6">
        <f t="shared" si="581"/>
        <v>1.9011406844106462E-3</v>
      </c>
      <c r="G2304" s="12">
        <f t="shared" si="588"/>
        <v>6.6302215150905397E-2</v>
      </c>
    </row>
    <row r="2305" spans="1:18" x14ac:dyDescent="0.3">
      <c r="A2305" s="11" t="s">
        <v>2171</v>
      </c>
      <c r="B2305" s="7">
        <v>41540</v>
      </c>
      <c r="C2305" s="7">
        <v>18.785</v>
      </c>
      <c r="D2305" s="2">
        <f t="shared" si="584"/>
        <v>-3.2000000000000028E-2</v>
      </c>
      <c r="E2305" s="8">
        <f t="shared" si="587"/>
        <v>18.748796644164685</v>
      </c>
      <c r="F2305" s="6">
        <f t="shared" si="581"/>
        <v>1.9011406844106462E-3</v>
      </c>
      <c r="G2305" s="12">
        <f t="shared" si="588"/>
        <v>3.6203355835315421E-2</v>
      </c>
    </row>
    <row r="2306" spans="1:18" x14ac:dyDescent="0.3">
      <c r="A2306" s="11" t="s">
        <v>2172</v>
      </c>
      <c r="B2306" s="7">
        <v>41560</v>
      </c>
      <c r="C2306" s="7">
        <v>18.756</v>
      </c>
      <c r="D2306" s="2">
        <f t="shared" si="584"/>
        <v>-2.8999999999999915E-2</v>
      </c>
      <c r="E2306" s="8">
        <f t="shared" si="587"/>
        <v>18.746895503480275</v>
      </c>
      <c r="F2306" s="6">
        <f t="shared" si="581"/>
        <v>1.9011406844106462E-3</v>
      </c>
      <c r="G2306" s="12">
        <f t="shared" si="588"/>
        <v>9.1044965197255578E-3</v>
      </c>
    </row>
    <row r="2307" spans="1:18" x14ac:dyDescent="0.3">
      <c r="A2307" s="11" t="s">
        <v>2173</v>
      </c>
      <c r="B2307" s="7">
        <v>41580</v>
      </c>
      <c r="C2307" s="7">
        <v>18.745000000000001</v>
      </c>
      <c r="D2307" s="2">
        <f t="shared" si="584"/>
        <v>-1.0999999999999233E-2</v>
      </c>
      <c r="E2307" s="8">
        <f t="shared" si="587"/>
        <v>18.744994362795865</v>
      </c>
      <c r="F2307" s="6">
        <f t="shared" si="581"/>
        <v>1.9011406844106462E-3</v>
      </c>
      <c r="G2307" s="12">
        <f t="shared" si="588"/>
        <v>5.6372041363772496E-6</v>
      </c>
    </row>
    <row r="2308" spans="1:18" x14ac:dyDescent="0.3">
      <c r="A2308" s="21"/>
      <c r="B2308" s="22"/>
      <c r="C2308" s="22"/>
      <c r="D2308" s="22"/>
      <c r="E2308" s="22"/>
      <c r="F2308" s="22"/>
      <c r="G2308" s="23"/>
      <c r="H2308" s="4" t="s">
        <v>33</v>
      </c>
      <c r="J2308" s="4"/>
      <c r="O2308" s="3">
        <f>1/O2309</f>
        <v>4.2372881355932203E-3</v>
      </c>
      <c r="P2308" s="3">
        <f>O2308*20</f>
        <v>8.4745762711864403E-2</v>
      </c>
      <c r="Q2308" s="3" t="s">
        <v>3200</v>
      </c>
      <c r="R2308" s="3">
        <v>236</v>
      </c>
    </row>
    <row r="2309" spans="1:18" x14ac:dyDescent="0.3">
      <c r="A2309" s="11" t="s">
        <v>2174</v>
      </c>
      <c r="B2309" s="7">
        <v>41600</v>
      </c>
      <c r="C2309" s="7">
        <v>18.696000000000002</v>
      </c>
      <c r="D2309" s="2">
        <f>C2309-C2307</f>
        <v>-4.8999999999999488E-2</v>
      </c>
      <c r="E2309" s="8">
        <f>E2307-F2309</f>
        <v>18.660248600084</v>
      </c>
      <c r="F2309" s="6">
        <f>P2308</f>
        <v>8.4745762711864403E-2</v>
      </c>
      <c r="G2309" s="12">
        <f>C2309-E2309</f>
        <v>3.5751399916001958E-2</v>
      </c>
      <c r="H2309" s="3">
        <f>B2307</f>
        <v>41580</v>
      </c>
      <c r="I2309" s="3">
        <f>B2351</f>
        <v>42420</v>
      </c>
      <c r="J2309" s="3">
        <f>I2309-H2309</f>
        <v>840</v>
      </c>
      <c r="K2309" s="5">
        <f>E2307</f>
        <v>18.744994362795865</v>
      </c>
      <c r="L2309" s="3">
        <f>C2351</f>
        <v>15.189</v>
      </c>
      <c r="M2309" s="5">
        <f>L2309-K2309</f>
        <v>-3.5559943627958646</v>
      </c>
      <c r="N2309" s="3">
        <f>J2309/M2309</f>
        <v>-236.22084691370503</v>
      </c>
      <c r="O2309" s="3">
        <v>236</v>
      </c>
    </row>
    <row r="2310" spans="1:18" x14ac:dyDescent="0.3">
      <c r="A2310" s="11" t="s">
        <v>2175</v>
      </c>
      <c r="B2310" s="7">
        <v>41620</v>
      </c>
      <c r="C2310" s="7">
        <v>18.646999999999998</v>
      </c>
      <c r="D2310" s="2">
        <f t="shared" si="584"/>
        <v>-4.9000000000003041E-2</v>
      </c>
      <c r="E2310" s="8">
        <f>E2309-F2309</f>
        <v>18.575502837372134</v>
      </c>
      <c r="F2310" s="6">
        <f t="shared" ref="F2310" si="589">F2309</f>
        <v>8.4745762711864403E-2</v>
      </c>
      <c r="G2310" s="12">
        <f t="shared" ref="G2310" si="590">C2310-E2310</f>
        <v>7.1497162627863986E-2</v>
      </c>
    </row>
    <row r="2311" spans="1:18" x14ac:dyDescent="0.3">
      <c r="A2311" s="11" t="s">
        <v>2176</v>
      </c>
      <c r="B2311" s="7">
        <v>41640</v>
      </c>
      <c r="C2311" s="7">
        <v>18.611999999999998</v>
      </c>
      <c r="D2311" s="2">
        <f t="shared" si="584"/>
        <v>-3.5000000000000142E-2</v>
      </c>
      <c r="E2311" s="8">
        <f t="shared" si="587"/>
        <v>18.490757074660269</v>
      </c>
      <c r="F2311" s="6">
        <f t="shared" ref="F2311:F2375" si="591">F2310</f>
        <v>8.4745762711864403E-2</v>
      </c>
      <c r="G2311" s="12">
        <f t="shared" si="588"/>
        <v>0.12124292533972891</v>
      </c>
    </row>
    <row r="2312" spans="1:18" x14ac:dyDescent="0.3">
      <c r="A2312" s="11" t="s">
        <v>2177</v>
      </c>
      <c r="B2312" s="7">
        <v>41660</v>
      </c>
      <c r="C2312" s="7">
        <v>18.555</v>
      </c>
      <c r="D2312" s="2">
        <f t="shared" si="584"/>
        <v>-5.6999999999998607E-2</v>
      </c>
      <c r="E2312" s="8">
        <f t="shared" si="587"/>
        <v>18.406011311948404</v>
      </c>
      <c r="F2312" s="6">
        <f t="shared" si="591"/>
        <v>8.4745762711864403E-2</v>
      </c>
      <c r="G2312" s="12">
        <f t="shared" si="588"/>
        <v>0.14898868805159537</v>
      </c>
    </row>
    <row r="2313" spans="1:18" x14ac:dyDescent="0.3">
      <c r="A2313" s="11" t="s">
        <v>2178</v>
      </c>
      <c r="B2313" s="7">
        <v>41680</v>
      </c>
      <c r="C2313" s="7">
        <v>18.465</v>
      </c>
      <c r="D2313" s="2">
        <f t="shared" si="584"/>
        <v>-8.9999999999999858E-2</v>
      </c>
      <c r="E2313" s="8">
        <f t="shared" si="587"/>
        <v>18.321265549236539</v>
      </c>
      <c r="F2313" s="6">
        <f t="shared" si="591"/>
        <v>8.4745762711864403E-2</v>
      </c>
      <c r="G2313" s="12">
        <f t="shared" si="588"/>
        <v>0.14373445076346059</v>
      </c>
    </row>
    <row r="2314" spans="1:18" x14ac:dyDescent="0.3">
      <c r="A2314" s="11" t="s">
        <v>2179</v>
      </c>
      <c r="B2314" s="7">
        <v>41700</v>
      </c>
      <c r="C2314" s="7">
        <v>18.382000000000001</v>
      </c>
      <c r="D2314" s="2">
        <f t="shared" si="584"/>
        <v>-8.2999999999998408E-2</v>
      </c>
      <c r="E2314" s="8">
        <f t="shared" si="587"/>
        <v>18.236519786524674</v>
      </c>
      <c r="F2314" s="6">
        <f t="shared" si="591"/>
        <v>8.4745762711864403E-2</v>
      </c>
      <c r="G2314" s="12">
        <f t="shared" si="588"/>
        <v>0.14548021347532725</v>
      </c>
    </row>
    <row r="2315" spans="1:18" x14ac:dyDescent="0.3">
      <c r="A2315" s="11" t="s">
        <v>2180</v>
      </c>
      <c r="B2315" s="7">
        <v>41720</v>
      </c>
      <c r="C2315" s="7">
        <v>18.286999999999999</v>
      </c>
      <c r="D2315" s="2">
        <f t="shared" si="584"/>
        <v>-9.5000000000002416E-2</v>
      </c>
      <c r="E2315" s="8">
        <f t="shared" si="587"/>
        <v>18.151774023812809</v>
      </c>
      <c r="F2315" s="6">
        <f t="shared" si="591"/>
        <v>8.4745762711864403E-2</v>
      </c>
      <c r="G2315" s="12">
        <f t="shared" si="588"/>
        <v>0.1352259761871899</v>
      </c>
    </row>
    <row r="2316" spans="1:18" x14ac:dyDescent="0.3">
      <c r="A2316" s="11" t="s">
        <v>2181</v>
      </c>
      <c r="B2316" s="7">
        <v>41740</v>
      </c>
      <c r="C2316" s="7">
        <v>18.210999999999999</v>
      </c>
      <c r="D2316" s="2">
        <f t="shared" si="584"/>
        <v>-7.6000000000000512E-2</v>
      </c>
      <c r="E2316" s="8">
        <f t="shared" si="587"/>
        <v>18.067028261100944</v>
      </c>
      <c r="F2316" s="6">
        <f t="shared" si="591"/>
        <v>8.4745762711864403E-2</v>
      </c>
      <c r="G2316" s="12">
        <f t="shared" si="588"/>
        <v>0.14397173889905446</v>
      </c>
    </row>
    <row r="2317" spans="1:18" x14ac:dyDescent="0.3">
      <c r="A2317" s="11" t="s">
        <v>2182</v>
      </c>
      <c r="B2317" s="7">
        <v>41760</v>
      </c>
      <c r="C2317" s="7">
        <v>18.113</v>
      </c>
      <c r="D2317" s="2">
        <f t="shared" si="584"/>
        <v>-9.7999999999998977E-2</v>
      </c>
      <c r="E2317" s="8">
        <f t="shared" ref="E2317:E2339" si="592">E2316-F2316</f>
        <v>17.982282498389079</v>
      </c>
      <c r="F2317" s="6">
        <f t="shared" si="591"/>
        <v>8.4745762711864403E-2</v>
      </c>
      <c r="G2317" s="12">
        <f t="shared" ref="G2317:G2339" si="593">C2317-E2317</f>
        <v>0.13071750161092055</v>
      </c>
    </row>
    <row r="2318" spans="1:18" x14ac:dyDescent="0.3">
      <c r="A2318" s="11" t="s">
        <v>2183</v>
      </c>
      <c r="B2318" s="7">
        <v>41780</v>
      </c>
      <c r="C2318" s="7">
        <v>18.036999999999999</v>
      </c>
      <c r="D2318" s="2">
        <f t="shared" si="584"/>
        <v>-7.6000000000000512E-2</v>
      </c>
      <c r="E2318" s="8">
        <f t="shared" si="592"/>
        <v>17.897536735677214</v>
      </c>
      <c r="F2318" s="6">
        <f t="shared" si="591"/>
        <v>8.4745762711864403E-2</v>
      </c>
      <c r="G2318" s="12">
        <f t="shared" si="593"/>
        <v>0.13946326432278511</v>
      </c>
    </row>
    <row r="2319" spans="1:18" x14ac:dyDescent="0.3">
      <c r="A2319" s="11" t="s">
        <v>2184</v>
      </c>
      <c r="B2319" s="7">
        <v>41800</v>
      </c>
      <c r="C2319" s="7">
        <v>17.954000000000001</v>
      </c>
      <c r="D2319" s="2">
        <f t="shared" si="584"/>
        <v>-8.2999999999998408E-2</v>
      </c>
      <c r="E2319" s="8">
        <f t="shared" si="592"/>
        <v>17.812790972965349</v>
      </c>
      <c r="F2319" s="6">
        <f t="shared" si="591"/>
        <v>8.4745762711864403E-2</v>
      </c>
      <c r="G2319" s="12">
        <f t="shared" si="593"/>
        <v>0.14120902703465177</v>
      </c>
    </row>
    <row r="2320" spans="1:18" x14ac:dyDescent="0.3">
      <c r="A2320" s="11" t="s">
        <v>2185</v>
      </c>
      <c r="B2320" s="7">
        <v>41820</v>
      </c>
      <c r="C2320" s="7">
        <v>17.864000000000001</v>
      </c>
      <c r="D2320" s="2">
        <f t="shared" si="584"/>
        <v>-8.9999999999999858E-2</v>
      </c>
      <c r="E2320" s="8">
        <f t="shared" si="592"/>
        <v>17.728045210253484</v>
      </c>
      <c r="F2320" s="6">
        <f t="shared" si="591"/>
        <v>8.4745762711864403E-2</v>
      </c>
      <c r="G2320" s="12">
        <f t="shared" si="593"/>
        <v>0.13595478974651698</v>
      </c>
    </row>
    <row r="2321" spans="1:7" x14ac:dyDescent="0.3">
      <c r="A2321" s="11" t="s">
        <v>2186</v>
      </c>
      <c r="B2321" s="7">
        <v>41840</v>
      </c>
      <c r="C2321" s="7">
        <v>17.771999999999998</v>
      </c>
      <c r="D2321" s="2">
        <f t="shared" si="584"/>
        <v>-9.2000000000002302E-2</v>
      </c>
      <c r="E2321" s="8">
        <f t="shared" si="592"/>
        <v>17.643299447541619</v>
      </c>
      <c r="F2321" s="6">
        <f t="shared" si="591"/>
        <v>8.4745762711864403E-2</v>
      </c>
      <c r="G2321" s="12">
        <f t="shared" si="593"/>
        <v>0.12870055245837975</v>
      </c>
    </row>
    <row r="2322" spans="1:7" x14ac:dyDescent="0.3">
      <c r="A2322" s="11" t="s">
        <v>2187</v>
      </c>
      <c r="B2322" s="7">
        <v>41860</v>
      </c>
      <c r="C2322" s="7">
        <v>17.690000000000001</v>
      </c>
      <c r="D2322" s="2">
        <f t="shared" si="584"/>
        <v>-8.1999999999997186E-2</v>
      </c>
      <c r="E2322" s="8">
        <f t="shared" si="592"/>
        <v>17.558553684829754</v>
      </c>
      <c r="F2322" s="6">
        <f t="shared" si="591"/>
        <v>8.4745762711864403E-2</v>
      </c>
      <c r="G2322" s="12">
        <f t="shared" si="593"/>
        <v>0.13144631517024763</v>
      </c>
    </row>
    <row r="2323" spans="1:7" x14ac:dyDescent="0.3">
      <c r="A2323" s="11" t="s">
        <v>2188</v>
      </c>
      <c r="B2323" s="7">
        <v>41880</v>
      </c>
      <c r="C2323" s="7">
        <v>17.553999999999998</v>
      </c>
      <c r="D2323" s="2">
        <f t="shared" si="584"/>
        <v>-0.13600000000000279</v>
      </c>
      <c r="E2323" s="8">
        <f t="shared" si="592"/>
        <v>17.473807922117889</v>
      </c>
      <c r="F2323" s="6">
        <f t="shared" si="591"/>
        <v>8.4745762711864403E-2</v>
      </c>
      <c r="G2323" s="12">
        <f t="shared" si="593"/>
        <v>8.0192077882109913E-2</v>
      </c>
    </row>
    <row r="2324" spans="1:7" x14ac:dyDescent="0.3">
      <c r="A2324" s="11" t="s">
        <v>2189</v>
      </c>
      <c r="B2324" s="7">
        <v>41900</v>
      </c>
      <c r="C2324" s="7">
        <v>17.47</v>
      </c>
      <c r="D2324" s="2">
        <f t="shared" si="584"/>
        <v>-8.3999999999999631E-2</v>
      </c>
      <c r="E2324" s="8">
        <f t="shared" si="592"/>
        <v>17.389062159406024</v>
      </c>
      <c r="F2324" s="6">
        <f t="shared" si="591"/>
        <v>8.4745762711864403E-2</v>
      </c>
      <c r="G2324" s="12">
        <f t="shared" si="593"/>
        <v>8.0937840593975352E-2</v>
      </c>
    </row>
    <row r="2325" spans="1:7" x14ac:dyDescent="0.3">
      <c r="A2325" s="11" t="s">
        <v>2190</v>
      </c>
      <c r="B2325" s="7">
        <v>41920</v>
      </c>
      <c r="C2325" s="7">
        <v>17.353000000000002</v>
      </c>
      <c r="D2325" s="2">
        <f t="shared" si="584"/>
        <v>-0.11699999999999733</v>
      </c>
      <c r="E2325" s="8">
        <f t="shared" si="592"/>
        <v>17.304316396694158</v>
      </c>
      <c r="F2325" s="6">
        <f t="shared" si="591"/>
        <v>8.4745762711864403E-2</v>
      </c>
      <c r="G2325" s="12">
        <f t="shared" si="593"/>
        <v>4.8683603305843093E-2</v>
      </c>
    </row>
    <row r="2326" spans="1:7" x14ac:dyDescent="0.3">
      <c r="A2326" s="11" t="s">
        <v>2191</v>
      </c>
      <c r="B2326" s="7">
        <v>41940</v>
      </c>
      <c r="C2326" s="7">
        <v>17.282</v>
      </c>
      <c r="D2326" s="2">
        <f t="shared" si="584"/>
        <v>-7.1000000000001506E-2</v>
      </c>
      <c r="E2326" s="8">
        <f t="shared" si="592"/>
        <v>17.219570633982293</v>
      </c>
      <c r="F2326" s="6">
        <f t="shared" si="591"/>
        <v>8.4745762711864403E-2</v>
      </c>
      <c r="G2326" s="12">
        <f t="shared" si="593"/>
        <v>6.2429366017706656E-2</v>
      </c>
    </row>
    <row r="2327" spans="1:7" x14ac:dyDescent="0.3">
      <c r="A2327" s="13" t="s">
        <v>2192</v>
      </c>
      <c r="B2327" s="24"/>
      <c r="C2327" s="25"/>
      <c r="D2327" s="25"/>
      <c r="E2327" s="25"/>
      <c r="F2327" s="25"/>
      <c r="G2327" s="26"/>
    </row>
    <row r="2328" spans="1:7" x14ac:dyDescent="0.3">
      <c r="A2328" s="11" t="s">
        <v>2193</v>
      </c>
      <c r="B2328" s="7">
        <v>41960</v>
      </c>
      <c r="C2328" s="7">
        <v>17.198</v>
      </c>
      <c r="D2328" s="2">
        <f>C2328-C2326</f>
        <v>-8.3999999999999631E-2</v>
      </c>
      <c r="E2328" s="8">
        <f>E2326-F2326</f>
        <v>17.134824871270428</v>
      </c>
      <c r="F2328" s="6">
        <f>F2326</f>
        <v>8.4745762711864403E-2</v>
      </c>
      <c r="G2328" s="12">
        <f t="shared" si="593"/>
        <v>6.3175128729572094E-2</v>
      </c>
    </row>
    <row r="2329" spans="1:7" x14ac:dyDescent="0.3">
      <c r="A2329" s="11" t="s">
        <v>2194</v>
      </c>
      <c r="B2329" s="7">
        <v>41980</v>
      </c>
      <c r="C2329" s="7">
        <v>17.106000000000002</v>
      </c>
      <c r="D2329" s="2">
        <f t="shared" si="584"/>
        <v>-9.1999999999998749E-2</v>
      </c>
      <c r="E2329" s="8">
        <f t="shared" si="592"/>
        <v>17.050079108558563</v>
      </c>
      <c r="F2329" s="6">
        <f t="shared" si="591"/>
        <v>8.4745762711864403E-2</v>
      </c>
      <c r="G2329" s="12">
        <f t="shared" si="593"/>
        <v>5.5920891441438414E-2</v>
      </c>
    </row>
    <row r="2330" spans="1:7" x14ac:dyDescent="0.3">
      <c r="A2330" s="11" t="s">
        <v>2195</v>
      </c>
      <c r="B2330" s="7">
        <v>42000</v>
      </c>
      <c r="C2330" s="7">
        <v>17.030999999999999</v>
      </c>
      <c r="D2330" s="2">
        <f t="shared" si="584"/>
        <v>-7.5000000000002842E-2</v>
      </c>
      <c r="E2330" s="8">
        <f t="shared" si="592"/>
        <v>16.965333345846698</v>
      </c>
      <c r="F2330" s="6">
        <f t="shared" si="591"/>
        <v>8.4745762711864403E-2</v>
      </c>
      <c r="G2330" s="12">
        <f t="shared" si="593"/>
        <v>6.5666654153300641E-2</v>
      </c>
    </row>
    <row r="2331" spans="1:7" x14ac:dyDescent="0.3">
      <c r="A2331" s="11" t="s">
        <v>2196</v>
      </c>
      <c r="B2331" s="7">
        <v>42020</v>
      </c>
      <c r="C2331" s="7">
        <v>16.949000000000002</v>
      </c>
      <c r="D2331" s="2">
        <f t="shared" si="584"/>
        <v>-8.1999999999997186E-2</v>
      </c>
      <c r="E2331" s="8">
        <f t="shared" si="592"/>
        <v>16.880587583134833</v>
      </c>
      <c r="F2331" s="6">
        <f t="shared" si="591"/>
        <v>8.4745762711864403E-2</v>
      </c>
      <c r="G2331" s="12">
        <f t="shared" si="593"/>
        <v>6.8412416865168524E-2</v>
      </c>
    </row>
    <row r="2332" spans="1:7" x14ac:dyDescent="0.3">
      <c r="A2332" s="11" t="s">
        <v>2197</v>
      </c>
      <c r="B2332" s="7">
        <v>42040</v>
      </c>
      <c r="C2332" s="7">
        <v>16.867999999999999</v>
      </c>
      <c r="D2332" s="2">
        <f t="shared" si="584"/>
        <v>-8.100000000000307E-2</v>
      </c>
      <c r="E2332" s="8">
        <f t="shared" si="592"/>
        <v>16.795841820422968</v>
      </c>
      <c r="F2332" s="6">
        <f t="shared" si="591"/>
        <v>8.4745762711864403E-2</v>
      </c>
      <c r="G2332" s="12">
        <f t="shared" si="593"/>
        <v>7.2158179577030523E-2</v>
      </c>
    </row>
    <row r="2333" spans="1:7" x14ac:dyDescent="0.3">
      <c r="A2333" s="11" t="s">
        <v>2198</v>
      </c>
      <c r="B2333" s="7">
        <v>42060</v>
      </c>
      <c r="C2333" s="7">
        <v>16.768000000000001</v>
      </c>
      <c r="D2333" s="2">
        <f t="shared" si="584"/>
        <v>-9.9999999999997868E-2</v>
      </c>
      <c r="E2333" s="8">
        <f t="shared" si="592"/>
        <v>16.711096057711103</v>
      </c>
      <c r="F2333" s="6">
        <f t="shared" si="591"/>
        <v>8.4745762711864403E-2</v>
      </c>
      <c r="G2333" s="12">
        <f t="shared" si="593"/>
        <v>5.6903942288897724E-2</v>
      </c>
    </row>
    <row r="2334" spans="1:7" x14ac:dyDescent="0.3">
      <c r="A2334" s="11" t="s">
        <v>2199</v>
      </c>
      <c r="B2334" s="7">
        <v>42080</v>
      </c>
      <c r="C2334" s="7">
        <v>16.707999999999998</v>
      </c>
      <c r="D2334" s="2">
        <f t="shared" si="584"/>
        <v>-6.0000000000002274E-2</v>
      </c>
      <c r="E2334" s="8">
        <f t="shared" si="592"/>
        <v>16.626350294999238</v>
      </c>
      <c r="F2334" s="6">
        <f t="shared" si="591"/>
        <v>8.4745762711864403E-2</v>
      </c>
      <c r="G2334" s="12">
        <f t="shared" si="593"/>
        <v>8.164970500076052E-2</v>
      </c>
    </row>
    <row r="2335" spans="1:7" x14ac:dyDescent="0.3">
      <c r="A2335" s="11" t="s">
        <v>2200</v>
      </c>
      <c r="B2335" s="7">
        <v>42100</v>
      </c>
      <c r="C2335" s="7">
        <v>16.673999999999999</v>
      </c>
      <c r="D2335" s="2">
        <f t="shared" si="584"/>
        <v>-3.399999999999892E-2</v>
      </c>
      <c r="E2335" s="8">
        <f t="shared" si="592"/>
        <v>16.541604532287373</v>
      </c>
      <c r="F2335" s="6">
        <f t="shared" si="591"/>
        <v>8.4745762711864403E-2</v>
      </c>
      <c r="G2335" s="12">
        <f t="shared" si="593"/>
        <v>0.13239546771262667</v>
      </c>
    </row>
    <row r="2336" spans="1:7" x14ac:dyDescent="0.3">
      <c r="A2336" s="11" t="s">
        <v>2201</v>
      </c>
      <c r="B2336" s="7">
        <v>42120</v>
      </c>
      <c r="C2336" s="7">
        <v>16.564</v>
      </c>
      <c r="D2336" s="2">
        <f t="shared" si="584"/>
        <v>-0.10999999999999943</v>
      </c>
      <c r="E2336" s="8">
        <f t="shared" si="592"/>
        <v>16.456858769575508</v>
      </c>
      <c r="F2336" s="6">
        <f t="shared" si="591"/>
        <v>8.4745762711864403E-2</v>
      </c>
      <c r="G2336" s="12">
        <f t="shared" si="593"/>
        <v>0.10714123042449231</v>
      </c>
    </row>
    <row r="2337" spans="1:18" x14ac:dyDescent="0.3">
      <c r="A2337" s="11" t="s">
        <v>2202</v>
      </c>
      <c r="B2337" s="7">
        <v>42140</v>
      </c>
      <c r="C2337" s="7">
        <v>16.478999999999999</v>
      </c>
      <c r="D2337" s="2">
        <f t="shared" si="584"/>
        <v>-8.5000000000000853E-2</v>
      </c>
      <c r="E2337" s="8">
        <f t="shared" si="592"/>
        <v>16.372113006863643</v>
      </c>
      <c r="F2337" s="6">
        <f t="shared" si="591"/>
        <v>8.4745762711864403E-2</v>
      </c>
      <c r="G2337" s="12">
        <f t="shared" si="593"/>
        <v>0.10688699313635652</v>
      </c>
    </row>
    <row r="2338" spans="1:18" x14ac:dyDescent="0.3">
      <c r="A2338" s="11" t="s">
        <v>2203</v>
      </c>
      <c r="B2338" s="7">
        <v>42160</v>
      </c>
      <c r="C2338" s="7">
        <v>16.388999999999999</v>
      </c>
      <c r="D2338" s="2">
        <f t="shared" si="584"/>
        <v>-8.9999999999999858E-2</v>
      </c>
      <c r="E2338" s="8">
        <f t="shared" si="592"/>
        <v>16.287367244151778</v>
      </c>
      <c r="F2338" s="6">
        <f t="shared" si="591"/>
        <v>8.4745762711864403E-2</v>
      </c>
      <c r="G2338" s="12">
        <f t="shared" si="593"/>
        <v>0.10163275584822173</v>
      </c>
    </row>
    <row r="2339" spans="1:18" x14ac:dyDescent="0.3">
      <c r="A2339" s="11" t="s">
        <v>2204</v>
      </c>
      <c r="B2339" s="7">
        <v>42180</v>
      </c>
      <c r="C2339" s="7">
        <v>16.315999999999999</v>
      </c>
      <c r="D2339" s="2">
        <f t="shared" si="584"/>
        <v>-7.3000000000000398E-2</v>
      </c>
      <c r="E2339" s="8">
        <f t="shared" si="592"/>
        <v>16.202621481439913</v>
      </c>
      <c r="F2339" s="6">
        <f t="shared" si="591"/>
        <v>8.4745762711864403E-2</v>
      </c>
      <c r="G2339" s="12">
        <f t="shared" si="593"/>
        <v>0.11337851856008641</v>
      </c>
    </row>
    <row r="2340" spans="1:18" x14ac:dyDescent="0.3">
      <c r="A2340" s="11" t="s">
        <v>2205</v>
      </c>
      <c r="B2340" s="7">
        <v>42200</v>
      </c>
      <c r="C2340" s="7">
        <v>16.253</v>
      </c>
      <c r="D2340" s="2">
        <f t="shared" si="584"/>
        <v>-6.2999999999998835E-2</v>
      </c>
      <c r="E2340" s="8">
        <f t="shared" ref="E2340:E2363" si="594">E2339-F2339</f>
        <v>16.117875718728047</v>
      </c>
      <c r="F2340" s="6">
        <f t="shared" si="591"/>
        <v>8.4745762711864403E-2</v>
      </c>
      <c r="G2340" s="12">
        <f t="shared" ref="G2340:G2363" si="595">C2340-E2340</f>
        <v>0.13512428127195264</v>
      </c>
    </row>
    <row r="2341" spans="1:18" x14ac:dyDescent="0.3">
      <c r="A2341" s="11" t="s">
        <v>2206</v>
      </c>
      <c r="B2341" s="7">
        <v>42220</v>
      </c>
      <c r="C2341" s="7">
        <v>16.186</v>
      </c>
      <c r="D2341" s="2">
        <f t="shared" si="584"/>
        <v>-6.7000000000000171E-2</v>
      </c>
      <c r="E2341" s="8">
        <f t="shared" si="594"/>
        <v>16.033129956016182</v>
      </c>
      <c r="F2341" s="6">
        <f t="shared" si="591"/>
        <v>8.4745762711864403E-2</v>
      </c>
      <c r="G2341" s="12">
        <f t="shared" si="595"/>
        <v>0.15287004398381754</v>
      </c>
    </row>
    <row r="2342" spans="1:18" x14ac:dyDescent="0.3">
      <c r="A2342" s="11" t="s">
        <v>2207</v>
      </c>
      <c r="B2342" s="7">
        <v>42240</v>
      </c>
      <c r="C2342" s="7">
        <v>16.085999999999999</v>
      </c>
      <c r="D2342" s="2">
        <f t="shared" si="584"/>
        <v>-0.10000000000000142</v>
      </c>
      <c r="E2342" s="8">
        <f t="shared" si="594"/>
        <v>15.948384193304317</v>
      </c>
      <c r="F2342" s="6">
        <f t="shared" si="591"/>
        <v>8.4745762711864403E-2</v>
      </c>
      <c r="G2342" s="12">
        <f t="shared" si="595"/>
        <v>0.13761580669568119</v>
      </c>
    </row>
    <row r="2343" spans="1:18" x14ac:dyDescent="0.3">
      <c r="A2343" s="11" t="s">
        <v>2208</v>
      </c>
      <c r="B2343" s="7">
        <v>42260</v>
      </c>
      <c r="C2343" s="7">
        <v>15.984</v>
      </c>
      <c r="D2343" s="2">
        <f t="shared" si="584"/>
        <v>-0.10199999999999854</v>
      </c>
      <c r="E2343" s="8">
        <f t="shared" si="594"/>
        <v>15.863638430592452</v>
      </c>
      <c r="F2343" s="6">
        <f t="shared" si="591"/>
        <v>8.4745762711864403E-2</v>
      </c>
      <c r="G2343" s="12">
        <f t="shared" si="595"/>
        <v>0.12036156940754772</v>
      </c>
    </row>
    <row r="2344" spans="1:18" x14ac:dyDescent="0.3">
      <c r="A2344" s="11" t="s">
        <v>2209</v>
      </c>
      <c r="B2344" s="7">
        <v>42280</v>
      </c>
      <c r="C2344" s="7">
        <v>15.882</v>
      </c>
      <c r="D2344" s="2">
        <f t="shared" ref="D2344:D2411" si="596">C2344-C2343</f>
        <v>-0.10200000000000031</v>
      </c>
      <c r="E2344" s="8">
        <f t="shared" si="594"/>
        <v>15.778892667880587</v>
      </c>
      <c r="F2344" s="6">
        <f t="shared" si="591"/>
        <v>8.4745762711864403E-2</v>
      </c>
      <c r="G2344" s="12">
        <f t="shared" si="595"/>
        <v>0.10310733211941248</v>
      </c>
    </row>
    <row r="2345" spans="1:18" x14ac:dyDescent="0.3">
      <c r="A2345" s="11" t="s">
        <v>2210</v>
      </c>
      <c r="B2345" s="7">
        <v>42300</v>
      </c>
      <c r="C2345" s="7">
        <v>15.798</v>
      </c>
      <c r="D2345" s="2">
        <f t="shared" si="596"/>
        <v>-8.3999999999999631E-2</v>
      </c>
      <c r="E2345" s="8">
        <f t="shared" si="594"/>
        <v>15.694146905168722</v>
      </c>
      <c r="F2345" s="6">
        <f t="shared" si="591"/>
        <v>8.4745762711864403E-2</v>
      </c>
      <c r="G2345" s="12">
        <f t="shared" si="595"/>
        <v>0.10385309483127791</v>
      </c>
    </row>
    <row r="2346" spans="1:18" x14ac:dyDescent="0.3">
      <c r="A2346" s="11" t="s">
        <v>2211</v>
      </c>
      <c r="B2346" s="7">
        <v>42320</v>
      </c>
      <c r="C2346" s="7">
        <v>15.693</v>
      </c>
      <c r="D2346" s="2">
        <f t="shared" si="596"/>
        <v>-0.10500000000000043</v>
      </c>
      <c r="E2346" s="8">
        <f t="shared" si="594"/>
        <v>15.609401142456857</v>
      </c>
      <c r="F2346" s="6">
        <f t="shared" si="591"/>
        <v>8.4745762711864403E-2</v>
      </c>
      <c r="G2346" s="12">
        <f t="shared" si="595"/>
        <v>8.3598857543142557E-2</v>
      </c>
    </row>
    <row r="2347" spans="1:18" x14ac:dyDescent="0.3">
      <c r="A2347" s="11" t="s">
        <v>2212</v>
      </c>
      <c r="B2347" s="7">
        <v>42340</v>
      </c>
      <c r="C2347" s="7">
        <v>15.603</v>
      </c>
      <c r="D2347" s="2">
        <f t="shared" si="596"/>
        <v>-8.9999999999999858E-2</v>
      </c>
      <c r="E2347" s="8">
        <f t="shared" si="594"/>
        <v>15.524655379744992</v>
      </c>
      <c r="F2347" s="6">
        <f t="shared" si="591"/>
        <v>8.4745762711864403E-2</v>
      </c>
      <c r="G2347" s="12">
        <f t="shared" si="595"/>
        <v>7.8344620255007769E-2</v>
      </c>
    </row>
    <row r="2348" spans="1:18" x14ac:dyDescent="0.3">
      <c r="A2348" s="11" t="s">
        <v>2213</v>
      </c>
      <c r="B2348" s="7">
        <v>42360</v>
      </c>
      <c r="C2348" s="7">
        <v>15.49</v>
      </c>
      <c r="D2348" s="2">
        <f t="shared" si="596"/>
        <v>-0.11299999999999955</v>
      </c>
      <c r="E2348" s="8">
        <f t="shared" si="594"/>
        <v>15.439909617033127</v>
      </c>
      <c r="F2348" s="6">
        <f t="shared" si="591"/>
        <v>8.4745762711864403E-2</v>
      </c>
      <c r="G2348" s="12">
        <f t="shared" si="595"/>
        <v>5.0090382966873293E-2</v>
      </c>
    </row>
    <row r="2349" spans="1:18" x14ac:dyDescent="0.3">
      <c r="A2349" s="11" t="s">
        <v>2214</v>
      </c>
      <c r="B2349" s="7">
        <v>42380</v>
      </c>
      <c r="C2349" s="7">
        <v>15.379</v>
      </c>
      <c r="D2349" s="2">
        <f t="shared" si="596"/>
        <v>-0.11100000000000065</v>
      </c>
      <c r="E2349" s="8">
        <f t="shared" si="594"/>
        <v>15.355163854321262</v>
      </c>
      <c r="F2349" s="6">
        <f t="shared" si="591"/>
        <v>8.4745762711864403E-2</v>
      </c>
      <c r="G2349" s="12">
        <f t="shared" si="595"/>
        <v>2.3836145678737708E-2</v>
      </c>
    </row>
    <row r="2350" spans="1:18" x14ac:dyDescent="0.3">
      <c r="A2350" s="11" t="s">
        <v>2215</v>
      </c>
      <c r="B2350" s="7">
        <v>42400</v>
      </c>
      <c r="C2350" s="7">
        <v>15.276999999999999</v>
      </c>
      <c r="D2350" s="2">
        <f t="shared" si="596"/>
        <v>-0.10200000000000031</v>
      </c>
      <c r="E2350" s="8">
        <f t="shared" si="594"/>
        <v>15.270418091609397</v>
      </c>
      <c r="F2350" s="6">
        <f t="shared" si="591"/>
        <v>8.4745762711864403E-2</v>
      </c>
      <c r="G2350" s="12">
        <f t="shared" si="595"/>
        <v>6.5819083906024645E-3</v>
      </c>
    </row>
    <row r="2351" spans="1:18" x14ac:dyDescent="0.3">
      <c r="A2351" s="11" t="s">
        <v>2216</v>
      </c>
      <c r="B2351" s="7">
        <v>42420</v>
      </c>
      <c r="C2351" s="7">
        <v>15.189</v>
      </c>
      <c r="D2351" s="2">
        <f t="shared" si="596"/>
        <v>-8.799999999999919E-2</v>
      </c>
      <c r="E2351" s="8">
        <f t="shared" si="594"/>
        <v>15.185672328897532</v>
      </c>
      <c r="F2351" s="6">
        <f t="shared" si="591"/>
        <v>8.4745762711864403E-2</v>
      </c>
      <c r="G2351" s="12">
        <f t="shared" si="595"/>
        <v>3.3276711024683436E-3</v>
      </c>
    </row>
    <row r="2352" spans="1:18" x14ac:dyDescent="0.3">
      <c r="A2352" s="21"/>
      <c r="B2352" s="22"/>
      <c r="C2352" s="22"/>
      <c r="D2352" s="22"/>
      <c r="E2352" s="22"/>
      <c r="F2352" s="22"/>
      <c r="G2352" s="23"/>
      <c r="H2352" s="4" t="s">
        <v>34</v>
      </c>
      <c r="J2352" s="4"/>
      <c r="O2352" s="3">
        <f>1/O2353</f>
        <v>5.5248618784530384E-3</v>
      </c>
      <c r="P2352" s="3">
        <f>O2352*20</f>
        <v>0.11049723756906077</v>
      </c>
      <c r="Q2352" s="3" t="s">
        <v>3200</v>
      </c>
      <c r="R2352" s="3">
        <v>181</v>
      </c>
    </row>
    <row r="2353" spans="1:15" x14ac:dyDescent="0.3">
      <c r="A2353" s="11" t="s">
        <v>2217</v>
      </c>
      <c r="B2353" s="7">
        <v>42440</v>
      </c>
      <c r="C2353" s="7">
        <v>15.047000000000001</v>
      </c>
      <c r="D2353" s="2">
        <f>C2353-C2351</f>
        <v>-0.14199999999999946</v>
      </c>
      <c r="E2353" s="8">
        <f>E2351-F2353</f>
        <v>15.075175091328472</v>
      </c>
      <c r="F2353" s="6">
        <f>P2352</f>
        <v>0.11049723756906077</v>
      </c>
      <c r="G2353" s="12">
        <f>C2353-E2353</f>
        <v>-2.8175091328471069E-2</v>
      </c>
      <c r="H2353" s="3">
        <f>B2351</f>
        <v>42420</v>
      </c>
      <c r="I2353" s="3">
        <f>B2376</f>
        <v>42900</v>
      </c>
      <c r="J2353" s="3">
        <f>I2353-H2353</f>
        <v>480</v>
      </c>
      <c r="K2353" s="5">
        <f>E2351</f>
        <v>15.185672328897532</v>
      </c>
      <c r="L2353" s="3">
        <f>C2376</f>
        <v>12.54</v>
      </c>
      <c r="M2353" s="5">
        <f>L2353-K2353</f>
        <v>-2.6456723288975326</v>
      </c>
      <c r="N2353" s="3">
        <f>J2353/M2353</f>
        <v>-181.42836312613923</v>
      </c>
      <c r="O2353" s="3">
        <v>181</v>
      </c>
    </row>
    <row r="2354" spans="1:15" x14ac:dyDescent="0.3">
      <c r="A2354" s="11" t="s">
        <v>2218</v>
      </c>
      <c r="B2354" s="7">
        <v>42460</v>
      </c>
      <c r="C2354" s="7">
        <v>14.919</v>
      </c>
      <c r="D2354" s="2">
        <f t="shared" si="596"/>
        <v>-0.12800000000000011</v>
      </c>
      <c r="E2354" s="8">
        <f>E2353-F2353</f>
        <v>14.964677853759412</v>
      </c>
      <c r="F2354" s="6">
        <f t="shared" ref="F2354" si="597">F2353</f>
        <v>0.11049723756906077</v>
      </c>
      <c r="G2354" s="12">
        <f t="shared" ref="G2354" si="598">C2354-E2354</f>
        <v>-4.5677853759411136E-2</v>
      </c>
    </row>
    <row r="2355" spans="1:15" x14ac:dyDescent="0.3">
      <c r="A2355" s="11" t="s">
        <v>2219</v>
      </c>
      <c r="B2355" s="7">
        <v>42480</v>
      </c>
      <c r="C2355" s="7">
        <v>14.787000000000001</v>
      </c>
      <c r="D2355" s="2">
        <f t="shared" si="596"/>
        <v>-0.13199999999999967</v>
      </c>
      <c r="E2355" s="8">
        <f t="shared" si="594"/>
        <v>14.854180616190352</v>
      </c>
      <c r="F2355" s="6">
        <f t="shared" si="591"/>
        <v>0.11049723756906077</v>
      </c>
      <c r="G2355" s="12">
        <f t="shared" si="595"/>
        <v>-6.7180616190350761E-2</v>
      </c>
    </row>
    <row r="2356" spans="1:15" x14ac:dyDescent="0.3">
      <c r="A2356" s="11" t="s">
        <v>2220</v>
      </c>
      <c r="B2356" s="7">
        <v>42500</v>
      </c>
      <c r="C2356" s="7">
        <v>14.666</v>
      </c>
      <c r="D2356" s="2">
        <f t="shared" si="596"/>
        <v>-0.12100000000000044</v>
      </c>
      <c r="E2356" s="8">
        <f t="shared" si="594"/>
        <v>14.743683378621292</v>
      </c>
      <c r="F2356" s="6">
        <f t="shared" si="591"/>
        <v>0.11049723756906077</v>
      </c>
      <c r="G2356" s="12">
        <f t="shared" si="595"/>
        <v>-7.7683378621291155E-2</v>
      </c>
    </row>
    <row r="2357" spans="1:15" x14ac:dyDescent="0.3">
      <c r="A2357" s="11" t="s">
        <v>2221</v>
      </c>
      <c r="B2357" s="7">
        <v>42520</v>
      </c>
      <c r="C2357" s="7">
        <v>14.573</v>
      </c>
      <c r="D2357" s="2">
        <f t="shared" si="596"/>
        <v>-9.2999999999999972E-2</v>
      </c>
      <c r="E2357" s="8">
        <f t="shared" si="594"/>
        <v>14.633186141052231</v>
      </c>
      <c r="F2357" s="6">
        <f t="shared" si="591"/>
        <v>0.11049723756906077</v>
      </c>
      <c r="G2357" s="12">
        <f t="shared" si="595"/>
        <v>-6.0186141052231079E-2</v>
      </c>
    </row>
    <row r="2358" spans="1:15" x14ac:dyDescent="0.3">
      <c r="A2358" s="11" t="s">
        <v>2222</v>
      </c>
      <c r="B2358" s="7">
        <v>42540</v>
      </c>
      <c r="C2358" s="7">
        <v>14.461</v>
      </c>
      <c r="D2358" s="2">
        <f t="shared" si="596"/>
        <v>-0.1120000000000001</v>
      </c>
      <c r="E2358" s="8">
        <f t="shared" si="594"/>
        <v>14.522688903483171</v>
      </c>
      <c r="F2358" s="6">
        <f t="shared" si="591"/>
        <v>0.11049723756906077</v>
      </c>
      <c r="G2358" s="12">
        <f t="shared" si="595"/>
        <v>-6.1688903483171131E-2</v>
      </c>
    </row>
    <row r="2359" spans="1:15" x14ac:dyDescent="0.3">
      <c r="A2359" s="11" t="s">
        <v>2223</v>
      </c>
      <c r="B2359" s="7">
        <v>42560</v>
      </c>
      <c r="C2359" s="7">
        <v>14.332000000000001</v>
      </c>
      <c r="D2359" s="2">
        <f t="shared" si="596"/>
        <v>-0.12899999999999956</v>
      </c>
      <c r="E2359" s="8">
        <f t="shared" si="594"/>
        <v>14.412191665914111</v>
      </c>
      <c r="F2359" s="6">
        <f t="shared" si="591"/>
        <v>0.11049723756906077</v>
      </c>
      <c r="G2359" s="12">
        <f t="shared" si="595"/>
        <v>-8.0191665914110644E-2</v>
      </c>
    </row>
    <row r="2360" spans="1:15" x14ac:dyDescent="0.3">
      <c r="A2360" s="11" t="s">
        <v>2224</v>
      </c>
      <c r="B2360" s="7">
        <v>42580</v>
      </c>
      <c r="C2360" s="7">
        <v>14.239000000000001</v>
      </c>
      <c r="D2360" s="2">
        <f t="shared" si="596"/>
        <v>-9.2999999999999972E-2</v>
      </c>
      <c r="E2360" s="8">
        <f t="shared" si="594"/>
        <v>14.301694428345051</v>
      </c>
      <c r="F2360" s="6">
        <f t="shared" si="591"/>
        <v>0.11049723756906077</v>
      </c>
      <c r="G2360" s="12">
        <f t="shared" si="595"/>
        <v>-6.2694428345050568E-2</v>
      </c>
    </row>
    <row r="2361" spans="1:15" x14ac:dyDescent="0.3">
      <c r="A2361" s="11" t="s">
        <v>2225</v>
      </c>
      <c r="B2361" s="7">
        <v>42600</v>
      </c>
      <c r="C2361" s="7">
        <v>14.135</v>
      </c>
      <c r="D2361" s="2">
        <f t="shared" si="596"/>
        <v>-0.10400000000000098</v>
      </c>
      <c r="E2361" s="8">
        <f t="shared" si="594"/>
        <v>14.191197190775991</v>
      </c>
      <c r="F2361" s="6">
        <f t="shared" si="591"/>
        <v>0.11049723756906077</v>
      </c>
      <c r="G2361" s="12">
        <f t="shared" si="595"/>
        <v>-5.6197190775991501E-2</v>
      </c>
    </row>
    <row r="2362" spans="1:15" x14ac:dyDescent="0.3">
      <c r="A2362" s="11" t="s">
        <v>2226</v>
      </c>
      <c r="B2362" s="7">
        <v>42620</v>
      </c>
      <c r="C2362" s="7">
        <v>14.045999999999999</v>
      </c>
      <c r="D2362" s="2">
        <f t="shared" si="596"/>
        <v>-8.9000000000000412E-2</v>
      </c>
      <c r="E2362" s="8">
        <f t="shared" si="594"/>
        <v>14.080699953206931</v>
      </c>
      <c r="F2362" s="6">
        <f t="shared" si="591"/>
        <v>0.11049723756906077</v>
      </c>
      <c r="G2362" s="12">
        <f t="shared" si="595"/>
        <v>-3.4699953206931866E-2</v>
      </c>
    </row>
    <row r="2363" spans="1:15" x14ac:dyDescent="0.3">
      <c r="A2363" s="11" t="s">
        <v>2227</v>
      </c>
      <c r="B2363" s="7">
        <v>42640</v>
      </c>
      <c r="C2363" s="7">
        <v>13.957000000000001</v>
      </c>
      <c r="D2363" s="2">
        <f t="shared" si="596"/>
        <v>-8.8999999999998636E-2</v>
      </c>
      <c r="E2363" s="8">
        <f t="shared" si="594"/>
        <v>13.970202715637871</v>
      </c>
      <c r="F2363" s="6">
        <f t="shared" si="591"/>
        <v>0.11049723756906077</v>
      </c>
      <c r="G2363" s="12">
        <f t="shared" si="595"/>
        <v>-1.3202715637870455E-2</v>
      </c>
    </row>
    <row r="2364" spans="1:15" x14ac:dyDescent="0.3">
      <c r="A2364" s="11" t="s">
        <v>2228</v>
      </c>
      <c r="B2364" s="7">
        <v>42660</v>
      </c>
      <c r="C2364" s="7">
        <v>13.882999999999999</v>
      </c>
      <c r="D2364" s="2">
        <f t="shared" si="596"/>
        <v>-7.400000000000162E-2</v>
      </c>
      <c r="E2364" s="8">
        <f t="shared" ref="E2364:E2385" si="599">E2363-F2363</f>
        <v>13.859705478068811</v>
      </c>
      <c r="F2364" s="6">
        <f t="shared" si="591"/>
        <v>0.11049723756906077</v>
      </c>
      <c r="G2364" s="12">
        <f t="shared" ref="G2364:G2385" si="600">C2364-E2364</f>
        <v>2.3294521931187973E-2</v>
      </c>
    </row>
    <row r="2365" spans="1:15" x14ac:dyDescent="0.3">
      <c r="A2365" s="11" t="s">
        <v>2229</v>
      </c>
      <c r="B2365" s="7">
        <v>42680</v>
      </c>
      <c r="C2365" s="7">
        <v>13.791</v>
      </c>
      <c r="D2365" s="2">
        <f t="shared" si="596"/>
        <v>-9.1999999999998749E-2</v>
      </c>
      <c r="E2365" s="8">
        <f t="shared" si="599"/>
        <v>13.749208240499751</v>
      </c>
      <c r="F2365" s="6">
        <f t="shared" si="591"/>
        <v>0.11049723756906077</v>
      </c>
      <c r="G2365" s="12">
        <f t="shared" si="600"/>
        <v>4.179175950024927E-2</v>
      </c>
    </row>
    <row r="2366" spans="1:15" x14ac:dyDescent="0.3">
      <c r="A2366" s="11" t="s">
        <v>2230</v>
      </c>
      <c r="B2366" s="7">
        <v>42700</v>
      </c>
      <c r="C2366" s="7">
        <v>13.657999999999999</v>
      </c>
      <c r="D2366" s="2">
        <f t="shared" si="596"/>
        <v>-0.1330000000000009</v>
      </c>
      <c r="E2366" s="8">
        <f t="shared" si="599"/>
        <v>13.638711002930691</v>
      </c>
      <c r="F2366" s="6">
        <f t="shared" si="591"/>
        <v>0.11049723756906077</v>
      </c>
      <c r="G2366" s="12">
        <f t="shared" si="600"/>
        <v>1.9288997069308422E-2</v>
      </c>
    </row>
    <row r="2367" spans="1:15" x14ac:dyDescent="0.3">
      <c r="A2367" s="11" t="s">
        <v>2231</v>
      </c>
      <c r="B2367" s="7">
        <v>42720</v>
      </c>
      <c r="C2367" s="7">
        <v>13.483000000000001</v>
      </c>
      <c r="D2367" s="2">
        <f t="shared" si="596"/>
        <v>-0.17499999999999893</v>
      </c>
      <c r="E2367" s="8">
        <f t="shared" si="599"/>
        <v>13.528213765361631</v>
      </c>
      <c r="F2367" s="6">
        <f t="shared" si="591"/>
        <v>0.11049723756906077</v>
      </c>
      <c r="G2367" s="12">
        <f t="shared" si="600"/>
        <v>-4.5213765361630465E-2</v>
      </c>
    </row>
    <row r="2368" spans="1:15" x14ac:dyDescent="0.3">
      <c r="A2368" s="11" t="s">
        <v>2232</v>
      </c>
      <c r="B2368" s="7">
        <v>42740</v>
      </c>
      <c r="C2368" s="7">
        <v>13.336</v>
      </c>
      <c r="D2368" s="2">
        <f t="shared" si="596"/>
        <v>-0.14700000000000024</v>
      </c>
      <c r="E2368" s="8">
        <f t="shared" si="599"/>
        <v>13.417716527792571</v>
      </c>
      <c r="F2368" s="6">
        <f t="shared" si="591"/>
        <v>0.11049723756906077</v>
      </c>
      <c r="G2368" s="12">
        <f t="shared" si="600"/>
        <v>-8.1716527792570659E-2</v>
      </c>
    </row>
    <row r="2369" spans="1:18" x14ac:dyDescent="0.3">
      <c r="A2369" s="11" t="s">
        <v>2233</v>
      </c>
      <c r="B2369" s="7">
        <v>42760</v>
      </c>
      <c r="C2369" s="7">
        <v>13.212999999999999</v>
      </c>
      <c r="D2369" s="2">
        <f t="shared" si="596"/>
        <v>-0.12300000000000111</v>
      </c>
      <c r="E2369" s="8">
        <f t="shared" si="599"/>
        <v>13.307219290223511</v>
      </c>
      <c r="F2369" s="6">
        <f t="shared" si="591"/>
        <v>0.11049723756906077</v>
      </c>
      <c r="G2369" s="12">
        <f t="shared" si="600"/>
        <v>-9.421929022351172E-2</v>
      </c>
    </row>
    <row r="2370" spans="1:18" x14ac:dyDescent="0.3">
      <c r="A2370" s="11" t="s">
        <v>2234</v>
      </c>
      <c r="B2370" s="7">
        <v>42780</v>
      </c>
      <c r="C2370" s="7">
        <v>13.102</v>
      </c>
      <c r="D2370" s="2">
        <f t="shared" si="596"/>
        <v>-0.11099999999999888</v>
      </c>
      <c r="E2370" s="8">
        <f t="shared" si="599"/>
        <v>13.196722052654451</v>
      </c>
      <c r="F2370" s="6">
        <f t="shared" si="591"/>
        <v>0.11049723756906077</v>
      </c>
      <c r="G2370" s="12">
        <f t="shared" si="600"/>
        <v>-9.472205265445055E-2</v>
      </c>
    </row>
    <row r="2371" spans="1:18" x14ac:dyDescent="0.3">
      <c r="A2371" s="11" t="s">
        <v>2235</v>
      </c>
      <c r="B2371" s="7">
        <v>42800</v>
      </c>
      <c r="C2371" s="7">
        <v>13.015000000000001</v>
      </c>
      <c r="D2371" s="2">
        <f t="shared" si="596"/>
        <v>-8.6999999999999744E-2</v>
      </c>
      <c r="E2371" s="8">
        <f t="shared" si="599"/>
        <v>13.086224815085391</v>
      </c>
      <c r="F2371" s="6">
        <f t="shared" si="591"/>
        <v>0.11049723756906077</v>
      </c>
      <c r="G2371" s="12">
        <f t="shared" si="600"/>
        <v>-7.1224815085390247E-2</v>
      </c>
    </row>
    <row r="2372" spans="1:18" x14ac:dyDescent="0.3">
      <c r="A2372" s="11" t="s">
        <v>2236</v>
      </c>
      <c r="B2372" s="7">
        <v>42820</v>
      </c>
      <c r="C2372" s="7">
        <v>12.962</v>
      </c>
      <c r="D2372" s="2">
        <f t="shared" si="596"/>
        <v>-5.3000000000000824E-2</v>
      </c>
      <c r="E2372" s="8">
        <f t="shared" si="599"/>
        <v>12.975727577516331</v>
      </c>
      <c r="F2372" s="6">
        <f t="shared" si="591"/>
        <v>0.11049723756906077</v>
      </c>
      <c r="G2372" s="12">
        <f t="shared" si="600"/>
        <v>-1.3727577516331024E-2</v>
      </c>
    </row>
    <row r="2373" spans="1:18" x14ac:dyDescent="0.3">
      <c r="A2373" s="11" t="s">
        <v>2237</v>
      </c>
      <c r="B2373" s="7">
        <v>42840</v>
      </c>
      <c r="C2373" s="7">
        <v>12.816000000000001</v>
      </c>
      <c r="D2373" s="2">
        <f t="shared" si="596"/>
        <v>-0.14599999999999902</v>
      </c>
      <c r="E2373" s="8">
        <f t="shared" si="599"/>
        <v>12.865230339947271</v>
      </c>
      <c r="F2373" s="6">
        <f t="shared" si="591"/>
        <v>0.11049723756906077</v>
      </c>
      <c r="G2373" s="12">
        <f t="shared" si="600"/>
        <v>-4.9230339947269997E-2</v>
      </c>
    </row>
    <row r="2374" spans="1:18" x14ac:dyDescent="0.3">
      <c r="A2374" s="11" t="s">
        <v>2238</v>
      </c>
      <c r="B2374" s="7">
        <v>42860</v>
      </c>
      <c r="C2374" s="7">
        <v>12.734</v>
      </c>
      <c r="D2374" s="2">
        <f t="shared" si="596"/>
        <v>-8.2000000000000739E-2</v>
      </c>
      <c r="E2374" s="8">
        <f t="shared" si="599"/>
        <v>12.754733102378211</v>
      </c>
      <c r="F2374" s="6">
        <f t="shared" si="591"/>
        <v>0.11049723756906077</v>
      </c>
      <c r="G2374" s="12">
        <f t="shared" si="600"/>
        <v>-2.0733102378210688E-2</v>
      </c>
    </row>
    <row r="2375" spans="1:18" x14ac:dyDescent="0.3">
      <c r="A2375" s="11" t="s">
        <v>2239</v>
      </c>
      <c r="B2375" s="7">
        <v>42880</v>
      </c>
      <c r="C2375" s="7">
        <v>12.664</v>
      </c>
      <c r="D2375" s="2">
        <f t="shared" si="596"/>
        <v>-7.0000000000000284E-2</v>
      </c>
      <c r="E2375" s="8">
        <f t="shared" si="599"/>
        <v>12.644235864809151</v>
      </c>
      <c r="F2375" s="6">
        <f t="shared" si="591"/>
        <v>0.11049723756906077</v>
      </c>
      <c r="G2375" s="12">
        <f t="shared" si="600"/>
        <v>1.9764135190849075E-2</v>
      </c>
    </row>
    <row r="2376" spans="1:18" x14ac:dyDescent="0.3">
      <c r="A2376" s="11" t="s">
        <v>2240</v>
      </c>
      <c r="B2376" s="7">
        <v>42900</v>
      </c>
      <c r="C2376" s="7">
        <v>12.54</v>
      </c>
      <c r="D2376" s="2">
        <f>C2376-C2375</f>
        <v>-0.12400000000000055</v>
      </c>
      <c r="E2376" s="8">
        <f>E2375-F2375</f>
        <v>12.533738627240091</v>
      </c>
      <c r="F2376" s="6">
        <f>F2375</f>
        <v>0.11049723756906077</v>
      </c>
      <c r="G2376" s="12">
        <f t="shared" si="600"/>
        <v>6.2613727599085678E-3</v>
      </c>
    </row>
    <row r="2377" spans="1:18" x14ac:dyDescent="0.3">
      <c r="A2377" s="21"/>
      <c r="B2377" s="22"/>
      <c r="C2377" s="22"/>
      <c r="D2377" s="22"/>
      <c r="E2377" s="22"/>
      <c r="F2377" s="22"/>
      <c r="G2377" s="23"/>
      <c r="H2377" s="4" t="s">
        <v>35</v>
      </c>
      <c r="J2377" s="4"/>
      <c r="O2377" s="3">
        <f>1/O2378</f>
        <v>2.1881838074398249E-3</v>
      </c>
      <c r="P2377" s="3">
        <f>O2377*20</f>
        <v>4.3763676148796497E-2</v>
      </c>
      <c r="Q2377" s="3" t="s">
        <v>3200</v>
      </c>
      <c r="R2377" s="3">
        <v>457</v>
      </c>
    </row>
    <row r="2378" spans="1:18" x14ac:dyDescent="0.3">
      <c r="A2378" s="11" t="s">
        <v>2241</v>
      </c>
      <c r="B2378" s="7">
        <v>42920</v>
      </c>
      <c r="C2378" s="7">
        <v>12.473000000000001</v>
      </c>
      <c r="D2378" s="2">
        <f>C2378-C2376</f>
        <v>-6.6999999999998394E-2</v>
      </c>
      <c r="E2378" s="8">
        <f>E2376-F2378</f>
        <v>12.489974951091295</v>
      </c>
      <c r="F2378" s="6">
        <f>P2377</f>
        <v>4.3763676148796497E-2</v>
      </c>
      <c r="G2378" s="12">
        <f>C2378-E2378</f>
        <v>-1.6974951091293988E-2</v>
      </c>
      <c r="H2378" s="3">
        <f>B2376</f>
        <v>42900</v>
      </c>
      <c r="I2378" s="3">
        <f>B2398</f>
        <v>43300</v>
      </c>
      <c r="J2378" s="3">
        <f>I2378-H2378</f>
        <v>400</v>
      </c>
      <c r="K2378" s="5">
        <f>E2376</f>
        <v>12.533738627240091</v>
      </c>
      <c r="L2378" s="3">
        <f>C2398</f>
        <v>11.659000000000001</v>
      </c>
      <c r="M2378" s="5">
        <f>L2378-K2378</f>
        <v>-0.87473862724008988</v>
      </c>
      <c r="N2378" s="3">
        <f>J2378/M2378</f>
        <v>-457.27945187701403</v>
      </c>
      <c r="O2378" s="3">
        <v>457</v>
      </c>
    </row>
    <row r="2379" spans="1:18" x14ac:dyDescent="0.3">
      <c r="A2379" s="11" t="s">
        <v>2242</v>
      </c>
      <c r="B2379" s="7">
        <v>42940</v>
      </c>
      <c r="C2379" s="7">
        <v>12.381</v>
      </c>
      <c r="D2379" s="2">
        <f t="shared" si="596"/>
        <v>-9.2000000000000526E-2</v>
      </c>
      <c r="E2379" s="8">
        <f>E2378-F2378</f>
        <v>12.446211274942499</v>
      </c>
      <c r="F2379" s="6">
        <f t="shared" ref="F2379" si="601">F2378</f>
        <v>4.3763676148796497E-2</v>
      </c>
      <c r="G2379" s="12">
        <f t="shared" ref="G2379" si="602">C2379-E2379</f>
        <v>-6.5211274942498676E-2</v>
      </c>
    </row>
    <row r="2380" spans="1:18" x14ac:dyDescent="0.3">
      <c r="A2380" s="13" t="s">
        <v>2243</v>
      </c>
      <c r="B2380" s="24"/>
      <c r="C2380" s="25"/>
      <c r="D2380" s="25"/>
      <c r="E2380" s="25"/>
      <c r="F2380" s="25"/>
      <c r="G2380" s="26"/>
    </row>
    <row r="2381" spans="1:18" x14ac:dyDescent="0.3">
      <c r="A2381" s="11" t="s">
        <v>2244</v>
      </c>
      <c r="B2381" s="7">
        <v>42960</v>
      </c>
      <c r="C2381" s="7">
        <v>12.32</v>
      </c>
      <c r="D2381" s="2">
        <f>C2381-C2379</f>
        <v>-6.0999999999999943E-2</v>
      </c>
      <c r="E2381" s="8">
        <f>E2379-F2379</f>
        <v>12.402447598793703</v>
      </c>
      <c r="F2381" s="6">
        <f>F2379</f>
        <v>4.3763676148796497E-2</v>
      </c>
      <c r="G2381" s="12">
        <f t="shared" si="600"/>
        <v>-8.2447598793702781E-2</v>
      </c>
    </row>
    <row r="2382" spans="1:18" x14ac:dyDescent="0.3">
      <c r="A2382" s="11" t="s">
        <v>2245</v>
      </c>
      <c r="B2382" s="7">
        <v>42980</v>
      </c>
      <c r="C2382" s="7">
        <v>12.278</v>
      </c>
      <c r="D2382" s="2">
        <f t="shared" si="596"/>
        <v>-4.1999999999999815E-2</v>
      </c>
      <c r="E2382" s="8">
        <f t="shared" si="599"/>
        <v>12.358683922644907</v>
      </c>
      <c r="F2382" s="6">
        <f t="shared" ref="F2382:F2445" si="603">F2381</f>
        <v>4.3763676148796497E-2</v>
      </c>
      <c r="G2382" s="12">
        <f t="shared" si="600"/>
        <v>-8.0683922644906758E-2</v>
      </c>
    </row>
    <row r="2383" spans="1:18" x14ac:dyDescent="0.3">
      <c r="A2383" s="11" t="s">
        <v>2246</v>
      </c>
      <c r="B2383" s="7">
        <v>43000</v>
      </c>
      <c r="C2383" s="7">
        <v>12.222</v>
      </c>
      <c r="D2383" s="2">
        <f t="shared" si="596"/>
        <v>-5.6000000000000938E-2</v>
      </c>
      <c r="E2383" s="8">
        <f t="shared" si="599"/>
        <v>12.314920246496111</v>
      </c>
      <c r="F2383" s="6">
        <f t="shared" si="603"/>
        <v>4.3763676148796497E-2</v>
      </c>
      <c r="G2383" s="12">
        <f t="shared" si="600"/>
        <v>-9.2920246496111858E-2</v>
      </c>
    </row>
    <row r="2384" spans="1:18" x14ac:dyDescent="0.3">
      <c r="A2384" s="11" t="s">
        <v>2247</v>
      </c>
      <c r="B2384" s="7">
        <v>43020</v>
      </c>
      <c r="C2384" s="7">
        <v>12.173999999999999</v>
      </c>
      <c r="D2384" s="2">
        <f t="shared" si="596"/>
        <v>-4.8000000000000043E-2</v>
      </c>
      <c r="E2384" s="8">
        <f t="shared" si="599"/>
        <v>12.271156570347316</v>
      </c>
      <c r="F2384" s="6">
        <f t="shared" si="603"/>
        <v>4.3763676148796497E-2</v>
      </c>
      <c r="G2384" s="12">
        <f t="shared" si="600"/>
        <v>-9.7156570347316062E-2</v>
      </c>
    </row>
    <row r="2385" spans="1:18" x14ac:dyDescent="0.3">
      <c r="A2385" s="11" t="s">
        <v>2248</v>
      </c>
      <c r="B2385" s="7">
        <v>43040</v>
      </c>
      <c r="C2385" s="7">
        <v>12.127000000000001</v>
      </c>
      <c r="D2385" s="2">
        <f t="shared" si="596"/>
        <v>-4.699999999999882E-2</v>
      </c>
      <c r="E2385" s="8">
        <f t="shared" si="599"/>
        <v>12.22739289419852</v>
      </c>
      <c r="F2385" s="6">
        <f t="shared" si="603"/>
        <v>4.3763676148796497E-2</v>
      </c>
      <c r="G2385" s="12">
        <f t="shared" si="600"/>
        <v>-0.10039289419851904</v>
      </c>
    </row>
    <row r="2386" spans="1:18" x14ac:dyDescent="0.3">
      <c r="A2386" s="11" t="s">
        <v>2249</v>
      </c>
      <c r="B2386" s="7">
        <v>43060</v>
      </c>
      <c r="C2386" s="7">
        <v>12.082000000000001</v>
      </c>
      <c r="D2386" s="2">
        <f t="shared" si="596"/>
        <v>-4.4999999999999929E-2</v>
      </c>
      <c r="E2386" s="8">
        <f t="shared" ref="E2386:E2397" si="604">E2385-F2385</f>
        <v>12.183629218049724</v>
      </c>
      <c r="F2386" s="6">
        <f t="shared" si="603"/>
        <v>4.3763676148796497E-2</v>
      </c>
      <c r="G2386" s="12">
        <f t="shared" ref="G2386:G2416" si="605">C2386-E2386</f>
        <v>-0.10162921804972314</v>
      </c>
    </row>
    <row r="2387" spans="1:18" x14ac:dyDescent="0.3">
      <c r="A2387" s="11" t="s">
        <v>2250</v>
      </c>
      <c r="B2387" s="7">
        <v>43080</v>
      </c>
      <c r="C2387" s="7">
        <v>12.05</v>
      </c>
      <c r="D2387" s="2">
        <f t="shared" si="596"/>
        <v>-3.2000000000000028E-2</v>
      </c>
      <c r="E2387" s="8">
        <f t="shared" si="604"/>
        <v>12.139865541900928</v>
      </c>
      <c r="F2387" s="6">
        <f t="shared" si="603"/>
        <v>4.3763676148796497E-2</v>
      </c>
      <c r="G2387" s="12">
        <f t="shared" si="605"/>
        <v>-8.9865541900927326E-2</v>
      </c>
    </row>
    <row r="2388" spans="1:18" x14ac:dyDescent="0.3">
      <c r="A2388" s="11" t="s">
        <v>2251</v>
      </c>
      <c r="B2388" s="7">
        <v>43100</v>
      </c>
      <c r="C2388" s="7">
        <v>11.994</v>
      </c>
      <c r="D2388" s="2">
        <f t="shared" si="596"/>
        <v>-5.6000000000000938E-2</v>
      </c>
      <c r="E2388" s="8">
        <f t="shared" si="604"/>
        <v>12.096101865752132</v>
      </c>
      <c r="F2388" s="6">
        <f t="shared" si="603"/>
        <v>4.3763676148796497E-2</v>
      </c>
      <c r="G2388" s="12">
        <f t="shared" si="605"/>
        <v>-0.10210186575213243</v>
      </c>
    </row>
    <row r="2389" spans="1:18" x14ac:dyDescent="0.3">
      <c r="A2389" s="11" t="s">
        <v>2252</v>
      </c>
      <c r="B2389" s="7">
        <v>43120</v>
      </c>
      <c r="C2389" s="7">
        <v>11.96</v>
      </c>
      <c r="D2389" s="2">
        <f t="shared" si="596"/>
        <v>-3.399999999999892E-2</v>
      </c>
      <c r="E2389" s="8">
        <f t="shared" si="604"/>
        <v>12.052338189603336</v>
      </c>
      <c r="F2389" s="6">
        <f t="shared" si="603"/>
        <v>4.3763676148796497E-2</v>
      </c>
      <c r="G2389" s="12">
        <f t="shared" si="605"/>
        <v>-9.2338189603335508E-2</v>
      </c>
    </row>
    <row r="2390" spans="1:18" x14ac:dyDescent="0.3">
      <c r="A2390" s="11" t="s">
        <v>2253</v>
      </c>
      <c r="B2390" s="7">
        <v>43140</v>
      </c>
      <c r="C2390" s="7">
        <v>11.885</v>
      </c>
      <c r="D2390" s="2">
        <f t="shared" si="596"/>
        <v>-7.5000000000001066E-2</v>
      </c>
      <c r="E2390" s="8">
        <f t="shared" si="604"/>
        <v>12.008574513454541</v>
      </c>
      <c r="F2390" s="6">
        <f t="shared" si="603"/>
        <v>4.3763676148796497E-2</v>
      </c>
      <c r="G2390" s="12">
        <f t="shared" si="605"/>
        <v>-0.12357451345454074</v>
      </c>
    </row>
    <row r="2391" spans="1:18" x14ac:dyDescent="0.3">
      <c r="A2391" s="11" t="s">
        <v>2254</v>
      </c>
      <c r="B2391" s="7">
        <v>43160</v>
      </c>
      <c r="C2391" s="7">
        <v>11.849</v>
      </c>
      <c r="D2391" s="2">
        <f t="shared" si="596"/>
        <v>-3.5999999999999588E-2</v>
      </c>
      <c r="E2391" s="8">
        <f t="shared" si="604"/>
        <v>11.964810837305745</v>
      </c>
      <c r="F2391" s="6">
        <f t="shared" si="603"/>
        <v>4.3763676148796497E-2</v>
      </c>
      <c r="G2391" s="12">
        <f t="shared" si="605"/>
        <v>-0.11581083730574449</v>
      </c>
    </row>
    <row r="2392" spans="1:18" x14ac:dyDescent="0.3">
      <c r="A2392" s="11" t="s">
        <v>2255</v>
      </c>
      <c r="B2392" s="7">
        <v>43180</v>
      </c>
      <c r="C2392" s="7">
        <v>11.84</v>
      </c>
      <c r="D2392" s="2">
        <f t="shared" si="596"/>
        <v>-9.0000000000003411E-3</v>
      </c>
      <c r="E2392" s="8">
        <f t="shared" si="604"/>
        <v>11.921047161156949</v>
      </c>
      <c r="F2392" s="6">
        <f t="shared" si="603"/>
        <v>4.3763676148796497E-2</v>
      </c>
      <c r="G2392" s="12">
        <f t="shared" si="605"/>
        <v>-8.1047161156948988E-2</v>
      </c>
    </row>
    <row r="2393" spans="1:18" x14ac:dyDescent="0.3">
      <c r="A2393" s="11" t="s">
        <v>2256</v>
      </c>
      <c r="B2393" s="7">
        <v>43200</v>
      </c>
      <c r="C2393" s="7">
        <v>11.804</v>
      </c>
      <c r="D2393" s="2">
        <f t="shared" si="596"/>
        <v>-3.5999999999999588E-2</v>
      </c>
      <c r="E2393" s="8">
        <f t="shared" si="604"/>
        <v>11.877283485008153</v>
      </c>
      <c r="F2393" s="6">
        <f t="shared" si="603"/>
        <v>4.3763676148796497E-2</v>
      </c>
      <c r="G2393" s="12">
        <f t="shared" si="605"/>
        <v>-7.3283485008152738E-2</v>
      </c>
    </row>
    <row r="2394" spans="1:18" x14ac:dyDescent="0.3">
      <c r="A2394" s="11" t="s">
        <v>2257</v>
      </c>
      <c r="B2394" s="7">
        <v>43220</v>
      </c>
      <c r="C2394" s="7">
        <v>11.803000000000001</v>
      </c>
      <c r="D2394" s="2">
        <f t="shared" si="596"/>
        <v>-9.9999999999944578E-4</v>
      </c>
      <c r="E2394" s="8">
        <f t="shared" si="604"/>
        <v>11.833519808859357</v>
      </c>
      <c r="F2394" s="6">
        <f t="shared" si="603"/>
        <v>4.3763676148796497E-2</v>
      </c>
      <c r="G2394" s="12">
        <f t="shared" si="605"/>
        <v>-3.0519808859356345E-2</v>
      </c>
    </row>
    <row r="2395" spans="1:18" x14ac:dyDescent="0.3">
      <c r="A2395" s="11" t="s">
        <v>2258</v>
      </c>
      <c r="B2395" s="7">
        <v>43240</v>
      </c>
      <c r="C2395" s="7">
        <v>11.757</v>
      </c>
      <c r="D2395" s="2">
        <f t="shared" si="596"/>
        <v>-4.6000000000001151E-2</v>
      </c>
      <c r="E2395" s="8">
        <f t="shared" si="604"/>
        <v>11.789756132710561</v>
      </c>
      <c r="F2395" s="6">
        <f t="shared" si="603"/>
        <v>4.3763676148796497E-2</v>
      </c>
      <c r="G2395" s="12">
        <f t="shared" si="605"/>
        <v>-3.2756132710561658E-2</v>
      </c>
    </row>
    <row r="2396" spans="1:18" x14ac:dyDescent="0.3">
      <c r="A2396" s="11" t="s">
        <v>2259</v>
      </c>
      <c r="B2396" s="7">
        <v>43260</v>
      </c>
      <c r="C2396" s="7">
        <v>11.772</v>
      </c>
      <c r="D2396" s="2">
        <f t="shared" si="596"/>
        <v>1.5000000000000568E-2</v>
      </c>
      <c r="E2396" s="8">
        <f t="shared" si="604"/>
        <v>11.745992456561765</v>
      </c>
      <c r="F2396" s="6">
        <f t="shared" si="603"/>
        <v>4.3763676148796497E-2</v>
      </c>
      <c r="G2396" s="12">
        <f t="shared" si="605"/>
        <v>2.6007543438234748E-2</v>
      </c>
    </row>
    <row r="2397" spans="1:18" x14ac:dyDescent="0.3">
      <c r="A2397" s="11" t="s">
        <v>2260</v>
      </c>
      <c r="B2397" s="7">
        <v>43280</v>
      </c>
      <c r="C2397" s="7">
        <v>11.702</v>
      </c>
      <c r="D2397" s="2">
        <f t="shared" si="596"/>
        <v>-7.0000000000000284E-2</v>
      </c>
      <c r="E2397" s="8">
        <f t="shared" si="604"/>
        <v>11.70222878041297</v>
      </c>
      <c r="F2397" s="6">
        <f t="shared" si="603"/>
        <v>4.3763676148796497E-2</v>
      </c>
      <c r="G2397" s="12">
        <f t="shared" si="605"/>
        <v>-2.2878041296969798E-4</v>
      </c>
    </row>
    <row r="2398" spans="1:18" x14ac:dyDescent="0.3">
      <c r="A2398" s="11" t="s">
        <v>2261</v>
      </c>
      <c r="B2398" s="7">
        <v>43300</v>
      </c>
      <c r="C2398" s="7">
        <v>11.659000000000001</v>
      </c>
      <c r="D2398" s="2">
        <f t="shared" si="596"/>
        <v>-4.2999999999999261E-2</v>
      </c>
      <c r="E2398" s="8">
        <f>E2397-F2397</f>
        <v>11.658465104264174</v>
      </c>
      <c r="F2398" s="6">
        <f t="shared" si="603"/>
        <v>4.3763676148796497E-2</v>
      </c>
      <c r="G2398" s="12">
        <f t="shared" si="605"/>
        <v>5.348957358268791E-4</v>
      </c>
    </row>
    <row r="2399" spans="1:18" x14ac:dyDescent="0.3">
      <c r="A2399" s="21"/>
      <c r="B2399" s="22"/>
      <c r="C2399" s="22"/>
      <c r="D2399" s="22"/>
      <c r="E2399" s="22"/>
      <c r="F2399" s="22"/>
      <c r="G2399" s="23"/>
      <c r="H2399" s="4" t="s">
        <v>36</v>
      </c>
      <c r="J2399" s="4"/>
      <c r="O2399" s="3">
        <f>1/O2400</f>
        <v>8.7950747581354446E-4</v>
      </c>
      <c r="P2399" s="3">
        <f>O2399*20</f>
        <v>1.759014951627089E-2</v>
      </c>
      <c r="Q2399" s="3" t="s">
        <v>3202</v>
      </c>
      <c r="R2399" s="3">
        <v>1137</v>
      </c>
    </row>
    <row r="2400" spans="1:18" x14ac:dyDescent="0.3">
      <c r="A2400" s="11" t="s">
        <v>2262</v>
      </c>
      <c r="B2400" s="7">
        <v>43320</v>
      </c>
      <c r="C2400" s="7">
        <v>11.679</v>
      </c>
      <c r="D2400" s="2">
        <f>C2400-C2398</f>
        <v>1.9999999999999574E-2</v>
      </c>
      <c r="E2400" s="8">
        <f>E2398+F2400</f>
        <v>11.676055253780445</v>
      </c>
      <c r="F2400" s="6">
        <f>P2399</f>
        <v>1.759014951627089E-2</v>
      </c>
      <c r="G2400" s="12">
        <f>C2400-E2400</f>
        <v>2.9447462195548724E-3</v>
      </c>
      <c r="H2400" s="3">
        <f>B2398</f>
        <v>43300</v>
      </c>
      <c r="I2400" s="3">
        <f>B2420</f>
        <v>43720</v>
      </c>
      <c r="J2400" s="3">
        <f>I2400-H2400</f>
        <v>420</v>
      </c>
      <c r="K2400" s="5">
        <f>E2398</f>
        <v>11.658465104264174</v>
      </c>
      <c r="L2400" s="3">
        <f>C2420</f>
        <v>12.028</v>
      </c>
      <c r="M2400" s="5">
        <f>L2400-K2400</f>
        <v>0.36953489573582665</v>
      </c>
      <c r="N2400" s="3">
        <f>J2400/M2400</f>
        <v>1136.5638396982401</v>
      </c>
      <c r="O2400" s="3">
        <v>1137</v>
      </c>
    </row>
    <row r="2401" spans="1:7" x14ac:dyDescent="0.3">
      <c r="A2401" s="11" t="s">
        <v>2263</v>
      </c>
      <c r="B2401" s="7">
        <v>43340</v>
      </c>
      <c r="C2401" s="7">
        <v>11.657999999999999</v>
      </c>
      <c r="D2401" s="2">
        <f t="shared" si="596"/>
        <v>-2.1000000000000796E-2</v>
      </c>
      <c r="E2401" s="8">
        <f>E2400+F2400</f>
        <v>11.693645403296717</v>
      </c>
      <c r="F2401" s="6">
        <f t="shared" ref="F2401" si="606">F2400</f>
        <v>1.759014951627089E-2</v>
      </c>
      <c r="G2401" s="12">
        <f t="shared" ref="G2401" si="607">C2401-E2401</f>
        <v>-3.5645403296717504E-2</v>
      </c>
    </row>
    <row r="2402" spans="1:7" x14ac:dyDescent="0.3">
      <c r="A2402" s="11" t="s">
        <v>2264</v>
      </c>
      <c r="B2402" s="7">
        <v>43360</v>
      </c>
      <c r="C2402" s="7">
        <v>11.673</v>
      </c>
      <c r="D2402" s="2">
        <f t="shared" si="596"/>
        <v>1.5000000000000568E-2</v>
      </c>
      <c r="E2402" s="8">
        <f t="shared" ref="E2402:E2420" si="608">E2401+F2401</f>
        <v>11.711235552812989</v>
      </c>
      <c r="F2402" s="6">
        <f t="shared" si="603"/>
        <v>1.759014951627089E-2</v>
      </c>
      <c r="G2402" s="12">
        <f t="shared" si="605"/>
        <v>-3.8235552812988516E-2</v>
      </c>
    </row>
    <row r="2403" spans="1:7" x14ac:dyDescent="0.3">
      <c r="A2403" s="11" t="s">
        <v>2265</v>
      </c>
      <c r="B2403" s="7">
        <v>43380</v>
      </c>
      <c r="C2403" s="7">
        <v>11.675000000000001</v>
      </c>
      <c r="D2403" s="2">
        <f t="shared" si="596"/>
        <v>2.0000000000006679E-3</v>
      </c>
      <c r="E2403" s="8">
        <f t="shared" si="608"/>
        <v>11.72882570232926</v>
      </c>
      <c r="F2403" s="6">
        <f t="shared" si="603"/>
        <v>1.759014951627089E-2</v>
      </c>
      <c r="G2403" s="12">
        <f t="shared" si="605"/>
        <v>-5.3825702329259428E-2</v>
      </c>
    </row>
    <row r="2404" spans="1:7" x14ac:dyDescent="0.3">
      <c r="A2404" s="11" t="s">
        <v>2266</v>
      </c>
      <c r="B2404" s="7">
        <v>43400</v>
      </c>
      <c r="C2404" s="7">
        <v>11.706</v>
      </c>
      <c r="D2404" s="2">
        <f t="shared" si="596"/>
        <v>3.0999999999998806E-2</v>
      </c>
      <c r="E2404" s="8">
        <f t="shared" si="608"/>
        <v>11.746415851845532</v>
      </c>
      <c r="F2404" s="6">
        <f t="shared" si="603"/>
        <v>1.759014951627089E-2</v>
      </c>
      <c r="G2404" s="12">
        <f t="shared" si="605"/>
        <v>-4.0415851845532202E-2</v>
      </c>
    </row>
    <row r="2405" spans="1:7" x14ac:dyDescent="0.3">
      <c r="A2405" s="11" t="s">
        <v>2267</v>
      </c>
      <c r="B2405" s="7">
        <v>43420</v>
      </c>
      <c r="C2405" s="7">
        <v>11.702999999999999</v>
      </c>
      <c r="D2405" s="2">
        <f t="shared" si="596"/>
        <v>-3.0000000000001137E-3</v>
      </c>
      <c r="E2405" s="8">
        <f t="shared" si="608"/>
        <v>11.764006001361803</v>
      </c>
      <c r="F2405" s="6">
        <f t="shared" si="603"/>
        <v>1.759014951627089E-2</v>
      </c>
      <c r="G2405" s="12">
        <f t="shared" si="605"/>
        <v>-6.1006001361803897E-2</v>
      </c>
    </row>
    <row r="2406" spans="1:7" x14ac:dyDescent="0.3">
      <c r="A2406" s="11" t="s">
        <v>2268</v>
      </c>
      <c r="B2406" s="7">
        <v>43440</v>
      </c>
      <c r="C2406" s="7">
        <v>11.724</v>
      </c>
      <c r="D2406" s="2">
        <f t="shared" si="596"/>
        <v>2.1000000000000796E-2</v>
      </c>
      <c r="E2406" s="8">
        <f t="shared" si="608"/>
        <v>11.781596150878075</v>
      </c>
      <c r="F2406" s="6">
        <f t="shared" si="603"/>
        <v>1.759014951627089E-2</v>
      </c>
      <c r="G2406" s="12">
        <f t="shared" si="605"/>
        <v>-5.7596150878074681E-2</v>
      </c>
    </row>
    <row r="2407" spans="1:7" x14ac:dyDescent="0.3">
      <c r="A2407" s="11" t="s">
        <v>2269</v>
      </c>
      <c r="B2407" s="7">
        <v>43460</v>
      </c>
      <c r="C2407" s="7">
        <v>11.736000000000001</v>
      </c>
      <c r="D2407" s="2">
        <f t="shared" si="596"/>
        <v>1.2000000000000455E-2</v>
      </c>
      <c r="E2407" s="8">
        <f t="shared" si="608"/>
        <v>11.799186300394346</v>
      </c>
      <c r="F2407" s="6">
        <f t="shared" si="603"/>
        <v>1.759014951627089E-2</v>
      </c>
      <c r="G2407" s="12">
        <f t="shared" si="605"/>
        <v>-6.3186300394345807E-2</v>
      </c>
    </row>
    <row r="2408" spans="1:7" x14ac:dyDescent="0.3">
      <c r="A2408" s="11" t="s">
        <v>2270</v>
      </c>
      <c r="B2408" s="7">
        <v>43480</v>
      </c>
      <c r="C2408" s="7">
        <v>11.722</v>
      </c>
      <c r="D2408" s="2">
        <f t="shared" si="596"/>
        <v>-1.4000000000001123E-2</v>
      </c>
      <c r="E2408" s="8">
        <f t="shared" si="608"/>
        <v>11.816776449910618</v>
      </c>
      <c r="F2408" s="6">
        <f t="shared" si="603"/>
        <v>1.759014951627089E-2</v>
      </c>
      <c r="G2408" s="12">
        <f t="shared" si="605"/>
        <v>-9.477644991061851E-2</v>
      </c>
    </row>
    <row r="2409" spans="1:7" x14ac:dyDescent="0.3">
      <c r="A2409" s="11" t="s">
        <v>2271</v>
      </c>
      <c r="B2409" s="7">
        <v>43500</v>
      </c>
      <c r="C2409" s="7">
        <v>11.736000000000001</v>
      </c>
      <c r="D2409" s="2">
        <f t="shared" si="596"/>
        <v>1.4000000000001123E-2</v>
      </c>
      <c r="E2409" s="8">
        <f t="shared" si="608"/>
        <v>11.83436659942689</v>
      </c>
      <c r="F2409" s="6">
        <f t="shared" si="603"/>
        <v>1.759014951627089E-2</v>
      </c>
      <c r="G2409" s="12">
        <f t="shared" si="605"/>
        <v>-9.8366599426888968E-2</v>
      </c>
    </row>
    <row r="2410" spans="1:7" x14ac:dyDescent="0.3">
      <c r="A2410" s="11" t="s">
        <v>2272</v>
      </c>
      <c r="B2410" s="7">
        <v>43520</v>
      </c>
      <c r="C2410" s="7">
        <v>11.724</v>
      </c>
      <c r="D2410" s="2">
        <f t="shared" si="596"/>
        <v>-1.2000000000000455E-2</v>
      </c>
      <c r="E2410" s="8">
        <f t="shared" si="608"/>
        <v>11.851956748943161</v>
      </c>
      <c r="F2410" s="6">
        <f t="shared" si="603"/>
        <v>1.759014951627089E-2</v>
      </c>
      <c r="G2410" s="12">
        <f t="shared" si="605"/>
        <v>-0.127956748943161</v>
      </c>
    </row>
    <row r="2411" spans="1:7" x14ac:dyDescent="0.3">
      <c r="A2411" s="11" t="s">
        <v>2273</v>
      </c>
      <c r="B2411" s="7">
        <v>43540</v>
      </c>
      <c r="C2411" s="7">
        <v>11.757999999999999</v>
      </c>
      <c r="D2411" s="2">
        <f t="shared" si="596"/>
        <v>3.399999999999892E-2</v>
      </c>
      <c r="E2411" s="8">
        <f t="shared" si="608"/>
        <v>11.869546898459433</v>
      </c>
      <c r="F2411" s="6">
        <f t="shared" si="603"/>
        <v>1.759014951627089E-2</v>
      </c>
      <c r="G2411" s="12">
        <f t="shared" si="605"/>
        <v>-0.11154689845943366</v>
      </c>
    </row>
    <row r="2412" spans="1:7" x14ac:dyDescent="0.3">
      <c r="A2412" s="11" t="s">
        <v>2274</v>
      </c>
      <c r="B2412" s="7">
        <v>43560</v>
      </c>
      <c r="C2412" s="7">
        <v>11.773</v>
      </c>
      <c r="D2412" s="2">
        <f t="shared" ref="D2412:D2479" si="609">C2412-C2411</f>
        <v>1.5000000000000568E-2</v>
      </c>
      <c r="E2412" s="8">
        <f t="shared" si="608"/>
        <v>11.887137047975704</v>
      </c>
      <c r="F2412" s="6">
        <f t="shared" si="603"/>
        <v>1.759014951627089E-2</v>
      </c>
      <c r="G2412" s="12">
        <f t="shared" si="605"/>
        <v>-0.11413704797570468</v>
      </c>
    </row>
    <row r="2413" spans="1:7" x14ac:dyDescent="0.3">
      <c r="A2413" s="11" t="s">
        <v>2275</v>
      </c>
      <c r="B2413" s="7">
        <v>43580</v>
      </c>
      <c r="C2413" s="7">
        <v>11.785</v>
      </c>
      <c r="D2413" s="2">
        <f t="shared" si="609"/>
        <v>1.2000000000000455E-2</v>
      </c>
      <c r="E2413" s="8">
        <f t="shared" si="608"/>
        <v>11.904727197491976</v>
      </c>
      <c r="F2413" s="6">
        <f t="shared" si="603"/>
        <v>1.759014951627089E-2</v>
      </c>
      <c r="G2413" s="12">
        <f t="shared" si="605"/>
        <v>-0.1197271974919758</v>
      </c>
    </row>
    <row r="2414" spans="1:7" x14ac:dyDescent="0.3">
      <c r="A2414" s="11" t="s">
        <v>2276</v>
      </c>
      <c r="B2414" s="7">
        <v>43600</v>
      </c>
      <c r="C2414" s="7">
        <v>11.798</v>
      </c>
      <c r="D2414" s="2">
        <f t="shared" si="609"/>
        <v>1.2999999999999901E-2</v>
      </c>
      <c r="E2414" s="8">
        <f t="shared" si="608"/>
        <v>11.922317347008248</v>
      </c>
      <c r="F2414" s="6">
        <f t="shared" si="603"/>
        <v>1.759014951627089E-2</v>
      </c>
      <c r="G2414" s="12">
        <f t="shared" si="605"/>
        <v>-0.12431734700824748</v>
      </c>
    </row>
    <row r="2415" spans="1:7" x14ac:dyDescent="0.3">
      <c r="A2415" s="11" t="s">
        <v>2277</v>
      </c>
      <c r="B2415" s="7">
        <v>43620</v>
      </c>
      <c r="C2415" s="7">
        <v>11.808</v>
      </c>
      <c r="D2415" s="2">
        <f t="shared" si="609"/>
        <v>9.9999999999997868E-3</v>
      </c>
      <c r="E2415" s="8">
        <f t="shared" si="608"/>
        <v>11.939907496524519</v>
      </c>
      <c r="F2415" s="6">
        <f t="shared" si="603"/>
        <v>1.759014951627089E-2</v>
      </c>
      <c r="G2415" s="12">
        <f t="shared" si="605"/>
        <v>-0.13190749652451927</v>
      </c>
    </row>
    <row r="2416" spans="1:7" x14ac:dyDescent="0.3">
      <c r="A2416" s="11" t="s">
        <v>2278</v>
      </c>
      <c r="B2416" s="7">
        <v>43640</v>
      </c>
      <c r="C2416" s="7">
        <v>11.845000000000001</v>
      </c>
      <c r="D2416" s="2">
        <f t="shared" si="609"/>
        <v>3.700000000000081E-2</v>
      </c>
      <c r="E2416" s="8">
        <f t="shared" si="608"/>
        <v>11.957497646040791</v>
      </c>
      <c r="F2416" s="6">
        <f t="shared" si="603"/>
        <v>1.759014951627089E-2</v>
      </c>
      <c r="G2416" s="12">
        <f t="shared" si="605"/>
        <v>-0.11249764604079004</v>
      </c>
    </row>
    <row r="2417" spans="1:18" x14ac:dyDescent="0.3">
      <c r="A2417" s="11" t="s">
        <v>2279</v>
      </c>
      <c r="B2417" s="7">
        <v>43660</v>
      </c>
      <c r="C2417" s="7">
        <v>11.872</v>
      </c>
      <c r="D2417" s="2">
        <f t="shared" si="609"/>
        <v>2.6999999999999247E-2</v>
      </c>
      <c r="E2417" s="8">
        <f t="shared" si="608"/>
        <v>11.975087795557062</v>
      </c>
      <c r="F2417" s="6">
        <f t="shared" si="603"/>
        <v>1.759014951627089E-2</v>
      </c>
      <c r="G2417" s="12">
        <f t="shared" ref="G2417:G2429" si="610">C2417-E2417</f>
        <v>-0.10308779555706238</v>
      </c>
    </row>
    <row r="2418" spans="1:18" x14ac:dyDescent="0.3">
      <c r="A2418" s="11" t="s">
        <v>2280</v>
      </c>
      <c r="B2418" s="7">
        <v>43680</v>
      </c>
      <c r="C2418" s="7">
        <v>11.898999999999999</v>
      </c>
      <c r="D2418" s="2">
        <f t="shared" si="609"/>
        <v>2.6999999999999247E-2</v>
      </c>
      <c r="E2418" s="8">
        <f t="shared" si="608"/>
        <v>11.992677945073334</v>
      </c>
      <c r="F2418" s="6">
        <f t="shared" si="603"/>
        <v>1.759014951627089E-2</v>
      </c>
      <c r="G2418" s="12">
        <f t="shared" si="610"/>
        <v>-9.3677945073334712E-2</v>
      </c>
    </row>
    <row r="2419" spans="1:18" x14ac:dyDescent="0.3">
      <c r="A2419" s="11" t="s">
        <v>2281</v>
      </c>
      <c r="B2419" s="7">
        <v>43700</v>
      </c>
      <c r="C2419" s="7">
        <v>11.984999999999999</v>
      </c>
      <c r="D2419" s="2">
        <f t="shared" si="609"/>
        <v>8.6000000000000298E-2</v>
      </c>
      <c r="E2419" s="8">
        <f t="shared" si="608"/>
        <v>12.010268094589605</v>
      </c>
      <c r="F2419" s="6">
        <f t="shared" si="603"/>
        <v>1.759014951627089E-2</v>
      </c>
      <c r="G2419" s="12">
        <f t="shared" si="610"/>
        <v>-2.5268094589605994E-2</v>
      </c>
    </row>
    <row r="2420" spans="1:18" x14ac:dyDescent="0.3">
      <c r="A2420" s="11" t="s">
        <v>2282</v>
      </c>
      <c r="B2420" s="7">
        <v>43720</v>
      </c>
      <c r="C2420" s="7">
        <v>12.028</v>
      </c>
      <c r="D2420" s="2">
        <f t="shared" si="609"/>
        <v>4.3000000000001037E-2</v>
      </c>
      <c r="E2420" s="8">
        <f t="shared" si="608"/>
        <v>12.027858244105877</v>
      </c>
      <c r="F2420" s="6">
        <f t="shared" si="603"/>
        <v>1.759014951627089E-2</v>
      </c>
      <c r="G2420" s="12">
        <f t="shared" si="610"/>
        <v>1.4175589412346312E-4</v>
      </c>
    </row>
    <row r="2421" spans="1:18" x14ac:dyDescent="0.3">
      <c r="A2421" s="21"/>
      <c r="B2421" s="22"/>
      <c r="C2421" s="22"/>
      <c r="D2421" s="22"/>
      <c r="E2421" s="22"/>
      <c r="F2421" s="22"/>
      <c r="G2421" s="23"/>
      <c r="H2421" s="4" t="s">
        <v>3</v>
      </c>
      <c r="J2421" s="4"/>
      <c r="O2421" s="3">
        <f>1/O2422</f>
        <v>1.718213058419244E-3</v>
      </c>
      <c r="P2421" s="3">
        <f>O2421*20</f>
        <v>3.4364261168384883E-2</v>
      </c>
      <c r="Q2421" s="3" t="s">
        <v>3202</v>
      </c>
      <c r="R2421" s="3">
        <v>582</v>
      </c>
    </row>
    <row r="2422" spans="1:18" x14ac:dyDescent="0.3">
      <c r="A2422" s="11" t="s">
        <v>2283</v>
      </c>
      <c r="B2422" s="7">
        <v>43740</v>
      </c>
      <c r="C2422" s="7">
        <v>12.089</v>
      </c>
      <c r="D2422" s="2">
        <f>C2422-C2420</f>
        <v>6.0999999999999943E-2</v>
      </c>
      <c r="E2422" s="8">
        <f>E2420+F2422</f>
        <v>12.062222505274262</v>
      </c>
      <c r="F2422" s="6">
        <f>P2421</f>
        <v>3.4364261168384883E-2</v>
      </c>
      <c r="G2422" s="12">
        <f>C2422-E2422</f>
        <v>2.6777494725738649E-2</v>
      </c>
      <c r="H2422" s="3">
        <f>B2420</f>
        <v>43720</v>
      </c>
      <c r="I2422" s="3">
        <f>B2432</f>
        <v>43940</v>
      </c>
      <c r="J2422" s="3">
        <f>I2422-H2422</f>
        <v>220</v>
      </c>
      <c r="K2422" s="5">
        <f>E2420</f>
        <v>12.027858244105877</v>
      </c>
      <c r="L2422" s="3">
        <f>C2432</f>
        <v>12.406000000000001</v>
      </c>
      <c r="M2422" s="5">
        <f>L2422-K2422</f>
        <v>0.37814175589412358</v>
      </c>
      <c r="N2422" s="3">
        <f>J2422/M2422</f>
        <v>581.7924007884443</v>
      </c>
      <c r="O2422" s="3">
        <v>582</v>
      </c>
    </row>
    <row r="2423" spans="1:18" x14ac:dyDescent="0.3">
      <c r="A2423" s="11" t="s">
        <v>2284</v>
      </c>
      <c r="B2423" s="7">
        <v>43760</v>
      </c>
      <c r="C2423" s="7">
        <v>12.134</v>
      </c>
      <c r="D2423" s="2">
        <f t="shared" si="609"/>
        <v>4.4999999999999929E-2</v>
      </c>
      <c r="E2423" s="8">
        <f>E2422+F2422</f>
        <v>12.096586766442647</v>
      </c>
      <c r="F2423" s="6">
        <f t="shared" ref="F2423" si="611">F2422</f>
        <v>3.4364261168384883E-2</v>
      </c>
      <c r="G2423" s="12">
        <f t="shared" ref="G2423" si="612">C2423-E2423</f>
        <v>3.741323355735382E-2</v>
      </c>
    </row>
    <row r="2424" spans="1:18" x14ac:dyDescent="0.3">
      <c r="A2424" s="11" t="s">
        <v>2285</v>
      </c>
      <c r="B2424" s="7">
        <v>43780</v>
      </c>
      <c r="C2424" s="7">
        <v>12.188000000000001</v>
      </c>
      <c r="D2424" s="2">
        <f t="shared" si="609"/>
        <v>5.400000000000027E-2</v>
      </c>
      <c r="E2424" s="8">
        <f t="shared" ref="E2424:E2432" si="613">E2423+F2423</f>
        <v>12.130951027611031</v>
      </c>
      <c r="F2424" s="6">
        <f t="shared" si="603"/>
        <v>3.4364261168384883E-2</v>
      </c>
      <c r="G2424" s="12">
        <f t="shared" si="610"/>
        <v>5.7048972388969332E-2</v>
      </c>
    </row>
    <row r="2425" spans="1:18" x14ac:dyDescent="0.3">
      <c r="A2425" s="11" t="s">
        <v>2286</v>
      </c>
      <c r="B2425" s="7">
        <v>43800</v>
      </c>
      <c r="C2425" s="7">
        <v>12.221</v>
      </c>
      <c r="D2425" s="2">
        <f t="shared" si="609"/>
        <v>3.2999999999999474E-2</v>
      </c>
      <c r="E2425" s="8">
        <f t="shared" si="613"/>
        <v>12.165315288779416</v>
      </c>
      <c r="F2425" s="6">
        <f t="shared" si="603"/>
        <v>3.4364261168384883E-2</v>
      </c>
      <c r="G2425" s="12">
        <f t="shared" si="610"/>
        <v>5.5684711220584049E-2</v>
      </c>
    </row>
    <row r="2426" spans="1:18" x14ac:dyDescent="0.3">
      <c r="A2426" s="11" t="s">
        <v>2287</v>
      </c>
      <c r="B2426" s="7">
        <v>43820</v>
      </c>
      <c r="C2426" s="7">
        <v>12.243</v>
      </c>
      <c r="D2426" s="2">
        <f t="shared" si="609"/>
        <v>2.2000000000000242E-2</v>
      </c>
      <c r="E2426" s="8">
        <f t="shared" si="613"/>
        <v>12.199679549947801</v>
      </c>
      <c r="F2426" s="6">
        <f t="shared" si="603"/>
        <v>3.4364261168384883E-2</v>
      </c>
      <c r="G2426" s="12">
        <f t="shared" si="610"/>
        <v>4.3320450052199533E-2</v>
      </c>
    </row>
    <row r="2427" spans="1:18" x14ac:dyDescent="0.3">
      <c r="A2427" s="11" t="s">
        <v>2288</v>
      </c>
      <c r="B2427" s="7">
        <v>43840</v>
      </c>
      <c r="C2427" s="7">
        <v>12.284000000000001</v>
      </c>
      <c r="D2427" s="2">
        <f t="shared" si="609"/>
        <v>4.1000000000000369E-2</v>
      </c>
      <c r="E2427" s="8">
        <f t="shared" si="613"/>
        <v>12.234043811116186</v>
      </c>
      <c r="F2427" s="6">
        <f t="shared" si="603"/>
        <v>3.4364261168384883E-2</v>
      </c>
      <c r="G2427" s="12">
        <f t="shared" si="610"/>
        <v>4.9956188883815145E-2</v>
      </c>
    </row>
    <row r="2428" spans="1:18" x14ac:dyDescent="0.3">
      <c r="A2428" s="11" t="s">
        <v>2289</v>
      </c>
      <c r="B2428" s="7">
        <v>43860</v>
      </c>
      <c r="C2428" s="7">
        <v>12.2</v>
      </c>
      <c r="D2428" s="2">
        <f t="shared" si="609"/>
        <v>-8.4000000000001407E-2</v>
      </c>
      <c r="E2428" s="8">
        <f t="shared" si="613"/>
        <v>12.26840807228457</v>
      </c>
      <c r="F2428" s="6">
        <f t="shared" si="603"/>
        <v>3.4364261168384883E-2</v>
      </c>
      <c r="G2428" s="12">
        <f t="shared" si="610"/>
        <v>-6.840807228457102E-2</v>
      </c>
    </row>
    <row r="2429" spans="1:18" x14ac:dyDescent="0.3">
      <c r="A2429" s="11" t="s">
        <v>2290</v>
      </c>
      <c r="B2429" s="7">
        <v>43880</v>
      </c>
      <c r="C2429" s="7">
        <v>12.262</v>
      </c>
      <c r="D2429" s="2">
        <f t="shared" si="609"/>
        <v>6.2000000000001165E-2</v>
      </c>
      <c r="E2429" s="8">
        <f t="shared" si="613"/>
        <v>12.302772333452955</v>
      </c>
      <c r="F2429" s="6">
        <f t="shared" si="603"/>
        <v>3.4364261168384883E-2</v>
      </c>
      <c r="G2429" s="12">
        <f t="shared" si="610"/>
        <v>-4.0772333452954612E-2</v>
      </c>
    </row>
    <row r="2430" spans="1:18" x14ac:dyDescent="0.3">
      <c r="A2430" s="11" t="s">
        <v>2291</v>
      </c>
      <c r="B2430" s="7">
        <v>43900</v>
      </c>
      <c r="C2430" s="7">
        <v>12.318</v>
      </c>
      <c r="D2430" s="2">
        <f t="shared" si="609"/>
        <v>5.5999999999999162E-2</v>
      </c>
      <c r="E2430" s="8">
        <f t="shared" si="613"/>
        <v>12.33713659462134</v>
      </c>
      <c r="F2430" s="6">
        <f t="shared" si="603"/>
        <v>3.4364261168384883E-2</v>
      </c>
      <c r="G2430" s="12">
        <f t="shared" ref="G2430:G2458" si="614">C2430-E2430</f>
        <v>-1.9136594621340208E-2</v>
      </c>
    </row>
    <row r="2431" spans="1:18" x14ac:dyDescent="0.3">
      <c r="A2431" s="11" t="s">
        <v>2292</v>
      </c>
      <c r="B2431" s="7">
        <v>43920</v>
      </c>
      <c r="C2431" s="7">
        <v>12.38</v>
      </c>
      <c r="D2431" s="2">
        <f t="shared" si="609"/>
        <v>6.2000000000001165E-2</v>
      </c>
      <c r="E2431" s="8">
        <f t="shared" si="613"/>
        <v>12.371500855789725</v>
      </c>
      <c r="F2431" s="6">
        <f t="shared" si="603"/>
        <v>3.4364261168384883E-2</v>
      </c>
      <c r="G2431" s="12">
        <f t="shared" si="614"/>
        <v>8.4991442102761994E-3</v>
      </c>
    </row>
    <row r="2432" spans="1:18" x14ac:dyDescent="0.3">
      <c r="A2432" s="11" t="s">
        <v>2293</v>
      </c>
      <c r="B2432" s="7">
        <v>43940</v>
      </c>
      <c r="C2432" s="7">
        <v>12.406000000000001</v>
      </c>
      <c r="D2432" s="2">
        <f t="shared" si="609"/>
        <v>2.5999999999999801E-2</v>
      </c>
      <c r="E2432" s="8">
        <f t="shared" si="613"/>
        <v>12.405865116958109</v>
      </c>
      <c r="F2432" s="6">
        <f t="shared" si="603"/>
        <v>3.4364261168384883E-2</v>
      </c>
      <c r="G2432" s="12">
        <f t="shared" si="614"/>
        <v>1.3488304189124278E-4</v>
      </c>
    </row>
    <row r="2433" spans="1:18" x14ac:dyDescent="0.3">
      <c r="A2433" s="13" t="s">
        <v>2294</v>
      </c>
      <c r="B2433" s="24"/>
      <c r="C2433" s="25"/>
      <c r="D2433" s="25"/>
      <c r="E2433" s="25"/>
      <c r="F2433" s="25"/>
      <c r="G2433" s="26"/>
      <c r="H2433" s="4" t="s">
        <v>49</v>
      </c>
      <c r="J2433" s="4"/>
      <c r="O2433" s="3">
        <f>1/O2434</f>
        <v>3.0487804878048782E-3</v>
      </c>
      <c r="P2433" s="3">
        <f>O2433*20</f>
        <v>6.097560975609756E-2</v>
      </c>
      <c r="Q2433" s="3" t="s">
        <v>3200</v>
      </c>
      <c r="R2433" s="3">
        <v>328</v>
      </c>
    </row>
    <row r="2434" spans="1:18" x14ac:dyDescent="0.3">
      <c r="A2434" s="11" t="s">
        <v>2295</v>
      </c>
      <c r="B2434" s="7">
        <v>43960</v>
      </c>
      <c r="C2434" s="7">
        <v>12.403</v>
      </c>
      <c r="D2434" s="2">
        <f>C2434-C2432</f>
        <v>-3.0000000000001137E-3</v>
      </c>
      <c r="E2434" s="8">
        <f>E2432-F2434</f>
        <v>12.344889507202012</v>
      </c>
      <c r="F2434" s="6">
        <f>P2433</f>
        <v>6.097560975609756E-2</v>
      </c>
      <c r="G2434" s="12">
        <f>C2434-E2434</f>
        <v>5.81104927979883E-2</v>
      </c>
      <c r="H2434" s="3">
        <f>B2432</f>
        <v>43940</v>
      </c>
      <c r="I2434" s="3">
        <f>B2449</f>
        <v>44260</v>
      </c>
      <c r="J2434" s="3">
        <f>I2434-H2434</f>
        <v>320</v>
      </c>
      <c r="K2434" s="5">
        <f>E2432</f>
        <v>12.405865116958109</v>
      </c>
      <c r="L2434" s="3">
        <f>C2449</f>
        <v>11.430999999999999</v>
      </c>
      <c r="M2434" s="5">
        <f>L2434-K2434</f>
        <v>-0.97486511695811018</v>
      </c>
      <c r="N2434" s="3">
        <f>J2434/M2434</f>
        <v>-328.25053890378393</v>
      </c>
      <c r="O2434" s="3">
        <v>328</v>
      </c>
    </row>
    <row r="2435" spans="1:18" x14ac:dyDescent="0.3">
      <c r="A2435" s="11" t="s">
        <v>2296</v>
      </c>
      <c r="B2435" s="7">
        <v>43980</v>
      </c>
      <c r="C2435" s="7">
        <v>12.406000000000001</v>
      </c>
      <c r="D2435" s="2">
        <f t="shared" si="609"/>
        <v>3.0000000000001137E-3</v>
      </c>
      <c r="E2435" s="8">
        <f>E2434-F2434</f>
        <v>12.283913897445915</v>
      </c>
      <c r="F2435" s="6">
        <f t="shared" ref="F2435" si="615">F2434</f>
        <v>6.097560975609756E-2</v>
      </c>
      <c r="G2435" s="12">
        <f t="shared" ref="G2435" si="616">C2435-E2435</f>
        <v>0.12208610255408558</v>
      </c>
    </row>
    <row r="2436" spans="1:18" x14ac:dyDescent="0.3">
      <c r="A2436" s="11" t="s">
        <v>2297</v>
      </c>
      <c r="B2436" s="7">
        <v>44000</v>
      </c>
      <c r="C2436" s="7">
        <v>12.222</v>
      </c>
      <c r="D2436" s="2">
        <f t="shared" si="609"/>
        <v>-0.18400000000000105</v>
      </c>
      <c r="E2436" s="8">
        <f t="shared" ref="E2436:E2458" si="617">E2435-F2435</f>
        <v>12.222938287689818</v>
      </c>
      <c r="F2436" s="6">
        <f t="shared" si="603"/>
        <v>6.097560975609756E-2</v>
      </c>
      <c r="G2436" s="12">
        <f t="shared" si="614"/>
        <v>-9.3828768981829569E-4</v>
      </c>
    </row>
    <row r="2437" spans="1:18" x14ac:dyDescent="0.3">
      <c r="A2437" s="11" t="s">
        <v>2298</v>
      </c>
      <c r="B2437" s="7">
        <v>44020</v>
      </c>
      <c r="C2437" s="7">
        <v>12.164999999999999</v>
      </c>
      <c r="D2437" s="2">
        <f t="shared" si="609"/>
        <v>-5.7000000000000384E-2</v>
      </c>
      <c r="E2437" s="8">
        <f t="shared" si="617"/>
        <v>12.161962677933721</v>
      </c>
      <c r="F2437" s="6">
        <f t="shared" si="603"/>
        <v>6.097560975609756E-2</v>
      </c>
      <c r="G2437" s="12">
        <f t="shared" si="614"/>
        <v>3.0373220662784917E-3</v>
      </c>
    </row>
    <row r="2438" spans="1:18" x14ac:dyDescent="0.3">
      <c r="A2438" s="11" t="s">
        <v>2299</v>
      </c>
      <c r="B2438" s="7">
        <v>44040</v>
      </c>
      <c r="C2438" s="7">
        <v>12.067</v>
      </c>
      <c r="D2438" s="2">
        <f t="shared" si="609"/>
        <v>-9.7999999999998977E-2</v>
      </c>
      <c r="E2438" s="8">
        <f t="shared" si="617"/>
        <v>12.100987068177623</v>
      </c>
      <c r="F2438" s="6">
        <f t="shared" si="603"/>
        <v>6.097560975609756E-2</v>
      </c>
      <c r="G2438" s="12">
        <f t="shared" si="614"/>
        <v>-3.3987068177623314E-2</v>
      </c>
    </row>
    <row r="2439" spans="1:18" x14ac:dyDescent="0.3">
      <c r="A2439" s="11" t="s">
        <v>2300</v>
      </c>
      <c r="B2439" s="7">
        <v>44060</v>
      </c>
      <c r="C2439" s="7">
        <v>11.981</v>
      </c>
      <c r="D2439" s="2">
        <f t="shared" si="609"/>
        <v>-8.6000000000000298E-2</v>
      </c>
      <c r="E2439" s="8">
        <f t="shared" si="617"/>
        <v>12.040011458421526</v>
      </c>
      <c r="F2439" s="6">
        <f t="shared" si="603"/>
        <v>6.097560975609756E-2</v>
      </c>
      <c r="G2439" s="12">
        <f t="shared" si="614"/>
        <v>-5.9011458421526441E-2</v>
      </c>
    </row>
    <row r="2440" spans="1:18" x14ac:dyDescent="0.3">
      <c r="A2440" s="11" t="s">
        <v>2301</v>
      </c>
      <c r="B2440" s="7">
        <v>44080</v>
      </c>
      <c r="C2440" s="7">
        <v>11.885</v>
      </c>
      <c r="D2440" s="2">
        <f t="shared" si="609"/>
        <v>-9.6000000000000085E-2</v>
      </c>
      <c r="E2440" s="8">
        <f t="shared" si="617"/>
        <v>11.979035848665429</v>
      </c>
      <c r="F2440" s="6">
        <f t="shared" si="603"/>
        <v>6.097560975609756E-2</v>
      </c>
      <c r="G2440" s="12">
        <f t="shared" si="614"/>
        <v>-9.4035848665429356E-2</v>
      </c>
    </row>
    <row r="2441" spans="1:18" x14ac:dyDescent="0.3">
      <c r="A2441" s="11" t="s">
        <v>2302</v>
      </c>
      <c r="B2441" s="7">
        <v>44100</v>
      </c>
      <c r="C2441" s="7">
        <v>11.811999999999999</v>
      </c>
      <c r="D2441" s="2">
        <f t="shared" si="609"/>
        <v>-7.3000000000000398E-2</v>
      </c>
      <c r="E2441" s="8">
        <f t="shared" si="617"/>
        <v>11.918060238909332</v>
      </c>
      <c r="F2441" s="6">
        <f t="shared" si="603"/>
        <v>6.097560975609756E-2</v>
      </c>
      <c r="G2441" s="12">
        <f t="shared" si="614"/>
        <v>-0.10606023890933258</v>
      </c>
    </row>
    <row r="2442" spans="1:18" x14ac:dyDescent="0.3">
      <c r="A2442" s="11" t="s">
        <v>2303</v>
      </c>
      <c r="B2442" s="7">
        <v>44120</v>
      </c>
      <c r="C2442" s="7">
        <v>11.744999999999999</v>
      </c>
      <c r="D2442" s="2">
        <f t="shared" si="609"/>
        <v>-6.7000000000000171E-2</v>
      </c>
      <c r="E2442" s="8">
        <f t="shared" si="617"/>
        <v>11.857084629153235</v>
      </c>
      <c r="F2442" s="6">
        <f t="shared" si="603"/>
        <v>6.097560975609756E-2</v>
      </c>
      <c r="G2442" s="12">
        <f t="shared" si="614"/>
        <v>-0.11208462915323558</v>
      </c>
    </row>
    <row r="2443" spans="1:18" x14ac:dyDescent="0.3">
      <c r="A2443" s="11" t="s">
        <v>2304</v>
      </c>
      <c r="B2443" s="7">
        <v>44140</v>
      </c>
      <c r="C2443" s="7">
        <v>11.683999999999999</v>
      </c>
      <c r="D2443" s="2">
        <f t="shared" si="609"/>
        <v>-6.0999999999999943E-2</v>
      </c>
      <c r="E2443" s="8">
        <f t="shared" si="617"/>
        <v>11.796109019397138</v>
      </c>
      <c r="F2443" s="6">
        <f t="shared" si="603"/>
        <v>6.097560975609756E-2</v>
      </c>
      <c r="G2443" s="12">
        <f t="shared" si="614"/>
        <v>-0.11210901939713835</v>
      </c>
    </row>
    <row r="2444" spans="1:18" x14ac:dyDescent="0.3">
      <c r="A2444" s="11" t="s">
        <v>2305</v>
      </c>
      <c r="B2444" s="7">
        <v>44160</v>
      </c>
      <c r="C2444" s="7">
        <v>11.672000000000001</v>
      </c>
      <c r="D2444" s="2">
        <f t="shared" si="609"/>
        <v>-1.1999999999998678E-2</v>
      </c>
      <c r="E2444" s="8">
        <f t="shared" si="617"/>
        <v>11.73513340964104</v>
      </c>
      <c r="F2444" s="6">
        <f t="shared" si="603"/>
        <v>6.097560975609756E-2</v>
      </c>
      <c r="G2444" s="12">
        <f t="shared" si="614"/>
        <v>-6.3133409641039862E-2</v>
      </c>
    </row>
    <row r="2445" spans="1:18" x14ac:dyDescent="0.3">
      <c r="A2445" s="11" t="s">
        <v>2306</v>
      </c>
      <c r="B2445" s="7">
        <v>44180</v>
      </c>
      <c r="C2445" s="7">
        <v>11.605</v>
      </c>
      <c r="D2445" s="2">
        <f t="shared" si="609"/>
        <v>-6.7000000000000171E-2</v>
      </c>
      <c r="E2445" s="8">
        <f t="shared" si="617"/>
        <v>11.674157799884943</v>
      </c>
      <c r="F2445" s="6">
        <f t="shared" si="603"/>
        <v>6.097560975609756E-2</v>
      </c>
      <c r="G2445" s="12">
        <f t="shared" si="614"/>
        <v>-6.9157799884942861E-2</v>
      </c>
    </row>
    <row r="2446" spans="1:18" x14ac:dyDescent="0.3">
      <c r="A2446" s="11" t="s">
        <v>2307</v>
      </c>
      <c r="B2446" s="7">
        <v>44200</v>
      </c>
      <c r="C2446" s="7">
        <v>11.587</v>
      </c>
      <c r="D2446" s="2">
        <f t="shared" si="609"/>
        <v>-1.8000000000000682E-2</v>
      </c>
      <c r="E2446" s="8">
        <f t="shared" si="617"/>
        <v>11.613182190128846</v>
      </c>
      <c r="F2446" s="6">
        <f t="shared" ref="F2446:F2512" si="618">F2445</f>
        <v>6.097560975609756E-2</v>
      </c>
      <c r="G2446" s="12">
        <f t="shared" si="614"/>
        <v>-2.6182190128846372E-2</v>
      </c>
    </row>
    <row r="2447" spans="1:18" x14ac:dyDescent="0.3">
      <c r="A2447" s="11" t="s">
        <v>2308</v>
      </c>
      <c r="B2447" s="7">
        <v>44220</v>
      </c>
      <c r="C2447" s="7">
        <v>11.519</v>
      </c>
      <c r="D2447" s="2">
        <f t="shared" si="609"/>
        <v>-6.7999999999999616E-2</v>
      </c>
      <c r="E2447" s="8">
        <f t="shared" si="617"/>
        <v>11.552206580372749</v>
      </c>
      <c r="F2447" s="6">
        <f t="shared" si="618"/>
        <v>6.097560975609756E-2</v>
      </c>
      <c r="G2447" s="12">
        <f t="shared" si="614"/>
        <v>-3.3206580372748817E-2</v>
      </c>
    </row>
    <row r="2448" spans="1:18" x14ac:dyDescent="0.3">
      <c r="A2448" s="11" t="s">
        <v>2309</v>
      </c>
      <c r="B2448" s="7">
        <v>44240</v>
      </c>
      <c r="C2448" s="7">
        <v>11.486000000000001</v>
      </c>
      <c r="D2448" s="2">
        <f t="shared" si="609"/>
        <v>-3.2999999999999474E-2</v>
      </c>
      <c r="E2448" s="8">
        <f t="shared" si="617"/>
        <v>11.491230970616652</v>
      </c>
      <c r="F2448" s="6">
        <f t="shared" si="618"/>
        <v>6.097560975609756E-2</v>
      </c>
      <c r="G2448" s="12">
        <f t="shared" si="614"/>
        <v>-5.2309706166511205E-3</v>
      </c>
    </row>
    <row r="2449" spans="1:18" x14ac:dyDescent="0.3">
      <c r="A2449" s="11" t="s">
        <v>2310</v>
      </c>
      <c r="B2449" s="7">
        <v>44260</v>
      </c>
      <c r="C2449" s="7">
        <v>11.430999999999999</v>
      </c>
      <c r="D2449" s="2">
        <f t="shared" si="609"/>
        <v>-5.5000000000001492E-2</v>
      </c>
      <c r="E2449" s="8">
        <f t="shared" si="617"/>
        <v>11.430255360860555</v>
      </c>
      <c r="F2449" s="6">
        <f t="shared" si="618"/>
        <v>6.097560975609756E-2</v>
      </c>
      <c r="G2449" s="12">
        <f t="shared" si="614"/>
        <v>7.446391394445584E-4</v>
      </c>
    </row>
    <row r="2450" spans="1:18" x14ac:dyDescent="0.3">
      <c r="A2450" s="21"/>
      <c r="B2450" s="22"/>
      <c r="C2450" s="22"/>
      <c r="D2450" s="22"/>
      <c r="E2450" s="22"/>
      <c r="F2450" s="22"/>
      <c r="G2450" s="23"/>
      <c r="H2450" s="4" t="s">
        <v>50</v>
      </c>
      <c r="J2450" s="4"/>
      <c r="O2450" s="3">
        <f>1/O2451</f>
        <v>9.2936802973977691E-4</v>
      </c>
      <c r="P2450" s="3">
        <f>O2450*20</f>
        <v>1.8587360594795536E-2</v>
      </c>
      <c r="Q2450" s="3" t="s">
        <v>3200</v>
      </c>
      <c r="R2450" s="3">
        <v>1076</v>
      </c>
    </row>
    <row r="2451" spans="1:18" x14ac:dyDescent="0.3">
      <c r="A2451" s="11" t="s">
        <v>2311</v>
      </c>
      <c r="B2451" s="7">
        <v>44280</v>
      </c>
      <c r="C2451" s="7">
        <v>11.406000000000001</v>
      </c>
      <c r="D2451" s="2">
        <f>C2451-C2449</f>
        <v>-2.4999999999998579E-2</v>
      </c>
      <c r="E2451" s="8">
        <f>E2449-F2451</f>
        <v>11.41166800026576</v>
      </c>
      <c r="F2451" s="6">
        <f>P2450</f>
        <v>1.8587360594795536E-2</v>
      </c>
      <c r="G2451" s="12">
        <f>C2451-E2451</f>
        <v>-5.6680002657589768E-3</v>
      </c>
      <c r="H2451" s="3">
        <f>B2449</f>
        <v>44260</v>
      </c>
      <c r="I2451" s="3">
        <f>B2471</f>
        <v>44680</v>
      </c>
      <c r="J2451" s="3">
        <f>I2451-H2451</f>
        <v>420</v>
      </c>
      <c r="K2451" s="5">
        <f>E2449</f>
        <v>11.430255360860555</v>
      </c>
      <c r="L2451" s="3">
        <f>C2471</f>
        <v>11.04</v>
      </c>
      <c r="M2451" s="5">
        <f>L2451-K2451</f>
        <v>-0.39025536086055546</v>
      </c>
      <c r="N2451" s="3">
        <f>J2451/M2451</f>
        <v>-1076.2183998545322</v>
      </c>
      <c r="O2451" s="3">
        <v>1076</v>
      </c>
    </row>
    <row r="2452" spans="1:18" x14ac:dyDescent="0.3">
      <c r="A2452" s="11" t="s">
        <v>2312</v>
      </c>
      <c r="B2452" s="7">
        <v>44300</v>
      </c>
      <c r="C2452" s="7">
        <v>11.381</v>
      </c>
      <c r="D2452" s="2">
        <f t="shared" si="609"/>
        <v>-2.5000000000000355E-2</v>
      </c>
      <c r="E2452" s="8">
        <f>E2451-F2451</f>
        <v>11.393080639670965</v>
      </c>
      <c r="F2452" s="6">
        <f t="shared" ref="F2452" si="619">F2451</f>
        <v>1.8587360594795536E-2</v>
      </c>
      <c r="G2452" s="12">
        <f t="shared" ref="G2452" si="620">C2452-E2452</f>
        <v>-1.2080639670964288E-2</v>
      </c>
    </row>
    <row r="2453" spans="1:18" x14ac:dyDescent="0.3">
      <c r="A2453" s="11" t="s">
        <v>2313</v>
      </c>
      <c r="B2453" s="7">
        <v>44320</v>
      </c>
      <c r="C2453" s="7">
        <v>11.318</v>
      </c>
      <c r="D2453" s="2">
        <f t="shared" si="609"/>
        <v>-6.3000000000000611E-2</v>
      </c>
      <c r="E2453" s="8">
        <f t="shared" si="617"/>
        <v>11.374493279076169</v>
      </c>
      <c r="F2453" s="6">
        <f t="shared" si="618"/>
        <v>1.8587360594795536E-2</v>
      </c>
      <c r="G2453" s="12">
        <f t="shared" si="614"/>
        <v>-5.6493279076169856E-2</v>
      </c>
    </row>
    <row r="2454" spans="1:18" x14ac:dyDescent="0.3">
      <c r="A2454" s="11" t="s">
        <v>2314</v>
      </c>
      <c r="B2454" s="7">
        <v>44340</v>
      </c>
      <c r="C2454" s="7">
        <v>11.272</v>
      </c>
      <c r="D2454" s="2">
        <f t="shared" si="609"/>
        <v>-4.5999999999999375E-2</v>
      </c>
      <c r="E2454" s="8">
        <f t="shared" si="617"/>
        <v>11.355905918481374</v>
      </c>
      <c r="F2454" s="6">
        <f t="shared" si="618"/>
        <v>1.8587360594795536E-2</v>
      </c>
      <c r="G2454" s="12">
        <f t="shared" si="614"/>
        <v>-8.3905918481374187E-2</v>
      </c>
    </row>
    <row r="2455" spans="1:18" x14ac:dyDescent="0.3">
      <c r="A2455" s="11" t="s">
        <v>2315</v>
      </c>
      <c r="B2455" s="7">
        <v>44360</v>
      </c>
      <c r="C2455" s="7">
        <v>11.241</v>
      </c>
      <c r="D2455" s="2">
        <f t="shared" si="609"/>
        <v>-3.1000000000000583E-2</v>
      </c>
      <c r="E2455" s="8">
        <f t="shared" si="617"/>
        <v>11.337318557886579</v>
      </c>
      <c r="F2455" s="6">
        <f t="shared" si="618"/>
        <v>1.8587360594795536E-2</v>
      </c>
      <c r="G2455" s="12">
        <f t="shared" si="614"/>
        <v>-9.6318557886579725E-2</v>
      </c>
    </row>
    <row r="2456" spans="1:18" x14ac:dyDescent="0.3">
      <c r="A2456" s="11" t="s">
        <v>2316</v>
      </c>
      <c r="B2456" s="7">
        <v>44380</v>
      </c>
      <c r="C2456" s="7">
        <v>11.179</v>
      </c>
      <c r="D2456" s="2">
        <f t="shared" si="609"/>
        <v>-6.1999999999999389E-2</v>
      </c>
      <c r="E2456" s="8">
        <f t="shared" si="617"/>
        <v>11.318731197291784</v>
      </c>
      <c r="F2456" s="6">
        <f t="shared" si="618"/>
        <v>1.8587360594795536E-2</v>
      </c>
      <c r="G2456" s="12">
        <f t="shared" si="614"/>
        <v>-0.13973119729178407</v>
      </c>
    </row>
    <row r="2457" spans="1:18" x14ac:dyDescent="0.3">
      <c r="A2457" s="11" t="s">
        <v>2317</v>
      </c>
      <c r="B2457" s="7">
        <v>44400</v>
      </c>
      <c r="C2457" s="7">
        <v>11.163</v>
      </c>
      <c r="D2457" s="2">
        <f t="shared" si="609"/>
        <v>-1.6000000000000014E-2</v>
      </c>
      <c r="E2457" s="8">
        <f t="shared" si="617"/>
        <v>11.300143836696989</v>
      </c>
      <c r="F2457" s="6">
        <f t="shared" si="618"/>
        <v>1.8587360594795536E-2</v>
      </c>
      <c r="G2457" s="12">
        <f t="shared" si="614"/>
        <v>-0.13714383669698904</v>
      </c>
    </row>
    <row r="2458" spans="1:18" x14ac:dyDescent="0.3">
      <c r="A2458" s="11" t="s">
        <v>2318</v>
      </c>
      <c r="B2458" s="7">
        <v>44420</v>
      </c>
      <c r="C2458" s="7">
        <v>11.131</v>
      </c>
      <c r="D2458" s="2">
        <f t="shared" si="609"/>
        <v>-3.2000000000000028E-2</v>
      </c>
      <c r="E2458" s="8">
        <f t="shared" si="617"/>
        <v>11.281556476102194</v>
      </c>
      <c r="F2458" s="6">
        <f t="shared" si="618"/>
        <v>1.8587360594795536E-2</v>
      </c>
      <c r="G2458" s="12">
        <f t="shared" si="614"/>
        <v>-0.15055647610219403</v>
      </c>
    </row>
    <row r="2459" spans="1:18" x14ac:dyDescent="0.3">
      <c r="A2459" s="11" t="s">
        <v>2319</v>
      </c>
      <c r="B2459" s="7">
        <v>44440</v>
      </c>
      <c r="C2459" s="7">
        <v>11.12</v>
      </c>
      <c r="D2459" s="2">
        <f t="shared" si="609"/>
        <v>-1.1000000000001009E-2</v>
      </c>
      <c r="E2459" s="8">
        <f t="shared" ref="E2459:E2471" si="621">E2458-F2458</f>
        <v>11.262969115507399</v>
      </c>
      <c r="F2459" s="6">
        <f t="shared" si="618"/>
        <v>1.8587360594795536E-2</v>
      </c>
      <c r="G2459" s="12">
        <f t="shared" ref="G2459:G2478" si="622">C2459-E2459</f>
        <v>-0.14296911550739999</v>
      </c>
    </row>
    <row r="2460" spans="1:18" x14ac:dyDescent="0.3">
      <c r="A2460" s="11" t="s">
        <v>2320</v>
      </c>
      <c r="B2460" s="7">
        <v>44460</v>
      </c>
      <c r="C2460" s="7">
        <v>11.124000000000001</v>
      </c>
      <c r="D2460" s="2">
        <f t="shared" si="609"/>
        <v>4.0000000000013358E-3</v>
      </c>
      <c r="E2460" s="8">
        <f t="shared" si="621"/>
        <v>11.244381754912604</v>
      </c>
      <c r="F2460" s="6">
        <f t="shared" si="618"/>
        <v>1.8587360594795536E-2</v>
      </c>
      <c r="G2460" s="12">
        <f t="shared" si="622"/>
        <v>-0.12038175491260361</v>
      </c>
    </row>
    <row r="2461" spans="1:18" x14ac:dyDescent="0.3">
      <c r="A2461" s="11" t="s">
        <v>2321</v>
      </c>
      <c r="B2461" s="7">
        <v>44480</v>
      </c>
      <c r="C2461" s="7">
        <v>11.1</v>
      </c>
      <c r="D2461" s="2">
        <f t="shared" si="609"/>
        <v>-2.4000000000000909E-2</v>
      </c>
      <c r="E2461" s="8">
        <f t="shared" si="621"/>
        <v>11.225794394317809</v>
      </c>
      <c r="F2461" s="6">
        <f t="shared" si="618"/>
        <v>1.8587360594795536E-2</v>
      </c>
      <c r="G2461" s="12">
        <f t="shared" si="622"/>
        <v>-0.12579439431780948</v>
      </c>
    </row>
    <row r="2462" spans="1:18" x14ac:dyDescent="0.3">
      <c r="A2462" s="11" t="s">
        <v>2322</v>
      </c>
      <c r="B2462" s="7">
        <v>44500</v>
      </c>
      <c r="C2462" s="7">
        <v>11.102</v>
      </c>
      <c r="D2462" s="2">
        <f t="shared" si="609"/>
        <v>2.0000000000006679E-3</v>
      </c>
      <c r="E2462" s="8">
        <f t="shared" si="621"/>
        <v>11.207207033723014</v>
      </c>
      <c r="F2462" s="6">
        <f t="shared" si="618"/>
        <v>1.8587360594795536E-2</v>
      </c>
      <c r="G2462" s="12">
        <f t="shared" si="622"/>
        <v>-0.10520703372301377</v>
      </c>
    </row>
    <row r="2463" spans="1:18" x14ac:dyDescent="0.3">
      <c r="A2463" s="11" t="s">
        <v>2323</v>
      </c>
      <c r="B2463" s="7">
        <v>44520</v>
      </c>
      <c r="C2463" s="7">
        <v>11.101000000000001</v>
      </c>
      <c r="D2463" s="2">
        <f t="shared" si="609"/>
        <v>-9.9999999999944578E-4</v>
      </c>
      <c r="E2463" s="8">
        <f t="shared" si="621"/>
        <v>11.188619673128219</v>
      </c>
      <c r="F2463" s="6">
        <f t="shared" si="618"/>
        <v>1.8587360594795536E-2</v>
      </c>
      <c r="G2463" s="12">
        <f t="shared" si="622"/>
        <v>-8.7619673128218167E-2</v>
      </c>
    </row>
    <row r="2464" spans="1:18" x14ac:dyDescent="0.3">
      <c r="A2464" s="11" t="s">
        <v>2324</v>
      </c>
      <c r="B2464" s="7">
        <v>44540</v>
      </c>
      <c r="C2464" s="7">
        <v>11.063000000000001</v>
      </c>
      <c r="D2464" s="2">
        <f t="shared" si="609"/>
        <v>-3.8000000000000256E-2</v>
      </c>
      <c r="E2464" s="8">
        <f t="shared" si="621"/>
        <v>11.170032312533424</v>
      </c>
      <c r="F2464" s="6">
        <f t="shared" si="618"/>
        <v>1.8587360594795536E-2</v>
      </c>
      <c r="G2464" s="12">
        <f t="shared" si="622"/>
        <v>-0.10703231253342338</v>
      </c>
    </row>
    <row r="2465" spans="1:18" x14ac:dyDescent="0.3">
      <c r="A2465" s="11" t="s">
        <v>2325</v>
      </c>
      <c r="B2465" s="7">
        <v>44560</v>
      </c>
      <c r="C2465" s="7">
        <v>11.061999999999999</v>
      </c>
      <c r="D2465" s="2">
        <f t="shared" si="609"/>
        <v>-1.0000000000012221E-3</v>
      </c>
      <c r="E2465" s="8">
        <f t="shared" si="621"/>
        <v>11.151444951938629</v>
      </c>
      <c r="F2465" s="6">
        <f t="shared" si="618"/>
        <v>1.8587360594795536E-2</v>
      </c>
      <c r="G2465" s="12">
        <f t="shared" si="622"/>
        <v>-8.9444951938629558E-2</v>
      </c>
    </row>
    <row r="2466" spans="1:18" x14ac:dyDescent="0.3">
      <c r="A2466" s="11" t="s">
        <v>2326</v>
      </c>
      <c r="B2466" s="7">
        <v>44580</v>
      </c>
      <c r="C2466" s="7">
        <v>11.058999999999999</v>
      </c>
      <c r="D2466" s="2">
        <f t="shared" si="609"/>
        <v>-3.0000000000001137E-3</v>
      </c>
      <c r="E2466" s="8">
        <f t="shared" si="621"/>
        <v>11.132857591343834</v>
      </c>
      <c r="F2466" s="6">
        <f t="shared" si="618"/>
        <v>1.8587360594795536E-2</v>
      </c>
      <c r="G2466" s="12">
        <f t="shared" si="622"/>
        <v>-7.3857591343834628E-2</v>
      </c>
    </row>
    <row r="2467" spans="1:18" x14ac:dyDescent="0.3">
      <c r="A2467" s="11" t="s">
        <v>2327</v>
      </c>
      <c r="B2467" s="7">
        <v>44600</v>
      </c>
      <c r="C2467" s="7">
        <v>11.069000000000001</v>
      </c>
      <c r="D2467" s="2">
        <f t="shared" si="609"/>
        <v>1.0000000000001563E-2</v>
      </c>
      <c r="E2467" s="8">
        <f t="shared" si="621"/>
        <v>11.114270230749039</v>
      </c>
      <c r="F2467" s="6">
        <f t="shared" si="618"/>
        <v>1.8587360594795536E-2</v>
      </c>
      <c r="G2467" s="12">
        <f t="shared" si="622"/>
        <v>-4.5270230749038021E-2</v>
      </c>
    </row>
    <row r="2468" spans="1:18" x14ac:dyDescent="0.3">
      <c r="A2468" s="11" t="s">
        <v>2328</v>
      </c>
      <c r="B2468" s="7">
        <v>44620</v>
      </c>
      <c r="C2468" s="7">
        <v>11.077999999999999</v>
      </c>
      <c r="D2468" s="2">
        <f t="shared" si="609"/>
        <v>8.9999999999985647E-3</v>
      </c>
      <c r="E2468" s="8">
        <f t="shared" si="621"/>
        <v>11.095682870154244</v>
      </c>
      <c r="F2468" s="6">
        <f t="shared" si="618"/>
        <v>1.8587360594795536E-2</v>
      </c>
      <c r="G2468" s="12">
        <f t="shared" si="622"/>
        <v>-1.7682870154244412E-2</v>
      </c>
    </row>
    <row r="2469" spans="1:18" x14ac:dyDescent="0.3">
      <c r="A2469" s="11" t="s">
        <v>2329</v>
      </c>
      <c r="B2469" s="7">
        <v>44640</v>
      </c>
      <c r="C2469" s="7">
        <v>11.099</v>
      </c>
      <c r="D2469" s="2">
        <f t="shared" si="609"/>
        <v>2.1000000000000796E-2</v>
      </c>
      <c r="E2469" s="8">
        <f t="shared" si="621"/>
        <v>11.077095509559449</v>
      </c>
      <c r="F2469" s="6">
        <f t="shared" si="618"/>
        <v>1.8587360594795536E-2</v>
      </c>
      <c r="G2469" s="12">
        <f t="shared" si="622"/>
        <v>2.1904490440551427E-2</v>
      </c>
    </row>
    <row r="2470" spans="1:18" x14ac:dyDescent="0.3">
      <c r="A2470" s="11" t="s">
        <v>2330</v>
      </c>
      <c r="B2470" s="7">
        <v>44660</v>
      </c>
      <c r="C2470" s="7">
        <v>11.097</v>
      </c>
      <c r="D2470" s="2">
        <f t="shared" si="609"/>
        <v>-2.0000000000006679E-3</v>
      </c>
      <c r="E2470" s="8">
        <f t="shared" si="621"/>
        <v>11.058508148964654</v>
      </c>
      <c r="F2470" s="6">
        <f t="shared" si="618"/>
        <v>1.8587360594795536E-2</v>
      </c>
      <c r="G2470" s="12">
        <f t="shared" si="622"/>
        <v>3.8491851035345803E-2</v>
      </c>
    </row>
    <row r="2471" spans="1:18" x14ac:dyDescent="0.3">
      <c r="A2471" s="11" t="s">
        <v>2331</v>
      </c>
      <c r="B2471" s="7">
        <v>44680</v>
      </c>
      <c r="C2471" s="7">
        <v>11.04</v>
      </c>
      <c r="D2471" s="2">
        <f t="shared" si="609"/>
        <v>-5.7000000000000384E-2</v>
      </c>
      <c r="E2471" s="8">
        <f t="shared" si="621"/>
        <v>11.039920788369859</v>
      </c>
      <c r="F2471" s="6">
        <f t="shared" si="618"/>
        <v>1.8587360594795536E-2</v>
      </c>
      <c r="G2471" s="12">
        <f t="shared" si="622"/>
        <v>7.9211630140463285E-5</v>
      </c>
    </row>
    <row r="2472" spans="1:18" x14ac:dyDescent="0.3">
      <c r="A2472" s="21"/>
      <c r="B2472" s="22"/>
      <c r="C2472" s="22"/>
      <c r="D2472" s="22"/>
      <c r="E2472" s="22"/>
      <c r="F2472" s="22"/>
      <c r="G2472" s="23"/>
      <c r="H2472" s="4" t="s">
        <v>3497</v>
      </c>
      <c r="J2472" s="4"/>
      <c r="O2472" s="3">
        <f>1/O2473</f>
        <v>2.6816840976133012E-4</v>
      </c>
      <c r="P2472" s="3">
        <f>O2472*20</f>
        <v>5.3633681952266025E-3</v>
      </c>
      <c r="Q2472" s="3" t="s">
        <v>3202</v>
      </c>
      <c r="R2472" s="3">
        <v>3729</v>
      </c>
    </row>
    <row r="2473" spans="1:18" x14ac:dyDescent="0.3">
      <c r="A2473" s="11" t="s">
        <v>2332</v>
      </c>
      <c r="B2473" s="7">
        <v>44700</v>
      </c>
      <c r="C2473" s="7">
        <v>11.087</v>
      </c>
      <c r="D2473" s="2">
        <f>C2473-C2471</f>
        <v>4.7000000000000597E-2</v>
      </c>
      <c r="E2473" s="8">
        <f>E2471+F2473</f>
        <v>11.045284156565085</v>
      </c>
      <c r="F2473" s="6">
        <f>P2472</f>
        <v>5.3633681952266025E-3</v>
      </c>
      <c r="G2473" s="12">
        <f>C2473-E2473</f>
        <v>4.1715843434914746E-2</v>
      </c>
      <c r="H2473" s="3">
        <f>B2471</f>
        <v>44680</v>
      </c>
      <c r="I2473" s="3">
        <f>B2487</f>
        <v>44960</v>
      </c>
      <c r="J2473" s="3">
        <f>I2473-H2473</f>
        <v>280</v>
      </c>
      <c r="K2473" s="5">
        <f>E2471</f>
        <v>11.039920788369859</v>
      </c>
      <c r="L2473" s="3">
        <f>C2487</f>
        <v>11.115</v>
      </c>
      <c r="M2473" s="5">
        <f>L2473-K2473</f>
        <v>7.5079211630141529E-2</v>
      </c>
      <c r="N2473" s="3">
        <f>J2473/M2473</f>
        <v>3729.3945144142981</v>
      </c>
      <c r="O2473" s="3">
        <v>3729</v>
      </c>
    </row>
    <row r="2474" spans="1:18" x14ac:dyDescent="0.3">
      <c r="A2474" s="11" t="s">
        <v>2333</v>
      </c>
      <c r="B2474" s="7">
        <v>44720</v>
      </c>
      <c r="C2474" s="7">
        <v>11.045</v>
      </c>
      <c r="D2474" s="2">
        <f t="shared" si="609"/>
        <v>-4.1999999999999815E-2</v>
      </c>
      <c r="E2474" s="8">
        <f>E2473+F2473</f>
        <v>11.050647524760311</v>
      </c>
      <c r="F2474" s="6">
        <f t="shared" ref="F2474" si="623">F2473</f>
        <v>5.3633681952266025E-3</v>
      </c>
      <c r="G2474" s="12">
        <f t="shared" ref="G2474" si="624">C2474-E2474</f>
        <v>-5.6475247603113843E-3</v>
      </c>
    </row>
    <row r="2475" spans="1:18" x14ac:dyDescent="0.3">
      <c r="A2475" s="11" t="s">
        <v>2334</v>
      </c>
      <c r="B2475" s="7">
        <v>44740</v>
      </c>
      <c r="C2475" s="7">
        <v>11.061</v>
      </c>
      <c r="D2475" s="2">
        <f t="shared" si="609"/>
        <v>1.6000000000000014E-2</v>
      </c>
      <c r="E2475" s="8">
        <f t="shared" ref="E2475:E2478" si="625">E2474+F2474</f>
        <v>11.056010892955538</v>
      </c>
      <c r="F2475" s="6">
        <f t="shared" si="618"/>
        <v>5.3633681952266025E-3</v>
      </c>
      <c r="G2475" s="12">
        <f t="shared" si="622"/>
        <v>4.9891070444623153E-3</v>
      </c>
    </row>
    <row r="2476" spans="1:18" x14ac:dyDescent="0.3">
      <c r="A2476" s="11" t="s">
        <v>2335</v>
      </c>
      <c r="B2476" s="7">
        <v>44760</v>
      </c>
      <c r="C2476" s="7">
        <v>11.067</v>
      </c>
      <c r="D2476" s="2">
        <f t="shared" si="609"/>
        <v>6.0000000000002274E-3</v>
      </c>
      <c r="E2476" s="8">
        <f t="shared" si="625"/>
        <v>11.061374261150764</v>
      </c>
      <c r="F2476" s="6">
        <f t="shared" si="618"/>
        <v>5.3633681952266025E-3</v>
      </c>
      <c r="G2476" s="12">
        <f t="shared" si="622"/>
        <v>5.6257388492362281E-3</v>
      </c>
    </row>
    <row r="2477" spans="1:18" x14ac:dyDescent="0.3">
      <c r="A2477" s="11" t="s">
        <v>2336</v>
      </c>
      <c r="B2477" s="7">
        <v>44780</v>
      </c>
      <c r="C2477" s="7">
        <v>11.058</v>
      </c>
      <c r="D2477" s="2">
        <f t="shared" si="609"/>
        <v>-9.0000000000003411E-3</v>
      </c>
      <c r="E2477" s="8">
        <f t="shared" si="625"/>
        <v>11.06673762934599</v>
      </c>
      <c r="F2477" s="6">
        <f t="shared" si="618"/>
        <v>5.3633681952266025E-3</v>
      </c>
      <c r="G2477" s="12">
        <f t="shared" si="622"/>
        <v>-8.7376293459904275E-3</v>
      </c>
    </row>
    <row r="2478" spans="1:18" x14ac:dyDescent="0.3">
      <c r="A2478" s="11" t="s">
        <v>2337</v>
      </c>
      <c r="B2478" s="7">
        <v>44800</v>
      </c>
      <c r="C2478" s="7">
        <v>11.071999999999999</v>
      </c>
      <c r="D2478" s="2">
        <f t="shared" si="609"/>
        <v>1.3999999999999346E-2</v>
      </c>
      <c r="E2478" s="8">
        <f t="shared" si="625"/>
        <v>11.072100997541217</v>
      </c>
      <c r="F2478" s="6">
        <f t="shared" si="618"/>
        <v>5.3633681952266025E-3</v>
      </c>
      <c r="G2478" s="12">
        <f t="shared" si="622"/>
        <v>-1.0099754121739579E-4</v>
      </c>
    </row>
    <row r="2479" spans="1:18" x14ac:dyDescent="0.3">
      <c r="A2479" s="11" t="s">
        <v>2338</v>
      </c>
      <c r="B2479" s="7">
        <v>44820</v>
      </c>
      <c r="C2479" s="7">
        <v>11.07</v>
      </c>
      <c r="D2479" s="2">
        <f t="shared" si="609"/>
        <v>-1.9999999999988916E-3</v>
      </c>
      <c r="E2479" s="8">
        <f t="shared" ref="E2479:E2496" si="626">E2478+F2478</f>
        <v>11.077464365736443</v>
      </c>
      <c r="F2479" s="6">
        <f t="shared" si="618"/>
        <v>5.3633681952266025E-3</v>
      </c>
      <c r="G2479" s="12">
        <f t="shared" ref="G2479:G2496" si="627">C2479-E2479</f>
        <v>-7.4643657364426019E-3</v>
      </c>
    </row>
    <row r="2480" spans="1:18" x14ac:dyDescent="0.3">
      <c r="A2480" s="11" t="s">
        <v>2339</v>
      </c>
      <c r="B2480" s="7">
        <v>44840</v>
      </c>
      <c r="C2480" s="7">
        <v>11.021000000000001</v>
      </c>
      <c r="D2480" s="2">
        <f t="shared" ref="D2480:D2551" si="628">C2480-C2479</f>
        <v>-4.8999999999999488E-2</v>
      </c>
      <c r="E2480" s="8">
        <f t="shared" si="626"/>
        <v>11.082827733931669</v>
      </c>
      <c r="F2480" s="6">
        <f t="shared" si="618"/>
        <v>5.3633681952266025E-3</v>
      </c>
      <c r="G2480" s="12">
        <f t="shared" si="627"/>
        <v>-6.1827733931668405E-2</v>
      </c>
    </row>
    <row r="2481" spans="1:18" x14ac:dyDescent="0.3">
      <c r="A2481" s="11" t="s">
        <v>2340</v>
      </c>
      <c r="B2481" s="7">
        <v>44860</v>
      </c>
      <c r="C2481" s="7">
        <v>11.071999999999999</v>
      </c>
      <c r="D2481" s="2">
        <f t="shared" si="628"/>
        <v>5.099999999999838E-2</v>
      </c>
      <c r="E2481" s="8">
        <f t="shared" si="626"/>
        <v>11.088191102126896</v>
      </c>
      <c r="F2481" s="6">
        <f t="shared" si="618"/>
        <v>5.3633681952266025E-3</v>
      </c>
      <c r="G2481" s="12">
        <f t="shared" si="627"/>
        <v>-1.619110212689634E-2</v>
      </c>
    </row>
    <row r="2482" spans="1:18" x14ac:dyDescent="0.3">
      <c r="A2482" s="11" t="s">
        <v>2341</v>
      </c>
      <c r="B2482" s="7">
        <v>44880</v>
      </c>
      <c r="C2482" s="7">
        <v>11.116</v>
      </c>
      <c r="D2482" s="2">
        <f t="shared" si="628"/>
        <v>4.4000000000000483E-2</v>
      </c>
      <c r="E2482" s="8">
        <f t="shared" si="626"/>
        <v>11.093554470322122</v>
      </c>
      <c r="F2482" s="6">
        <f t="shared" si="618"/>
        <v>5.3633681952266025E-3</v>
      </c>
      <c r="G2482" s="12">
        <f t="shared" si="627"/>
        <v>2.2445529677877829E-2</v>
      </c>
    </row>
    <row r="2483" spans="1:18" x14ac:dyDescent="0.3">
      <c r="A2483" s="11" t="s">
        <v>2342</v>
      </c>
      <c r="B2483" s="7">
        <v>44900</v>
      </c>
      <c r="C2483" s="7">
        <v>11.14</v>
      </c>
      <c r="D2483" s="2">
        <f t="shared" si="628"/>
        <v>2.4000000000000909E-2</v>
      </c>
      <c r="E2483" s="8">
        <f t="shared" si="626"/>
        <v>11.098917838517348</v>
      </c>
      <c r="F2483" s="6">
        <f t="shared" si="618"/>
        <v>5.3633681952266025E-3</v>
      </c>
      <c r="G2483" s="12">
        <f t="shared" si="627"/>
        <v>4.1082161482652424E-2</v>
      </c>
    </row>
    <row r="2484" spans="1:18" x14ac:dyDescent="0.3">
      <c r="A2484" s="11" t="s">
        <v>2343</v>
      </c>
      <c r="B2484" s="7">
        <v>44920</v>
      </c>
      <c r="C2484" s="7">
        <v>11.122</v>
      </c>
      <c r="D2484" s="2">
        <f t="shared" si="628"/>
        <v>-1.8000000000000682E-2</v>
      </c>
      <c r="E2484" s="8">
        <f t="shared" si="626"/>
        <v>11.104281206712574</v>
      </c>
      <c r="F2484" s="6">
        <f t="shared" si="618"/>
        <v>5.3633681952266025E-3</v>
      </c>
      <c r="G2484" s="12">
        <f t="shared" si="627"/>
        <v>1.7718793287425427E-2</v>
      </c>
    </row>
    <row r="2485" spans="1:18" x14ac:dyDescent="0.3">
      <c r="A2485" s="11" t="s">
        <v>2344</v>
      </c>
      <c r="B2485" s="7">
        <v>44940</v>
      </c>
      <c r="C2485" s="7">
        <v>11.117000000000001</v>
      </c>
      <c r="D2485" s="2">
        <f t="shared" si="628"/>
        <v>-4.9999999999990052E-3</v>
      </c>
      <c r="E2485" s="8">
        <f t="shared" si="626"/>
        <v>11.109644574907801</v>
      </c>
      <c r="F2485" s="6">
        <f t="shared" si="618"/>
        <v>5.3633681952266025E-3</v>
      </c>
      <c r="G2485" s="12">
        <f t="shared" si="627"/>
        <v>7.3554250922001074E-3</v>
      </c>
    </row>
    <row r="2486" spans="1:18" x14ac:dyDescent="0.3">
      <c r="A2486" s="11" t="s">
        <v>2345</v>
      </c>
      <c r="B2486" s="24"/>
      <c r="C2486" s="25"/>
      <c r="D2486" s="25"/>
      <c r="E2486" s="25"/>
      <c r="F2486" s="25"/>
      <c r="G2486" s="26"/>
    </row>
    <row r="2487" spans="1:18" x14ac:dyDescent="0.3">
      <c r="A2487" s="11" t="s">
        <v>2346</v>
      </c>
      <c r="B2487" s="7">
        <v>44960</v>
      </c>
      <c r="C2487" s="7">
        <v>11.115</v>
      </c>
      <c r="D2487" s="2">
        <f>C2487-C2485</f>
        <v>-2.0000000000006679E-3</v>
      </c>
      <c r="E2487" s="8">
        <f>E2485+F2485</f>
        <v>11.115007943103027</v>
      </c>
      <c r="F2487" s="6">
        <f>F2485</f>
        <v>5.3633681952266025E-3</v>
      </c>
      <c r="G2487" s="12">
        <f t="shared" si="627"/>
        <v>-7.9431030268750646E-6</v>
      </c>
    </row>
    <row r="2488" spans="1:18" x14ac:dyDescent="0.3">
      <c r="A2488" s="21"/>
      <c r="B2488" s="22"/>
      <c r="C2488" s="22"/>
      <c r="D2488" s="22"/>
      <c r="E2488" s="22"/>
      <c r="F2488" s="22"/>
      <c r="G2488" s="23"/>
      <c r="H2488" s="4" t="s">
        <v>3498</v>
      </c>
      <c r="J2488" s="4"/>
      <c r="O2488" s="3">
        <f>1/O2489</f>
        <v>5.0251256281407036E-3</v>
      </c>
      <c r="P2488" s="3">
        <f>O2488*20</f>
        <v>0.10050251256281408</v>
      </c>
      <c r="Q2488" s="3" t="s">
        <v>3202</v>
      </c>
      <c r="R2488" s="3">
        <v>199</v>
      </c>
    </row>
    <row r="2489" spans="1:18" x14ac:dyDescent="0.3">
      <c r="A2489" s="11" t="s">
        <v>2347</v>
      </c>
      <c r="B2489" s="7">
        <v>44980</v>
      </c>
      <c r="C2489" s="7">
        <v>11.186</v>
      </c>
      <c r="D2489" s="2">
        <f>C2489-C2487</f>
        <v>7.099999999999973E-2</v>
      </c>
      <c r="E2489" s="8">
        <f>E2487+F2489</f>
        <v>11.215510455665841</v>
      </c>
      <c r="F2489" s="6">
        <f>P2488</f>
        <v>0.10050251256281408</v>
      </c>
      <c r="G2489" s="12">
        <f>C2489-E2489</f>
        <v>-2.9510455665841206E-2</v>
      </c>
      <c r="H2489" s="3">
        <f>B2487</f>
        <v>44960</v>
      </c>
      <c r="I2489" s="3">
        <f>B2499</f>
        <v>45180</v>
      </c>
      <c r="J2489" s="3">
        <f>I2489-H2489</f>
        <v>220</v>
      </c>
      <c r="K2489" s="5">
        <f>E2487</f>
        <v>11.115007943103027</v>
      </c>
      <c r="L2489" s="3">
        <f>C2499</f>
        <v>12.222</v>
      </c>
      <c r="M2489" s="5">
        <f>L2489-K2489</f>
        <v>1.1069920568969724</v>
      </c>
      <c r="N2489" s="3">
        <f>J2489/M2489</f>
        <v>198.73674669056399</v>
      </c>
      <c r="O2489" s="3">
        <v>199</v>
      </c>
    </row>
    <row r="2490" spans="1:18" x14ac:dyDescent="0.3">
      <c r="A2490" s="11" t="s">
        <v>2348</v>
      </c>
      <c r="B2490" s="7">
        <v>45000</v>
      </c>
      <c r="C2490" s="7">
        <v>11.311999999999999</v>
      </c>
      <c r="D2490" s="2">
        <f t="shared" si="628"/>
        <v>0.12599999999999945</v>
      </c>
      <c r="E2490" s="8">
        <f>E2489+F2489</f>
        <v>11.316012968228655</v>
      </c>
      <c r="F2490" s="6">
        <f t="shared" ref="F2490" si="629">F2489</f>
        <v>0.10050251256281408</v>
      </c>
      <c r="G2490" s="12">
        <f t="shared" ref="G2490" si="630">C2490-E2490</f>
        <v>-4.0129682286558221E-3</v>
      </c>
    </row>
    <row r="2491" spans="1:18" x14ac:dyDescent="0.3">
      <c r="A2491" s="11" t="s">
        <v>2349</v>
      </c>
      <c r="B2491" s="7">
        <v>45020</v>
      </c>
      <c r="C2491" s="7">
        <v>11.500999999999999</v>
      </c>
      <c r="D2491" s="2">
        <f t="shared" si="628"/>
        <v>0.18900000000000006</v>
      </c>
      <c r="E2491" s="8">
        <f t="shared" si="626"/>
        <v>11.416515480791469</v>
      </c>
      <c r="F2491" s="6">
        <f t="shared" si="618"/>
        <v>0.10050251256281408</v>
      </c>
      <c r="G2491" s="12">
        <f t="shared" si="627"/>
        <v>8.4484519208530173E-2</v>
      </c>
    </row>
    <row r="2492" spans="1:18" x14ac:dyDescent="0.3">
      <c r="A2492" s="11" t="s">
        <v>2350</v>
      </c>
      <c r="B2492" s="7">
        <v>45040</v>
      </c>
      <c r="C2492" s="7">
        <v>11.625999999999999</v>
      </c>
      <c r="D2492" s="2">
        <f t="shared" si="628"/>
        <v>0.125</v>
      </c>
      <c r="E2492" s="8">
        <f t="shared" si="626"/>
        <v>11.517017993354283</v>
      </c>
      <c r="F2492" s="6">
        <f t="shared" si="618"/>
        <v>0.10050251256281408</v>
      </c>
      <c r="G2492" s="12">
        <f t="shared" si="627"/>
        <v>0.10898200664571611</v>
      </c>
    </row>
    <row r="2493" spans="1:18" x14ac:dyDescent="0.3">
      <c r="A2493" s="11" t="s">
        <v>2351</v>
      </c>
      <c r="B2493" s="7">
        <v>45060</v>
      </c>
      <c r="C2493" s="7">
        <v>11.763</v>
      </c>
      <c r="D2493" s="2">
        <f t="shared" si="628"/>
        <v>0.13700000000000045</v>
      </c>
      <c r="E2493" s="8">
        <f t="shared" si="626"/>
        <v>11.617520505917097</v>
      </c>
      <c r="F2493" s="6">
        <f t="shared" si="618"/>
        <v>0.10050251256281408</v>
      </c>
      <c r="G2493" s="12">
        <f t="shared" si="627"/>
        <v>0.14547949408290251</v>
      </c>
    </row>
    <row r="2494" spans="1:18" x14ac:dyDescent="0.3">
      <c r="A2494" s="11" t="s">
        <v>2352</v>
      </c>
      <c r="B2494" s="7">
        <v>45080</v>
      </c>
      <c r="C2494" s="7">
        <v>11.842000000000001</v>
      </c>
      <c r="D2494" s="2">
        <f t="shared" si="628"/>
        <v>7.9000000000000625E-2</v>
      </c>
      <c r="E2494" s="8">
        <f t="shared" si="626"/>
        <v>11.718023018479911</v>
      </c>
      <c r="F2494" s="6">
        <f t="shared" si="618"/>
        <v>0.10050251256281408</v>
      </c>
      <c r="G2494" s="12">
        <f t="shared" si="627"/>
        <v>0.12397698152008907</v>
      </c>
    </row>
    <row r="2495" spans="1:18" x14ac:dyDescent="0.3">
      <c r="A2495" s="11" t="s">
        <v>2353</v>
      </c>
      <c r="B2495" s="7">
        <v>45100</v>
      </c>
      <c r="C2495" s="7">
        <v>11.895</v>
      </c>
      <c r="D2495" s="2">
        <f t="shared" si="628"/>
        <v>5.2999999999999048E-2</v>
      </c>
      <c r="E2495" s="8">
        <f t="shared" si="626"/>
        <v>11.818525531042726</v>
      </c>
      <c r="F2495" s="6">
        <f t="shared" si="618"/>
        <v>0.10050251256281408</v>
      </c>
      <c r="G2495" s="12">
        <f t="shared" si="627"/>
        <v>7.6474468957274055E-2</v>
      </c>
    </row>
    <row r="2496" spans="1:18" x14ac:dyDescent="0.3">
      <c r="A2496" s="11" t="s">
        <v>2354</v>
      </c>
      <c r="B2496" s="7">
        <v>45120</v>
      </c>
      <c r="C2496" s="7">
        <v>11.932</v>
      </c>
      <c r="D2496" s="2">
        <f t="shared" si="628"/>
        <v>3.700000000000081E-2</v>
      </c>
      <c r="E2496" s="8">
        <f t="shared" si="626"/>
        <v>11.91902804360554</v>
      </c>
      <c r="F2496" s="6">
        <f t="shared" si="618"/>
        <v>0.10050251256281408</v>
      </c>
      <c r="G2496" s="12">
        <f t="shared" si="627"/>
        <v>1.2971956394460804E-2</v>
      </c>
    </row>
    <row r="2497" spans="1:18" x14ac:dyDescent="0.3">
      <c r="A2497" s="11" t="s">
        <v>2355</v>
      </c>
      <c r="B2497" s="7">
        <v>45140</v>
      </c>
      <c r="C2497" s="7">
        <v>12.018000000000001</v>
      </c>
      <c r="D2497" s="2">
        <f t="shared" si="628"/>
        <v>8.6000000000000298E-2</v>
      </c>
      <c r="E2497" s="8">
        <f t="shared" ref="E2497:E2499" si="631">E2496+F2496</f>
        <v>12.019530556168354</v>
      </c>
      <c r="F2497" s="6">
        <f t="shared" si="618"/>
        <v>0.10050251256281408</v>
      </c>
      <c r="G2497" s="12">
        <f t="shared" ref="G2497:G2518" si="632">C2497-E2497</f>
        <v>-1.5305561683529589E-3</v>
      </c>
    </row>
    <row r="2498" spans="1:18" x14ac:dyDescent="0.3">
      <c r="A2498" s="11" t="s">
        <v>2356</v>
      </c>
      <c r="B2498" s="7">
        <v>45160</v>
      </c>
      <c r="C2498" s="7">
        <v>12.11</v>
      </c>
      <c r="D2498" s="2">
        <f t="shared" si="628"/>
        <v>9.1999999999998749E-2</v>
      </c>
      <c r="E2498" s="8">
        <f t="shared" si="631"/>
        <v>12.120033068731168</v>
      </c>
      <c r="F2498" s="6">
        <f t="shared" si="618"/>
        <v>0.10050251256281408</v>
      </c>
      <c r="G2498" s="12">
        <f t="shared" si="632"/>
        <v>-1.0033068731168271E-2</v>
      </c>
    </row>
    <row r="2499" spans="1:18" x14ac:dyDescent="0.3">
      <c r="A2499" s="11" t="s">
        <v>2357</v>
      </c>
      <c r="B2499" s="7">
        <v>45180</v>
      </c>
      <c r="C2499" s="7">
        <v>12.222</v>
      </c>
      <c r="D2499" s="2">
        <f t="shared" si="628"/>
        <v>0.1120000000000001</v>
      </c>
      <c r="E2499" s="8">
        <f t="shared" si="631"/>
        <v>12.220535581293982</v>
      </c>
      <c r="F2499" s="6">
        <f t="shared" si="618"/>
        <v>0.10050251256281408</v>
      </c>
      <c r="G2499" s="12">
        <f t="shared" si="632"/>
        <v>1.4644187060177671E-3</v>
      </c>
    </row>
    <row r="2500" spans="1:18" x14ac:dyDescent="0.3">
      <c r="A2500" s="21"/>
      <c r="B2500" s="22"/>
      <c r="C2500" s="22"/>
      <c r="D2500" s="22"/>
      <c r="E2500" s="22"/>
      <c r="F2500" s="22"/>
      <c r="G2500" s="23"/>
      <c r="H2500" s="4" t="s">
        <v>3499</v>
      </c>
      <c r="J2500" s="4"/>
      <c r="O2500" s="3">
        <f>1/O2501</f>
        <v>3.9416633819471815E-4</v>
      </c>
      <c r="P2500" s="3">
        <f>O2500*20</f>
        <v>7.883326763894364E-3</v>
      </c>
      <c r="Q2500" s="3" t="s">
        <v>3200</v>
      </c>
      <c r="R2500" s="3">
        <v>2537</v>
      </c>
    </row>
    <row r="2501" spans="1:18" x14ac:dyDescent="0.3">
      <c r="A2501" s="11" t="s">
        <v>2358</v>
      </c>
      <c r="B2501" s="7">
        <v>45200</v>
      </c>
      <c r="C2501" s="7">
        <v>12.337999999999999</v>
      </c>
      <c r="D2501" s="2">
        <f>C2501-C2499</f>
        <v>0.11599999999999966</v>
      </c>
      <c r="E2501" s="8">
        <f>E2499-F2501</f>
        <v>12.212652254530088</v>
      </c>
      <c r="F2501" s="6">
        <f>P2500</f>
        <v>7.883326763894364E-3</v>
      </c>
      <c r="G2501" s="12">
        <f>C2501-E2501</f>
        <v>0.12534774546991123</v>
      </c>
      <c r="H2501" s="3">
        <f>B2499</f>
        <v>45180</v>
      </c>
      <c r="I2501" s="3">
        <f>B2504</f>
        <v>45260</v>
      </c>
      <c r="J2501" s="3">
        <f>I2501-H2501</f>
        <v>80</v>
      </c>
      <c r="K2501" s="5">
        <f>E2499</f>
        <v>12.220535581293982</v>
      </c>
      <c r="L2501" s="3">
        <f>C2504</f>
        <v>12.189</v>
      </c>
      <c r="M2501" s="5">
        <f>L2501-K2501</f>
        <v>-3.1535581293981707E-2</v>
      </c>
      <c r="N2501" s="3">
        <f>J2501/M2501</f>
        <v>-2536.8170402258388</v>
      </c>
      <c r="O2501" s="3">
        <v>2537</v>
      </c>
    </row>
    <row r="2502" spans="1:18" x14ac:dyDescent="0.3">
      <c r="A2502" s="11" t="s">
        <v>2359</v>
      </c>
      <c r="B2502" s="7">
        <v>45220</v>
      </c>
      <c r="C2502" s="7">
        <v>12.364000000000001</v>
      </c>
      <c r="D2502" s="2">
        <f t="shared" si="628"/>
        <v>2.6000000000001577E-2</v>
      </c>
      <c r="E2502" s="8">
        <f>E2501-F2501</f>
        <v>12.204768927766194</v>
      </c>
      <c r="F2502" s="6">
        <f t="shared" ref="F2502" si="633">F2501</f>
        <v>7.883326763894364E-3</v>
      </c>
      <c r="G2502" s="12">
        <f t="shared" ref="G2502" si="634">C2502-E2502</f>
        <v>0.15923107223380661</v>
      </c>
    </row>
    <row r="2503" spans="1:18" x14ac:dyDescent="0.3">
      <c r="A2503" s="11" t="s">
        <v>2360</v>
      </c>
      <c r="B2503" s="7">
        <v>45240</v>
      </c>
      <c r="C2503" s="7">
        <v>12.282999999999999</v>
      </c>
      <c r="D2503" s="2">
        <f t="shared" si="628"/>
        <v>-8.1000000000001293E-2</v>
      </c>
      <c r="E2503" s="8">
        <f t="shared" ref="E2503:E2518" si="635">E2502-F2502</f>
        <v>12.1968856010023</v>
      </c>
      <c r="F2503" s="6">
        <f t="shared" si="618"/>
        <v>7.883326763894364E-3</v>
      </c>
      <c r="G2503" s="12">
        <f t="shared" si="632"/>
        <v>8.6114398997699126E-2</v>
      </c>
    </row>
    <row r="2504" spans="1:18" x14ac:dyDescent="0.3">
      <c r="A2504" s="11" t="s">
        <v>2361</v>
      </c>
      <c r="B2504" s="7">
        <v>45260</v>
      </c>
      <c r="C2504" s="7">
        <v>12.189</v>
      </c>
      <c r="D2504" s="2">
        <f t="shared" si="628"/>
        <v>-9.3999999999999417E-2</v>
      </c>
      <c r="E2504" s="8">
        <f t="shared" si="635"/>
        <v>12.189002274238407</v>
      </c>
      <c r="F2504" s="6">
        <f t="shared" si="618"/>
        <v>7.883326763894364E-3</v>
      </c>
      <c r="G2504" s="12">
        <f t="shared" si="632"/>
        <v>-2.2742384064855514E-6</v>
      </c>
    </row>
    <row r="2505" spans="1:18" x14ac:dyDescent="0.3">
      <c r="A2505" s="21"/>
      <c r="B2505" s="22"/>
      <c r="C2505" s="22"/>
      <c r="D2505" s="22"/>
      <c r="E2505" s="22"/>
      <c r="F2505" s="22"/>
      <c r="G2505" s="23"/>
      <c r="H2505" s="4" t="s">
        <v>37</v>
      </c>
      <c r="J2505" s="4"/>
      <c r="O2505" s="3">
        <f>1/O2506</f>
        <v>5.1813471502590676E-3</v>
      </c>
      <c r="P2505" s="3">
        <f>O2505*20</f>
        <v>0.10362694300518135</v>
      </c>
      <c r="Q2505" s="3" t="s">
        <v>3200</v>
      </c>
      <c r="R2505" s="3">
        <v>193</v>
      </c>
    </row>
    <row r="2506" spans="1:18" x14ac:dyDescent="0.3">
      <c r="A2506" s="11" t="s">
        <v>2362</v>
      </c>
      <c r="B2506" s="7">
        <v>45280</v>
      </c>
      <c r="C2506" s="7">
        <v>12.089</v>
      </c>
      <c r="D2506" s="2">
        <f>C2506-C2504</f>
        <v>-9.9999999999999645E-2</v>
      </c>
      <c r="E2506" s="8">
        <f>E2504-F2506</f>
        <v>12.085375331233225</v>
      </c>
      <c r="F2506" s="6">
        <f>P2505</f>
        <v>0.10362694300518135</v>
      </c>
      <c r="G2506" s="12">
        <f>C2506-E2506</f>
        <v>3.624668766775585E-3</v>
      </c>
      <c r="H2506" s="3">
        <f>B2504</f>
        <v>45260</v>
      </c>
      <c r="I2506" s="3">
        <f>B2513</f>
        <v>45420</v>
      </c>
      <c r="J2506" s="3">
        <f>I2506-H2506</f>
        <v>160</v>
      </c>
      <c r="K2506" s="5">
        <f>E2504</f>
        <v>12.189002274238407</v>
      </c>
      <c r="L2506" s="3">
        <f>C2513</f>
        <v>11.361000000000001</v>
      </c>
      <c r="M2506" s="5">
        <f>L2506-K2506</f>
        <v>-0.82800227423840589</v>
      </c>
      <c r="N2506" s="3">
        <f>J2506/M2506</f>
        <v>-193.23618422083143</v>
      </c>
      <c r="O2506" s="3">
        <v>193</v>
      </c>
    </row>
    <row r="2507" spans="1:18" x14ac:dyDescent="0.3">
      <c r="A2507" s="11" t="s">
        <v>2363</v>
      </c>
      <c r="B2507" s="7">
        <v>45300</v>
      </c>
      <c r="C2507" s="7">
        <v>11.946</v>
      </c>
      <c r="D2507" s="2">
        <f t="shared" si="628"/>
        <v>-0.14300000000000068</v>
      </c>
      <c r="E2507" s="8">
        <f>E2506-F2506</f>
        <v>11.981748388228043</v>
      </c>
      <c r="F2507" s="6">
        <f t="shared" ref="F2507" si="636">F2506</f>
        <v>0.10362694300518135</v>
      </c>
      <c r="G2507" s="12">
        <f t="shared" ref="G2507" si="637">C2507-E2507</f>
        <v>-3.5748388228043382E-2</v>
      </c>
    </row>
    <row r="2508" spans="1:18" x14ac:dyDescent="0.3">
      <c r="A2508" s="11" t="s">
        <v>2364</v>
      </c>
      <c r="B2508" s="7">
        <v>45320</v>
      </c>
      <c r="C2508" s="7">
        <v>11.898</v>
      </c>
      <c r="D2508" s="2">
        <f t="shared" si="628"/>
        <v>-4.8000000000000043E-2</v>
      </c>
      <c r="E2508" s="8">
        <f t="shared" si="635"/>
        <v>11.878121445222861</v>
      </c>
      <c r="F2508" s="6">
        <f t="shared" si="618"/>
        <v>0.10362694300518135</v>
      </c>
      <c r="G2508" s="12">
        <f t="shared" si="632"/>
        <v>1.9878554777138291E-2</v>
      </c>
    </row>
    <row r="2509" spans="1:18" x14ac:dyDescent="0.3">
      <c r="A2509" s="11" t="s">
        <v>2365</v>
      </c>
      <c r="B2509" s="7">
        <v>45340</v>
      </c>
      <c r="C2509" s="7">
        <v>11.831</v>
      </c>
      <c r="D2509" s="2">
        <f t="shared" si="628"/>
        <v>-6.7000000000000171E-2</v>
      </c>
      <c r="E2509" s="8">
        <f t="shared" si="635"/>
        <v>11.77449450221768</v>
      </c>
      <c r="F2509" s="6">
        <f t="shared" si="618"/>
        <v>0.10362694300518135</v>
      </c>
      <c r="G2509" s="12">
        <f t="shared" si="632"/>
        <v>5.6505497782319836E-2</v>
      </c>
    </row>
    <row r="2510" spans="1:18" x14ac:dyDescent="0.3">
      <c r="A2510" s="11" t="s">
        <v>2366</v>
      </c>
      <c r="B2510" s="7">
        <v>45360</v>
      </c>
      <c r="C2510" s="7">
        <v>11.756</v>
      </c>
      <c r="D2510" s="2">
        <f t="shared" si="628"/>
        <v>-7.4999999999999289E-2</v>
      </c>
      <c r="E2510" s="8">
        <f t="shared" si="635"/>
        <v>11.670867559212498</v>
      </c>
      <c r="F2510" s="6">
        <f t="shared" si="618"/>
        <v>0.10362694300518135</v>
      </c>
      <c r="G2510" s="12">
        <f t="shared" si="632"/>
        <v>8.5132440787502262E-2</v>
      </c>
    </row>
    <row r="2511" spans="1:18" x14ac:dyDescent="0.3">
      <c r="A2511" s="11" t="s">
        <v>2367</v>
      </c>
      <c r="B2511" s="7">
        <v>45380</v>
      </c>
      <c r="C2511" s="7">
        <v>11.656000000000001</v>
      </c>
      <c r="D2511" s="2">
        <f t="shared" si="628"/>
        <v>-9.9999999999999645E-2</v>
      </c>
      <c r="E2511" s="8">
        <f t="shared" si="635"/>
        <v>11.567240616207316</v>
      </c>
      <c r="F2511" s="6">
        <f t="shared" si="618"/>
        <v>0.10362694300518135</v>
      </c>
      <c r="G2511" s="12">
        <f t="shared" si="632"/>
        <v>8.8759383792684332E-2</v>
      </c>
    </row>
    <row r="2512" spans="1:18" x14ac:dyDescent="0.3">
      <c r="A2512" s="11" t="s">
        <v>2368</v>
      </c>
      <c r="B2512" s="7">
        <v>45400</v>
      </c>
      <c r="C2512" s="7">
        <v>11.510999999999999</v>
      </c>
      <c r="D2512" s="2">
        <f t="shared" si="628"/>
        <v>-0.14500000000000135</v>
      </c>
      <c r="E2512" s="8">
        <f t="shared" si="635"/>
        <v>11.463613673202135</v>
      </c>
      <c r="F2512" s="6">
        <f t="shared" si="618"/>
        <v>0.10362694300518135</v>
      </c>
      <c r="G2512" s="12">
        <f t="shared" si="632"/>
        <v>4.7386326797864697E-2</v>
      </c>
    </row>
    <row r="2513" spans="1:18" x14ac:dyDescent="0.3">
      <c r="A2513" s="11" t="s">
        <v>2369</v>
      </c>
      <c r="B2513" s="7">
        <v>45420</v>
      </c>
      <c r="C2513" s="7">
        <v>11.361000000000001</v>
      </c>
      <c r="D2513" s="2">
        <f t="shared" si="628"/>
        <v>-0.14999999999999858</v>
      </c>
      <c r="E2513" s="8">
        <f t="shared" si="635"/>
        <v>11.359986730196953</v>
      </c>
      <c r="F2513" s="6">
        <f t="shared" ref="F2513:F2580" si="638">F2512</f>
        <v>0.10362694300518135</v>
      </c>
      <c r="G2513" s="12">
        <f t="shared" si="632"/>
        <v>1.0132698030478338E-3</v>
      </c>
    </row>
    <row r="2514" spans="1:18" x14ac:dyDescent="0.3">
      <c r="A2514" s="21"/>
      <c r="B2514" s="22"/>
      <c r="C2514" s="22"/>
      <c r="D2514" s="22"/>
      <c r="E2514" s="22"/>
      <c r="F2514" s="22"/>
      <c r="G2514" s="23"/>
      <c r="H2514" s="4" t="s">
        <v>38</v>
      </c>
      <c r="J2514" s="4"/>
      <c r="O2514" s="3">
        <f>1/O2515</f>
        <v>8.2644628099173556E-3</v>
      </c>
      <c r="P2514" s="3">
        <f>O2514*20</f>
        <v>0.16528925619834711</v>
      </c>
      <c r="Q2514" s="3" t="s">
        <v>3200</v>
      </c>
      <c r="R2514" s="3">
        <v>121</v>
      </c>
    </row>
    <row r="2515" spans="1:18" x14ac:dyDescent="0.3">
      <c r="A2515" s="11" t="s">
        <v>2370</v>
      </c>
      <c r="B2515" s="7">
        <v>45440</v>
      </c>
      <c r="C2515" s="7">
        <v>11.183</v>
      </c>
      <c r="D2515" s="2">
        <f>C2515-C2513</f>
        <v>-0.17800000000000082</v>
      </c>
      <c r="E2515" s="8">
        <f>E2513-F2515</f>
        <v>11.194697473998605</v>
      </c>
      <c r="F2515" s="6">
        <f>P2514</f>
        <v>0.16528925619834711</v>
      </c>
      <c r="G2515" s="12">
        <f>C2515-E2515</f>
        <v>-1.1697473998605545E-2</v>
      </c>
      <c r="H2515" s="3">
        <f>B2513</f>
        <v>45420</v>
      </c>
      <c r="I2515" s="3">
        <f>B2522</f>
        <v>45580</v>
      </c>
      <c r="J2515" s="3">
        <f>I2515-H2515</f>
        <v>160</v>
      </c>
      <c r="K2515" s="5">
        <f>E2513</f>
        <v>11.359986730196953</v>
      </c>
      <c r="L2515" s="3">
        <f>C2522</f>
        <v>10.035</v>
      </c>
      <c r="M2515" s="5">
        <f>L2515-K2515</f>
        <v>-1.3249867301969527</v>
      </c>
      <c r="N2515" s="3">
        <f>J2515/M2515</f>
        <v>-120.7559263451769</v>
      </c>
      <c r="O2515" s="3">
        <v>121</v>
      </c>
    </row>
    <row r="2516" spans="1:18" x14ac:dyDescent="0.3">
      <c r="A2516" s="11" t="s">
        <v>2371</v>
      </c>
      <c r="B2516" s="7">
        <v>45460</v>
      </c>
      <c r="C2516" s="7">
        <v>10.95</v>
      </c>
      <c r="D2516" s="2">
        <f t="shared" si="628"/>
        <v>-0.23300000000000054</v>
      </c>
      <c r="E2516" s="8">
        <f>E2515-F2515</f>
        <v>11.029408217800258</v>
      </c>
      <c r="F2516" s="6">
        <f t="shared" ref="F2516" si="639">F2515</f>
        <v>0.16528925619834711</v>
      </c>
      <c r="G2516" s="12">
        <f t="shared" ref="G2516" si="640">C2516-E2516</f>
        <v>-7.940821780025864E-2</v>
      </c>
    </row>
    <row r="2517" spans="1:18" x14ac:dyDescent="0.3">
      <c r="A2517" s="11" t="s">
        <v>2372</v>
      </c>
      <c r="B2517" s="7">
        <v>45480</v>
      </c>
      <c r="C2517" s="7">
        <v>10.792999999999999</v>
      </c>
      <c r="D2517" s="2">
        <f t="shared" si="628"/>
        <v>-0.15700000000000003</v>
      </c>
      <c r="E2517" s="8">
        <f t="shared" si="635"/>
        <v>10.86411896160191</v>
      </c>
      <c r="F2517" s="6">
        <f t="shared" si="638"/>
        <v>0.16528925619834711</v>
      </c>
      <c r="G2517" s="12">
        <f t="shared" si="632"/>
        <v>-7.1118961601911224E-2</v>
      </c>
    </row>
    <row r="2518" spans="1:18" x14ac:dyDescent="0.3">
      <c r="A2518" s="11" t="s">
        <v>2373</v>
      </c>
      <c r="B2518" s="7">
        <v>45500</v>
      </c>
      <c r="C2518" s="7">
        <v>10.603999999999999</v>
      </c>
      <c r="D2518" s="2">
        <f t="shared" si="628"/>
        <v>-0.18900000000000006</v>
      </c>
      <c r="E2518" s="8">
        <f t="shared" si="635"/>
        <v>10.698829705403563</v>
      </c>
      <c r="F2518" s="6">
        <f t="shared" si="638"/>
        <v>0.16528925619834711</v>
      </c>
      <c r="G2518" s="12">
        <f t="shared" si="632"/>
        <v>-9.4829705403563835E-2</v>
      </c>
    </row>
    <row r="2519" spans="1:18" x14ac:dyDescent="0.3">
      <c r="A2519" s="11" t="s">
        <v>2374</v>
      </c>
      <c r="B2519" s="7">
        <v>45520</v>
      </c>
      <c r="C2519" s="7">
        <v>10.456</v>
      </c>
      <c r="D2519" s="2">
        <f t="shared" si="628"/>
        <v>-0.14799999999999969</v>
      </c>
      <c r="E2519" s="8">
        <f t="shared" ref="E2519:E2537" si="641">E2518-F2518</f>
        <v>10.533540449205216</v>
      </c>
      <c r="F2519" s="6">
        <f t="shared" si="638"/>
        <v>0.16528925619834711</v>
      </c>
      <c r="G2519" s="12">
        <f t="shared" ref="G2519:G2537" si="642">C2519-E2519</f>
        <v>-7.7540449205216078E-2</v>
      </c>
    </row>
    <row r="2520" spans="1:18" x14ac:dyDescent="0.3">
      <c r="A2520" s="11" t="s">
        <v>2375</v>
      </c>
      <c r="B2520" s="7">
        <v>45540</v>
      </c>
      <c r="C2520" s="7">
        <v>10.304</v>
      </c>
      <c r="D2520" s="2">
        <f t="shared" si="628"/>
        <v>-0.15199999999999925</v>
      </c>
      <c r="E2520" s="8">
        <f t="shared" si="641"/>
        <v>10.368251193006868</v>
      </c>
      <c r="F2520" s="6">
        <f t="shared" si="638"/>
        <v>0.16528925619834711</v>
      </c>
      <c r="G2520" s="12">
        <f t="shared" si="642"/>
        <v>-6.4251193006867879E-2</v>
      </c>
    </row>
    <row r="2521" spans="1:18" x14ac:dyDescent="0.3">
      <c r="A2521" s="11" t="s">
        <v>2376</v>
      </c>
      <c r="B2521" s="7">
        <v>45560</v>
      </c>
      <c r="C2521" s="7">
        <v>10.117000000000001</v>
      </c>
      <c r="D2521" s="2">
        <f t="shared" si="628"/>
        <v>-0.18699999999999939</v>
      </c>
      <c r="E2521" s="8">
        <f t="shared" si="641"/>
        <v>10.202961936808521</v>
      </c>
      <c r="F2521" s="6">
        <f t="shared" si="638"/>
        <v>0.16528925619834711</v>
      </c>
      <c r="G2521" s="12">
        <f t="shared" si="642"/>
        <v>-8.5961936808519823E-2</v>
      </c>
    </row>
    <row r="2522" spans="1:18" x14ac:dyDescent="0.3">
      <c r="A2522" s="11" t="s">
        <v>2377</v>
      </c>
      <c r="B2522" s="7">
        <v>45580</v>
      </c>
      <c r="C2522" s="7">
        <v>10.035</v>
      </c>
      <c r="D2522" s="2">
        <f t="shared" si="628"/>
        <v>-8.2000000000000739E-2</v>
      </c>
      <c r="E2522" s="8">
        <f t="shared" si="641"/>
        <v>10.037672680610173</v>
      </c>
      <c r="F2522" s="6">
        <f t="shared" si="638"/>
        <v>0.16528925619834711</v>
      </c>
      <c r="G2522" s="12">
        <f t="shared" si="642"/>
        <v>-2.6726806101731171E-3</v>
      </c>
    </row>
    <row r="2523" spans="1:18" x14ac:dyDescent="0.3">
      <c r="A2523" s="11"/>
      <c r="B2523" s="7"/>
      <c r="C2523" s="7"/>
      <c r="D2523" s="2"/>
      <c r="E2523" s="8"/>
      <c r="F2523" s="6"/>
      <c r="G2523" s="12"/>
      <c r="H2523" s="4" t="s">
        <v>3500</v>
      </c>
      <c r="J2523" s="4"/>
      <c r="O2523" s="3">
        <f>1/O2524</f>
        <v>1.6310552927744252E-4</v>
      </c>
      <c r="P2523" s="3">
        <f>O2523*20</f>
        <v>3.2621105855488502E-3</v>
      </c>
      <c r="Q2523" s="3" t="s">
        <v>3200</v>
      </c>
      <c r="R2523" s="3">
        <v>6131</v>
      </c>
    </row>
    <row r="2524" spans="1:18" x14ac:dyDescent="0.3">
      <c r="A2524" s="11" t="s">
        <v>2378</v>
      </c>
      <c r="B2524" s="7">
        <v>45600</v>
      </c>
      <c r="C2524" s="7">
        <v>9.9779999999999998</v>
      </c>
      <c r="D2524" s="2">
        <f>C2524-C2522</f>
        <v>-5.7000000000000384E-2</v>
      </c>
      <c r="E2524" s="8">
        <f>E2522-F2524</f>
        <v>10.034410570024624</v>
      </c>
      <c r="F2524" s="6">
        <f>P2523</f>
        <v>3.2621105855488502E-3</v>
      </c>
      <c r="G2524" s="12">
        <f>C2524-E2524</f>
        <v>-5.6410570024624462E-2</v>
      </c>
      <c r="H2524" s="3">
        <f>B2522</f>
        <v>45580</v>
      </c>
      <c r="I2524" s="3">
        <f>B2537</f>
        <v>45860</v>
      </c>
      <c r="J2524" s="3">
        <f>I2524-H2524</f>
        <v>280</v>
      </c>
      <c r="K2524" s="5">
        <f>E2522</f>
        <v>10.037672680610173</v>
      </c>
      <c r="L2524" s="3">
        <f>C2537</f>
        <v>9.9920000000000009</v>
      </c>
      <c r="M2524" s="5">
        <f>L2524-K2524</f>
        <v>-4.5672680610172378E-2</v>
      </c>
      <c r="N2524" s="3">
        <f>J2524/M2524</f>
        <v>-6130.5795118501856</v>
      </c>
      <c r="O2524" s="3">
        <v>6131</v>
      </c>
    </row>
    <row r="2525" spans="1:18" x14ac:dyDescent="0.3">
      <c r="A2525" s="11" t="s">
        <v>2379</v>
      </c>
      <c r="B2525" s="7">
        <v>45620</v>
      </c>
      <c r="C2525" s="7">
        <v>9.9499999999999993</v>
      </c>
      <c r="D2525" s="2">
        <f t="shared" si="628"/>
        <v>-2.8000000000000469E-2</v>
      </c>
      <c r="E2525" s="8">
        <f>E2524-F2524</f>
        <v>10.031148459439075</v>
      </c>
      <c r="F2525" s="6">
        <f t="shared" ref="F2525" si="643">F2524</f>
        <v>3.2621105855488502E-3</v>
      </c>
      <c r="G2525" s="12">
        <f t="shared" ref="G2525" si="644">C2525-E2525</f>
        <v>-8.1148459439075893E-2</v>
      </c>
    </row>
    <row r="2526" spans="1:18" x14ac:dyDescent="0.3">
      <c r="A2526" s="11" t="s">
        <v>2380</v>
      </c>
      <c r="B2526" s="7">
        <v>45640</v>
      </c>
      <c r="C2526" s="7">
        <v>9.9239999999999995</v>
      </c>
      <c r="D2526" s="2">
        <f t="shared" si="628"/>
        <v>-2.5999999999999801E-2</v>
      </c>
      <c r="E2526" s="8">
        <f t="shared" si="641"/>
        <v>10.027886348853526</v>
      </c>
      <c r="F2526" s="6">
        <f t="shared" si="638"/>
        <v>3.2621105855488502E-3</v>
      </c>
      <c r="G2526" s="12">
        <f t="shared" si="642"/>
        <v>-0.10388634885352666</v>
      </c>
    </row>
    <row r="2527" spans="1:18" x14ac:dyDescent="0.3">
      <c r="A2527" s="11" t="s">
        <v>2381</v>
      </c>
      <c r="B2527" s="7">
        <v>45660</v>
      </c>
      <c r="C2527" s="7">
        <v>9.8800000000000008</v>
      </c>
      <c r="D2527" s="2">
        <f t="shared" si="628"/>
        <v>-4.3999999999998707E-2</v>
      </c>
      <c r="E2527" s="8">
        <f t="shared" si="641"/>
        <v>10.024624238267977</v>
      </c>
      <c r="F2527" s="6">
        <f t="shared" si="638"/>
        <v>3.2621105855488502E-3</v>
      </c>
      <c r="G2527" s="12">
        <f t="shared" si="642"/>
        <v>-0.14462423826797632</v>
      </c>
    </row>
    <row r="2528" spans="1:18" x14ac:dyDescent="0.3">
      <c r="A2528" s="11" t="s">
        <v>2382</v>
      </c>
      <c r="B2528" s="7">
        <v>45680</v>
      </c>
      <c r="C2528" s="7">
        <v>9.8650000000000002</v>
      </c>
      <c r="D2528" s="2">
        <f t="shared" si="628"/>
        <v>-1.5000000000000568E-2</v>
      </c>
      <c r="E2528" s="8">
        <f t="shared" si="641"/>
        <v>10.021362127682428</v>
      </c>
      <c r="F2528" s="6">
        <f t="shared" si="638"/>
        <v>3.2621105855488502E-3</v>
      </c>
      <c r="G2528" s="12">
        <f t="shared" si="642"/>
        <v>-0.15636212768242785</v>
      </c>
    </row>
    <row r="2529" spans="1:18" x14ac:dyDescent="0.3">
      <c r="A2529" s="11" t="s">
        <v>2383</v>
      </c>
      <c r="B2529" s="7">
        <v>45700</v>
      </c>
      <c r="C2529" s="7">
        <v>9.8640000000000008</v>
      </c>
      <c r="D2529" s="2">
        <f t="shared" si="628"/>
        <v>-9.9999999999944578E-4</v>
      </c>
      <c r="E2529" s="8">
        <f t="shared" si="641"/>
        <v>10.018100017096879</v>
      </c>
      <c r="F2529" s="6">
        <f t="shared" si="638"/>
        <v>3.2621105855488502E-3</v>
      </c>
      <c r="G2529" s="12">
        <f t="shared" si="642"/>
        <v>-0.15410001709687826</v>
      </c>
    </row>
    <row r="2530" spans="1:18" x14ac:dyDescent="0.3">
      <c r="A2530" s="11" t="s">
        <v>2384</v>
      </c>
      <c r="B2530" s="7">
        <v>45720</v>
      </c>
      <c r="C2530" s="7">
        <v>9.859</v>
      </c>
      <c r="D2530" s="2">
        <f t="shared" si="628"/>
        <v>-5.0000000000007816E-3</v>
      </c>
      <c r="E2530" s="8">
        <f t="shared" si="641"/>
        <v>10.01483790651133</v>
      </c>
      <c r="F2530" s="6">
        <f t="shared" si="638"/>
        <v>3.2621105855488502E-3</v>
      </c>
      <c r="G2530" s="12">
        <f t="shared" si="642"/>
        <v>-0.15583790651133</v>
      </c>
    </row>
    <row r="2531" spans="1:18" x14ac:dyDescent="0.3">
      <c r="A2531" s="11" t="s">
        <v>2385</v>
      </c>
      <c r="B2531" s="7">
        <v>45740</v>
      </c>
      <c r="C2531" s="7">
        <v>9.8840000000000003</v>
      </c>
      <c r="D2531" s="2">
        <f t="shared" si="628"/>
        <v>2.5000000000000355E-2</v>
      </c>
      <c r="E2531" s="8">
        <f t="shared" si="641"/>
        <v>10.011575795925781</v>
      </c>
      <c r="F2531" s="6">
        <f t="shared" si="638"/>
        <v>3.2621105855488502E-3</v>
      </c>
      <c r="G2531" s="12">
        <f t="shared" si="642"/>
        <v>-0.12757579592578061</v>
      </c>
    </row>
    <row r="2532" spans="1:18" x14ac:dyDescent="0.3">
      <c r="A2532" s="11" t="s">
        <v>2386</v>
      </c>
      <c r="B2532" s="7">
        <v>45760</v>
      </c>
      <c r="C2532" s="7">
        <v>9.89</v>
      </c>
      <c r="D2532" s="2">
        <f t="shared" si="628"/>
        <v>6.0000000000002274E-3</v>
      </c>
      <c r="E2532" s="8">
        <f t="shared" si="641"/>
        <v>10.008313685340232</v>
      </c>
      <c r="F2532" s="6">
        <f t="shared" si="638"/>
        <v>3.2621105855488502E-3</v>
      </c>
      <c r="G2532" s="12">
        <f t="shared" si="642"/>
        <v>-0.11831368534023134</v>
      </c>
    </row>
    <row r="2533" spans="1:18" x14ac:dyDescent="0.3">
      <c r="A2533" s="11" t="s">
        <v>2387</v>
      </c>
      <c r="B2533" s="7">
        <v>45780</v>
      </c>
      <c r="C2533" s="7">
        <v>9.8810000000000002</v>
      </c>
      <c r="D2533" s="2">
        <f t="shared" si="628"/>
        <v>-9.0000000000003411E-3</v>
      </c>
      <c r="E2533" s="8">
        <f t="shared" si="641"/>
        <v>10.005051574754683</v>
      </c>
      <c r="F2533" s="6">
        <f t="shared" si="638"/>
        <v>3.2621105855488502E-3</v>
      </c>
      <c r="G2533" s="12">
        <f t="shared" si="642"/>
        <v>-0.12405157475468265</v>
      </c>
    </row>
    <row r="2534" spans="1:18" x14ac:dyDescent="0.3">
      <c r="A2534" s="11" t="s">
        <v>2388</v>
      </c>
      <c r="B2534" s="7">
        <v>45800</v>
      </c>
      <c r="C2534" s="7">
        <v>9.9719999999999995</v>
      </c>
      <c r="D2534" s="2">
        <f t="shared" si="628"/>
        <v>9.0999999999999304E-2</v>
      </c>
      <c r="E2534" s="8">
        <f t="shared" si="641"/>
        <v>10.001789464169134</v>
      </c>
      <c r="F2534" s="6">
        <f t="shared" si="638"/>
        <v>3.2621105855488502E-3</v>
      </c>
      <c r="G2534" s="12">
        <f t="shared" si="642"/>
        <v>-2.9789464169134305E-2</v>
      </c>
    </row>
    <row r="2535" spans="1:18" x14ac:dyDescent="0.3">
      <c r="A2535" s="11" t="s">
        <v>2389</v>
      </c>
      <c r="B2535" s="7">
        <v>45820</v>
      </c>
      <c r="C2535" s="7">
        <v>9.9689999999999994</v>
      </c>
      <c r="D2535" s="2">
        <f t="shared" si="628"/>
        <v>-3.0000000000001137E-3</v>
      </c>
      <c r="E2535" s="8">
        <f t="shared" si="641"/>
        <v>9.9985273535835848</v>
      </c>
      <c r="F2535" s="6">
        <f t="shared" si="638"/>
        <v>3.2621105855488502E-3</v>
      </c>
      <c r="G2535" s="12">
        <f t="shared" si="642"/>
        <v>-2.9527353583585381E-2</v>
      </c>
    </row>
    <row r="2536" spans="1:18" x14ac:dyDescent="0.3">
      <c r="A2536" s="11" t="s">
        <v>2390</v>
      </c>
      <c r="B2536" s="7">
        <v>45840</v>
      </c>
      <c r="C2536" s="7">
        <v>9.9760000000000009</v>
      </c>
      <c r="D2536" s="2">
        <f t="shared" si="628"/>
        <v>7.0000000000014495E-3</v>
      </c>
      <c r="E2536" s="8">
        <f t="shared" si="641"/>
        <v>9.9952652429980358</v>
      </c>
      <c r="F2536" s="6">
        <f t="shared" si="638"/>
        <v>3.2621105855488502E-3</v>
      </c>
      <c r="G2536" s="12">
        <f t="shared" si="642"/>
        <v>-1.9265242998034893E-2</v>
      </c>
    </row>
    <row r="2537" spans="1:18" x14ac:dyDescent="0.3">
      <c r="A2537" s="11" t="s">
        <v>2391</v>
      </c>
      <c r="B2537" s="7">
        <v>45860</v>
      </c>
      <c r="C2537" s="7">
        <v>9.9920000000000009</v>
      </c>
      <c r="D2537" s="2">
        <f t="shared" si="628"/>
        <v>1.6000000000000014E-2</v>
      </c>
      <c r="E2537" s="8">
        <f t="shared" si="641"/>
        <v>9.9920031324124867</v>
      </c>
      <c r="F2537" s="6">
        <f t="shared" si="638"/>
        <v>3.2621105855488502E-3</v>
      </c>
      <c r="G2537" s="12">
        <f t="shared" si="642"/>
        <v>-3.1324124858400637E-6</v>
      </c>
    </row>
    <row r="2538" spans="1:18" x14ac:dyDescent="0.3">
      <c r="A2538" s="21"/>
      <c r="B2538" s="22"/>
      <c r="C2538" s="22"/>
      <c r="D2538" s="22"/>
      <c r="E2538" s="22"/>
      <c r="F2538" s="22"/>
      <c r="G2538" s="23"/>
      <c r="H2538" s="4" t="s">
        <v>39</v>
      </c>
      <c r="J2538" s="4"/>
      <c r="O2538" s="3">
        <f>1/O2539</f>
        <v>6.0753341433778852E-4</v>
      </c>
      <c r="P2538" s="3">
        <f>O2538*20</f>
        <v>1.215066828675577E-2</v>
      </c>
      <c r="Q2538" s="3" t="s">
        <v>3200</v>
      </c>
      <c r="R2538" s="3">
        <v>1646</v>
      </c>
    </row>
    <row r="2539" spans="1:18" x14ac:dyDescent="0.3">
      <c r="A2539" s="11" t="s">
        <v>2392</v>
      </c>
      <c r="B2539" s="7">
        <v>45880</v>
      </c>
      <c r="C2539" s="7">
        <v>10.016999999999999</v>
      </c>
      <c r="D2539" s="2">
        <f>C2539-C2537</f>
        <v>2.4999999999998579E-2</v>
      </c>
      <c r="E2539" s="8">
        <f>E2537-F2539</f>
        <v>9.9798524641257309</v>
      </c>
      <c r="F2539" s="6">
        <f>P2538</f>
        <v>1.215066828675577E-2</v>
      </c>
      <c r="G2539" s="12">
        <f>C2539-E2539</f>
        <v>3.7147535874268556E-2</v>
      </c>
      <c r="H2539" s="3">
        <f>B2537</f>
        <v>45860</v>
      </c>
      <c r="I2539" s="3">
        <f>B2566</f>
        <v>46400</v>
      </c>
      <c r="J2539" s="3">
        <f>I2539-H2539</f>
        <v>540</v>
      </c>
      <c r="K2539" s="5">
        <f>E2537</f>
        <v>9.9920031324124867</v>
      </c>
      <c r="L2539" s="3">
        <f>C2566</f>
        <v>9.6639999999999997</v>
      </c>
      <c r="M2539" s="5">
        <f>L2539-K2539</f>
        <v>-0.32800313241248702</v>
      </c>
      <c r="N2539" s="3">
        <f>J2539/M2539</f>
        <v>-1646.3257409411322</v>
      </c>
      <c r="O2539" s="3">
        <v>1646</v>
      </c>
    </row>
    <row r="2540" spans="1:18" x14ac:dyDescent="0.3">
      <c r="A2540" s="11" t="s">
        <v>2393</v>
      </c>
      <c r="B2540" s="7">
        <v>45900</v>
      </c>
      <c r="C2540" s="7">
        <v>10.013</v>
      </c>
      <c r="D2540" s="2">
        <f t="shared" si="628"/>
        <v>-3.9999999999995595E-3</v>
      </c>
      <c r="E2540" s="8">
        <f>E2539-F2539</f>
        <v>9.9677017958389751</v>
      </c>
      <c r="F2540" s="6">
        <f t="shared" ref="F2540" si="645">F2539</f>
        <v>1.215066828675577E-2</v>
      </c>
      <c r="G2540" s="12">
        <f t="shared" ref="G2540" si="646">C2540-E2540</f>
        <v>4.5298204161024813E-2</v>
      </c>
    </row>
    <row r="2541" spans="1:18" x14ac:dyDescent="0.3">
      <c r="A2541" s="11" t="s">
        <v>2394</v>
      </c>
      <c r="B2541" s="7">
        <v>45920</v>
      </c>
      <c r="C2541" s="7">
        <v>10.028</v>
      </c>
      <c r="D2541" s="2">
        <f t="shared" si="628"/>
        <v>1.5000000000000568E-2</v>
      </c>
      <c r="E2541" s="8">
        <f t="shared" ref="E2541:E2555" si="647">E2540-F2540</f>
        <v>9.9555511275522193</v>
      </c>
      <c r="F2541" s="6">
        <f t="shared" si="638"/>
        <v>1.215066828675577E-2</v>
      </c>
      <c r="G2541" s="12">
        <f t="shared" ref="G2541:G2555" si="648">C2541-E2541</f>
        <v>7.2448872447781199E-2</v>
      </c>
    </row>
    <row r="2542" spans="1:18" x14ac:dyDescent="0.3">
      <c r="A2542" s="11" t="s">
        <v>2395</v>
      </c>
      <c r="B2542" s="7">
        <v>45940</v>
      </c>
      <c r="C2542" s="7">
        <v>10.048999999999999</v>
      </c>
      <c r="D2542" s="2">
        <f t="shared" si="628"/>
        <v>2.0999999999999019E-2</v>
      </c>
      <c r="E2542" s="8">
        <f t="shared" si="647"/>
        <v>9.9434004592654635</v>
      </c>
      <c r="F2542" s="6">
        <f t="shared" si="638"/>
        <v>1.215066828675577E-2</v>
      </c>
      <c r="G2542" s="12">
        <f t="shared" si="648"/>
        <v>0.10559954073453603</v>
      </c>
    </row>
    <row r="2543" spans="1:18" x14ac:dyDescent="0.3">
      <c r="A2543" s="13" t="s">
        <v>2396</v>
      </c>
      <c r="B2543" s="24"/>
      <c r="C2543" s="25"/>
      <c r="D2543" s="25"/>
      <c r="E2543" s="25"/>
      <c r="F2543" s="25"/>
      <c r="G2543" s="26"/>
    </row>
    <row r="2544" spans="1:18" x14ac:dyDescent="0.3">
      <c r="A2544" s="11" t="s">
        <v>2397</v>
      </c>
      <c r="B2544" s="7">
        <v>45960</v>
      </c>
      <c r="C2544" s="7">
        <v>10.07</v>
      </c>
      <c r="D2544" s="2">
        <f>C2544-C2542</f>
        <v>2.1000000000000796E-2</v>
      </c>
      <c r="E2544" s="8">
        <f>E2542-F2542</f>
        <v>9.9312497909787076</v>
      </c>
      <c r="F2544" s="6">
        <f>F2542</f>
        <v>1.215066828675577E-2</v>
      </c>
      <c r="G2544" s="12">
        <f t="shared" si="648"/>
        <v>0.13875020902129265</v>
      </c>
    </row>
    <row r="2545" spans="1:7" x14ac:dyDescent="0.3">
      <c r="A2545" s="11" t="s">
        <v>2398</v>
      </c>
      <c r="B2545" s="7">
        <v>45980</v>
      </c>
      <c r="C2545" s="7">
        <v>10.055</v>
      </c>
      <c r="D2545" s="2">
        <f t="shared" si="628"/>
        <v>-1.5000000000000568E-2</v>
      </c>
      <c r="E2545" s="8">
        <f t="shared" si="647"/>
        <v>9.9190991226919518</v>
      </c>
      <c r="F2545" s="6">
        <f t="shared" si="638"/>
        <v>1.215066828675577E-2</v>
      </c>
      <c r="G2545" s="12">
        <f t="shared" si="648"/>
        <v>0.1359008773080479</v>
      </c>
    </row>
    <row r="2546" spans="1:7" x14ac:dyDescent="0.3">
      <c r="A2546" s="11" t="s">
        <v>2399</v>
      </c>
      <c r="B2546" s="7">
        <v>46000</v>
      </c>
      <c r="C2546" s="7">
        <v>10.048999999999999</v>
      </c>
      <c r="D2546" s="2">
        <f t="shared" si="628"/>
        <v>-6.0000000000002274E-3</v>
      </c>
      <c r="E2546" s="8">
        <f t="shared" si="647"/>
        <v>9.906948454405196</v>
      </c>
      <c r="F2546" s="6">
        <f t="shared" si="638"/>
        <v>1.215066828675577E-2</v>
      </c>
      <c r="G2546" s="12">
        <f t="shared" si="648"/>
        <v>0.14205154559480349</v>
      </c>
    </row>
    <row r="2547" spans="1:7" x14ac:dyDescent="0.3">
      <c r="A2547" s="11" t="s">
        <v>2400</v>
      </c>
      <c r="B2547" s="7">
        <v>46020</v>
      </c>
      <c r="C2547" s="7">
        <v>10.019</v>
      </c>
      <c r="D2547" s="2">
        <f t="shared" si="628"/>
        <v>-2.9999999999999361E-2</v>
      </c>
      <c r="E2547" s="8">
        <f t="shared" si="647"/>
        <v>9.8947977861184402</v>
      </c>
      <c r="F2547" s="6">
        <f t="shared" si="638"/>
        <v>1.215066828675577E-2</v>
      </c>
      <c r="G2547" s="12">
        <f t="shared" si="648"/>
        <v>0.12420221388155994</v>
      </c>
    </row>
    <row r="2548" spans="1:7" x14ac:dyDescent="0.3">
      <c r="A2548" s="11" t="s">
        <v>2401</v>
      </c>
      <c r="B2548" s="7">
        <v>46040</v>
      </c>
      <c r="C2548" s="7">
        <v>10.012</v>
      </c>
      <c r="D2548" s="2">
        <f t="shared" si="628"/>
        <v>-6.9999999999996732E-3</v>
      </c>
      <c r="E2548" s="8">
        <f t="shared" si="647"/>
        <v>9.8826471178316844</v>
      </c>
      <c r="F2548" s="6">
        <f t="shared" si="638"/>
        <v>1.215066828675577E-2</v>
      </c>
      <c r="G2548" s="12">
        <f t="shared" si="648"/>
        <v>0.12935288216831609</v>
      </c>
    </row>
    <row r="2549" spans="1:7" x14ac:dyDescent="0.3">
      <c r="A2549" s="11" t="s">
        <v>2402</v>
      </c>
      <c r="B2549" s="7">
        <v>46060</v>
      </c>
      <c r="C2549" s="7">
        <v>9.9890000000000008</v>
      </c>
      <c r="D2549" s="2">
        <f t="shared" si="628"/>
        <v>-2.2999999999999687E-2</v>
      </c>
      <c r="E2549" s="8">
        <f t="shared" si="647"/>
        <v>9.8704964495449286</v>
      </c>
      <c r="F2549" s="6">
        <f t="shared" si="638"/>
        <v>1.215066828675577E-2</v>
      </c>
      <c r="G2549" s="12">
        <f t="shared" si="648"/>
        <v>0.11850355045507222</v>
      </c>
    </row>
    <row r="2550" spans="1:7" x14ac:dyDescent="0.3">
      <c r="A2550" s="11" t="s">
        <v>2403</v>
      </c>
      <c r="B2550" s="7">
        <v>46080</v>
      </c>
      <c r="C2550" s="7">
        <v>9.952</v>
      </c>
      <c r="D2550" s="2">
        <f t="shared" si="628"/>
        <v>-3.700000000000081E-2</v>
      </c>
      <c r="E2550" s="8">
        <f t="shared" si="647"/>
        <v>9.8583457812581727</v>
      </c>
      <c r="F2550" s="6">
        <f t="shared" si="638"/>
        <v>1.215066828675577E-2</v>
      </c>
      <c r="G2550" s="12">
        <f t="shared" si="648"/>
        <v>9.3654218741827222E-2</v>
      </c>
    </row>
    <row r="2551" spans="1:7" x14ac:dyDescent="0.3">
      <c r="A2551" s="11" t="s">
        <v>2404</v>
      </c>
      <c r="B2551" s="7">
        <v>46100</v>
      </c>
      <c r="C2551" s="7">
        <v>9.9510000000000005</v>
      </c>
      <c r="D2551" s="2">
        <f t="shared" si="628"/>
        <v>-9.9999999999944578E-4</v>
      </c>
      <c r="E2551" s="8">
        <f t="shared" si="647"/>
        <v>9.8461951129714169</v>
      </c>
      <c r="F2551" s="6">
        <f t="shared" si="638"/>
        <v>1.215066828675577E-2</v>
      </c>
      <c r="G2551" s="12">
        <f t="shared" si="648"/>
        <v>0.10480488702858359</v>
      </c>
    </row>
    <row r="2552" spans="1:7" x14ac:dyDescent="0.3">
      <c r="A2552" s="11" t="s">
        <v>2405</v>
      </c>
      <c r="B2552" s="7">
        <v>46120</v>
      </c>
      <c r="C2552" s="7">
        <v>9.9149999999999991</v>
      </c>
      <c r="D2552" s="2">
        <f t="shared" ref="D2552:D2625" si="649">C2552-C2551</f>
        <v>-3.6000000000001364E-2</v>
      </c>
      <c r="E2552" s="8">
        <f t="shared" si="647"/>
        <v>9.8340444446846611</v>
      </c>
      <c r="F2552" s="6">
        <f t="shared" si="638"/>
        <v>1.215066828675577E-2</v>
      </c>
      <c r="G2552" s="12">
        <f t="shared" si="648"/>
        <v>8.0955555315338046E-2</v>
      </c>
    </row>
    <row r="2553" spans="1:7" x14ac:dyDescent="0.3">
      <c r="A2553" s="11" t="s">
        <v>2406</v>
      </c>
      <c r="B2553" s="7">
        <v>46140</v>
      </c>
      <c r="C2553" s="7">
        <v>9.9049999999999994</v>
      </c>
      <c r="D2553" s="2">
        <f t="shared" si="649"/>
        <v>-9.9999999999997868E-3</v>
      </c>
      <c r="E2553" s="8">
        <f t="shared" si="647"/>
        <v>9.8218937763979053</v>
      </c>
      <c r="F2553" s="6">
        <f t="shared" si="638"/>
        <v>1.215066828675577E-2</v>
      </c>
      <c r="G2553" s="12">
        <f t="shared" si="648"/>
        <v>8.3106223602094076E-2</v>
      </c>
    </row>
    <row r="2554" spans="1:7" x14ac:dyDescent="0.3">
      <c r="A2554" s="11" t="s">
        <v>2407</v>
      </c>
      <c r="B2554" s="7">
        <v>46160</v>
      </c>
      <c r="C2554" s="7">
        <v>9.8819999999999997</v>
      </c>
      <c r="D2554" s="2">
        <f t="shared" si="649"/>
        <v>-2.2999999999999687E-2</v>
      </c>
      <c r="E2554" s="8">
        <f t="shared" si="647"/>
        <v>9.8097431081111495</v>
      </c>
      <c r="F2554" s="6">
        <f t="shared" si="638"/>
        <v>1.215066828675577E-2</v>
      </c>
      <c r="G2554" s="12">
        <f t="shared" si="648"/>
        <v>7.2256891888850205E-2</v>
      </c>
    </row>
    <row r="2555" spans="1:7" x14ac:dyDescent="0.3">
      <c r="A2555" s="11" t="s">
        <v>2408</v>
      </c>
      <c r="B2555" s="7">
        <v>46180</v>
      </c>
      <c r="C2555" s="7">
        <v>9.8699999999999992</v>
      </c>
      <c r="D2555" s="2">
        <f t="shared" si="649"/>
        <v>-1.2000000000000455E-2</v>
      </c>
      <c r="E2555" s="8">
        <f t="shared" si="647"/>
        <v>9.7975924398243937</v>
      </c>
      <c r="F2555" s="6">
        <f t="shared" si="638"/>
        <v>1.215066828675577E-2</v>
      </c>
      <c r="G2555" s="12">
        <f t="shared" si="648"/>
        <v>7.2407560175605568E-2</v>
      </c>
    </row>
    <row r="2556" spans="1:7" x14ac:dyDescent="0.3">
      <c r="A2556" s="11" t="s">
        <v>2409</v>
      </c>
      <c r="B2556" s="7">
        <v>46200</v>
      </c>
      <c r="C2556" s="7">
        <v>9.8699999999999992</v>
      </c>
      <c r="D2556" s="2">
        <f t="shared" si="649"/>
        <v>0</v>
      </c>
      <c r="E2556" s="8">
        <f t="shared" ref="E2556:E2566" si="650">E2555-F2555</f>
        <v>9.7854417715376378</v>
      </c>
      <c r="F2556" s="6">
        <f t="shared" si="638"/>
        <v>1.215066828675577E-2</v>
      </c>
      <c r="G2556" s="12">
        <f t="shared" ref="G2556:G2575" si="651">C2556-E2556</f>
        <v>8.4558228462361384E-2</v>
      </c>
    </row>
    <row r="2557" spans="1:7" x14ac:dyDescent="0.3">
      <c r="A2557" s="11" t="s">
        <v>2410</v>
      </c>
      <c r="B2557" s="7">
        <v>46220</v>
      </c>
      <c r="C2557" s="7">
        <v>9.7970000000000006</v>
      </c>
      <c r="D2557" s="2">
        <f t="shared" si="649"/>
        <v>-7.2999999999998622E-2</v>
      </c>
      <c r="E2557" s="8">
        <f t="shared" si="650"/>
        <v>9.773291103250882</v>
      </c>
      <c r="F2557" s="6">
        <f t="shared" si="638"/>
        <v>1.215066828675577E-2</v>
      </c>
      <c r="G2557" s="12">
        <f t="shared" si="651"/>
        <v>2.370889674911858E-2</v>
      </c>
    </row>
    <row r="2558" spans="1:7" x14ac:dyDescent="0.3">
      <c r="A2558" s="11" t="s">
        <v>2411</v>
      </c>
      <c r="B2558" s="7">
        <v>46240</v>
      </c>
      <c r="C2558" s="7">
        <v>9.7590000000000003</v>
      </c>
      <c r="D2558" s="2">
        <f t="shared" si="649"/>
        <v>-3.8000000000000256E-2</v>
      </c>
      <c r="E2558" s="8">
        <f t="shared" si="650"/>
        <v>9.7611404349641262</v>
      </c>
      <c r="F2558" s="6">
        <f t="shared" si="638"/>
        <v>1.215066828675577E-2</v>
      </c>
      <c r="G2558" s="12">
        <f t="shared" si="651"/>
        <v>-2.1404349641258591E-3</v>
      </c>
    </row>
    <row r="2559" spans="1:7" x14ac:dyDescent="0.3">
      <c r="A2559" s="11" t="s">
        <v>2412</v>
      </c>
      <c r="B2559" s="7">
        <v>46260</v>
      </c>
      <c r="C2559" s="7">
        <v>9.7430000000000003</v>
      </c>
      <c r="D2559" s="2">
        <f t="shared" si="649"/>
        <v>-1.6000000000000014E-2</v>
      </c>
      <c r="E2559" s="8">
        <f t="shared" si="650"/>
        <v>9.7489897666773704</v>
      </c>
      <c r="F2559" s="6">
        <f t="shared" si="638"/>
        <v>1.215066828675577E-2</v>
      </c>
      <c r="G2559" s="12">
        <f t="shared" si="651"/>
        <v>-5.9897666773700564E-3</v>
      </c>
    </row>
    <row r="2560" spans="1:7" x14ac:dyDescent="0.3">
      <c r="A2560" s="11" t="s">
        <v>2413</v>
      </c>
      <c r="B2560" s="7">
        <v>46280</v>
      </c>
      <c r="C2560" s="7">
        <v>9.7240000000000002</v>
      </c>
      <c r="D2560" s="2">
        <f t="shared" si="649"/>
        <v>-1.9000000000000128E-2</v>
      </c>
      <c r="E2560" s="8">
        <f t="shared" si="650"/>
        <v>9.7368390983906146</v>
      </c>
      <c r="F2560" s="6">
        <f t="shared" si="638"/>
        <v>1.215066828675577E-2</v>
      </c>
      <c r="G2560" s="12">
        <f t="shared" si="651"/>
        <v>-1.2839098390614367E-2</v>
      </c>
    </row>
    <row r="2561" spans="1:18" x14ac:dyDescent="0.3">
      <c r="A2561" s="11" t="s">
        <v>2414</v>
      </c>
      <c r="B2561" s="7">
        <v>46300</v>
      </c>
      <c r="C2561" s="7">
        <v>9.6790000000000003</v>
      </c>
      <c r="D2561" s="2">
        <f t="shared" si="649"/>
        <v>-4.4999999999999929E-2</v>
      </c>
      <c r="E2561" s="8">
        <f t="shared" si="650"/>
        <v>9.7246884301038587</v>
      </c>
      <c r="F2561" s="6">
        <f t="shared" si="638"/>
        <v>1.215066828675577E-2</v>
      </c>
      <c r="G2561" s="12">
        <f t="shared" si="651"/>
        <v>-4.5688430103858479E-2</v>
      </c>
    </row>
    <row r="2562" spans="1:18" x14ac:dyDescent="0.3">
      <c r="A2562" s="11" t="s">
        <v>2415</v>
      </c>
      <c r="B2562" s="7">
        <v>46320</v>
      </c>
      <c r="C2562" s="7">
        <v>9.65</v>
      </c>
      <c r="D2562" s="2">
        <f t="shared" si="649"/>
        <v>-2.8999999999999915E-2</v>
      </c>
      <c r="E2562" s="8">
        <f t="shared" si="650"/>
        <v>9.7125377618171029</v>
      </c>
      <c r="F2562" s="6">
        <f t="shared" si="638"/>
        <v>1.215066828675577E-2</v>
      </c>
      <c r="G2562" s="12">
        <f t="shared" si="651"/>
        <v>-6.2537761817102577E-2</v>
      </c>
    </row>
    <row r="2563" spans="1:18" x14ac:dyDescent="0.3">
      <c r="A2563" s="11" t="s">
        <v>2416</v>
      </c>
      <c r="B2563" s="7">
        <v>46340</v>
      </c>
      <c r="C2563" s="7">
        <v>9.6460000000000008</v>
      </c>
      <c r="D2563" s="2">
        <f t="shared" si="649"/>
        <v>-3.9999999999995595E-3</v>
      </c>
      <c r="E2563" s="8">
        <f t="shared" si="650"/>
        <v>9.7003870935303471</v>
      </c>
      <c r="F2563" s="6">
        <f t="shared" si="638"/>
        <v>1.215066828675577E-2</v>
      </c>
      <c r="G2563" s="12">
        <f t="shared" si="651"/>
        <v>-5.438709353034632E-2</v>
      </c>
    </row>
    <row r="2564" spans="1:18" x14ac:dyDescent="0.3">
      <c r="A2564" s="11" t="s">
        <v>2417</v>
      </c>
      <c r="B2564" s="7">
        <v>46360</v>
      </c>
      <c r="C2564" s="7">
        <v>9.6379999999999999</v>
      </c>
      <c r="D2564" s="2">
        <f t="shared" si="649"/>
        <v>-8.0000000000008953E-3</v>
      </c>
      <c r="E2564" s="8">
        <f t="shared" si="650"/>
        <v>9.6882364252435913</v>
      </c>
      <c r="F2564" s="6">
        <f t="shared" si="638"/>
        <v>1.215066828675577E-2</v>
      </c>
      <c r="G2564" s="12">
        <f t="shared" si="651"/>
        <v>-5.0236425243591398E-2</v>
      </c>
    </row>
    <row r="2565" spans="1:18" x14ac:dyDescent="0.3">
      <c r="A2565" s="11" t="s">
        <v>2418</v>
      </c>
      <c r="B2565" s="7">
        <v>46380</v>
      </c>
      <c r="C2565" s="7">
        <v>9.6319999999999997</v>
      </c>
      <c r="D2565" s="2">
        <f t="shared" si="649"/>
        <v>-6.0000000000002274E-3</v>
      </c>
      <c r="E2565" s="8">
        <f t="shared" si="650"/>
        <v>9.6760857569568355</v>
      </c>
      <c r="F2565" s="6">
        <f t="shared" si="638"/>
        <v>1.215066828675577E-2</v>
      </c>
      <c r="G2565" s="12">
        <f t="shared" si="651"/>
        <v>-4.4085756956835809E-2</v>
      </c>
    </row>
    <row r="2566" spans="1:18" x14ac:dyDescent="0.3">
      <c r="A2566" s="11" t="s">
        <v>2419</v>
      </c>
      <c r="B2566" s="7">
        <v>46400</v>
      </c>
      <c r="C2566" s="7">
        <v>9.6639999999999997</v>
      </c>
      <c r="D2566" s="2">
        <f t="shared" si="649"/>
        <v>3.2000000000000028E-2</v>
      </c>
      <c r="E2566" s="8">
        <f t="shared" si="650"/>
        <v>9.6639350886700797</v>
      </c>
      <c r="F2566" s="6">
        <f t="shared" si="638"/>
        <v>1.215066828675577E-2</v>
      </c>
      <c r="G2566" s="12">
        <f t="shared" si="651"/>
        <v>6.4911329920036565E-5</v>
      </c>
    </row>
    <row r="2567" spans="1:18" x14ac:dyDescent="0.3">
      <c r="A2567" s="21"/>
      <c r="B2567" s="22"/>
      <c r="C2567" s="22"/>
      <c r="D2567" s="22"/>
      <c r="E2567" s="22"/>
      <c r="F2567" s="22"/>
      <c r="G2567" s="23"/>
      <c r="H2567" s="4" t="s">
        <v>40</v>
      </c>
      <c r="J2567" s="4"/>
      <c r="O2567" s="3">
        <f>1/O2568</f>
        <v>3.0211480362537764E-3</v>
      </c>
      <c r="P2567" s="3">
        <f>O2567*20</f>
        <v>6.0422960725075525E-2</v>
      </c>
      <c r="Q2567" s="3" t="s">
        <v>3202</v>
      </c>
      <c r="R2567" s="3">
        <v>331</v>
      </c>
    </row>
    <row r="2568" spans="1:18" x14ac:dyDescent="0.3">
      <c r="A2568" s="11" t="s">
        <v>2420</v>
      </c>
      <c r="B2568" s="7">
        <v>46420</v>
      </c>
      <c r="C2568" s="7">
        <v>9.6679999999999993</v>
      </c>
      <c r="D2568" s="2">
        <f>C2568-C2566</f>
        <v>3.9999999999995595E-3</v>
      </c>
      <c r="E2568" s="8">
        <f>E2566+F2568</f>
        <v>9.7243580493951551</v>
      </c>
      <c r="F2568" s="6">
        <f>P2567</f>
        <v>6.0422960725075525E-2</v>
      </c>
      <c r="G2568" s="12">
        <f>C2568-E2568</f>
        <v>-5.6358049395155874E-2</v>
      </c>
      <c r="H2568" s="3">
        <f>B2566</f>
        <v>46400</v>
      </c>
      <c r="I2568" s="3">
        <f>B2575</f>
        <v>46520</v>
      </c>
      <c r="J2568" s="3">
        <f>I2568-H2568</f>
        <v>120</v>
      </c>
      <c r="K2568" s="5">
        <f>E2566</f>
        <v>9.6639350886700797</v>
      </c>
      <c r="L2568" s="3">
        <f>C2575</f>
        <v>10.026</v>
      </c>
      <c r="M2568" s="5">
        <f>L2568-K2568</f>
        <v>0.36206491132992014</v>
      </c>
      <c r="N2568" s="3">
        <f>J2568/M2568</f>
        <v>331.43228256839785</v>
      </c>
      <c r="O2568" s="3">
        <v>331</v>
      </c>
    </row>
    <row r="2569" spans="1:18" x14ac:dyDescent="0.3">
      <c r="A2569" s="11" t="s">
        <v>2421</v>
      </c>
      <c r="B2569" s="7">
        <v>46440</v>
      </c>
      <c r="C2569" s="7">
        <v>9.7070000000000007</v>
      </c>
      <c r="D2569" s="2">
        <f t="shared" si="649"/>
        <v>3.9000000000001478E-2</v>
      </c>
      <c r="E2569" s="8">
        <f>E2568+F2568</f>
        <v>9.7847810101202306</v>
      </c>
      <c r="F2569" s="6">
        <f t="shared" ref="F2569" si="652">F2568</f>
        <v>6.0422960725075525E-2</v>
      </c>
      <c r="G2569" s="12">
        <f t="shared" ref="G2569" si="653">C2569-E2569</f>
        <v>-7.7781010120229865E-2</v>
      </c>
    </row>
    <row r="2570" spans="1:18" x14ac:dyDescent="0.3">
      <c r="A2570" s="11" t="s">
        <v>2422</v>
      </c>
      <c r="B2570" s="7">
        <v>46460</v>
      </c>
      <c r="C2570" s="7">
        <v>9.7799999999999994</v>
      </c>
      <c r="D2570" s="2">
        <f t="shared" si="649"/>
        <v>7.2999999999998622E-2</v>
      </c>
      <c r="E2570" s="8">
        <f t="shared" ref="E2570:E2571" si="654">E2569+F2569</f>
        <v>9.8452039708453061</v>
      </c>
      <c r="F2570" s="6">
        <f t="shared" si="638"/>
        <v>6.0422960725075525E-2</v>
      </c>
      <c r="G2570" s="12">
        <f t="shared" si="651"/>
        <v>-6.5203970845306713E-2</v>
      </c>
    </row>
    <row r="2571" spans="1:18" x14ac:dyDescent="0.3">
      <c r="A2571" s="11" t="s">
        <v>2423</v>
      </c>
      <c r="B2571" s="7">
        <v>46480</v>
      </c>
      <c r="C2571" s="7">
        <v>9.8659999999999997</v>
      </c>
      <c r="D2571" s="2">
        <f t="shared" si="649"/>
        <v>8.6000000000000298E-2</v>
      </c>
      <c r="E2571" s="8">
        <f t="shared" si="654"/>
        <v>9.9056269315703815</v>
      </c>
      <c r="F2571" s="6">
        <f t="shared" si="638"/>
        <v>6.0422960725075525E-2</v>
      </c>
      <c r="G2571" s="12">
        <f t="shared" si="651"/>
        <v>-3.9626931570381885E-2</v>
      </c>
    </row>
    <row r="2572" spans="1:18" x14ac:dyDescent="0.3">
      <c r="A2572" s="11" t="s">
        <v>3448</v>
      </c>
      <c r="B2572" s="70" t="s">
        <v>3449</v>
      </c>
      <c r="C2572" s="7"/>
      <c r="D2572" s="2"/>
      <c r="E2572" s="8"/>
      <c r="F2572" s="6"/>
      <c r="G2572" s="12"/>
    </row>
    <row r="2573" spans="1:18" x14ac:dyDescent="0.3">
      <c r="A2573" s="11" t="s">
        <v>2424</v>
      </c>
      <c r="B2573" s="7">
        <v>46500</v>
      </c>
      <c r="C2573" s="7">
        <v>9.9730000000000008</v>
      </c>
      <c r="D2573" s="2">
        <f>C2573-C2571</f>
        <v>0.10700000000000109</v>
      </c>
      <c r="E2573" s="8">
        <f>E2571+F2571</f>
        <v>9.966049892295457</v>
      </c>
      <c r="F2573" s="6">
        <f>F2571</f>
        <v>6.0422960725075525E-2</v>
      </c>
      <c r="G2573" s="12">
        <f t="shared" si="651"/>
        <v>6.9501077045437398E-3</v>
      </c>
    </row>
    <row r="2574" spans="1:18" x14ac:dyDescent="0.3">
      <c r="A2574" s="11" t="s">
        <v>3450</v>
      </c>
      <c r="B2574" s="70" t="s">
        <v>3451</v>
      </c>
      <c r="C2574" s="7"/>
      <c r="D2574" s="2"/>
      <c r="E2574" s="8"/>
      <c r="F2574" s="6"/>
      <c r="G2574" s="12"/>
    </row>
    <row r="2575" spans="1:18" x14ac:dyDescent="0.3">
      <c r="A2575" s="11" t="s">
        <v>2425</v>
      </c>
      <c r="B2575" s="7">
        <v>46520</v>
      </c>
      <c r="C2575" s="7">
        <v>10.026</v>
      </c>
      <c r="D2575" s="2">
        <f>C2575-C2573</f>
        <v>5.2999999999999048E-2</v>
      </c>
      <c r="E2575" s="8">
        <f>E2573+F2573</f>
        <v>10.026472853020532</v>
      </c>
      <c r="F2575" s="6">
        <f>F2573</f>
        <v>6.0422960725075525E-2</v>
      </c>
      <c r="G2575" s="12">
        <f t="shared" si="651"/>
        <v>-4.7285302053268197E-4</v>
      </c>
    </row>
    <row r="2576" spans="1:18" x14ac:dyDescent="0.3">
      <c r="A2576" s="21"/>
      <c r="B2576" s="22"/>
      <c r="C2576" s="22"/>
      <c r="D2576" s="22"/>
      <c r="E2576" s="22"/>
      <c r="F2576" s="22"/>
      <c r="G2576" s="23"/>
      <c r="H2576" s="4" t="s">
        <v>41</v>
      </c>
      <c r="J2576" s="4"/>
      <c r="O2576" s="3">
        <f>1/O2577</f>
        <v>7.6335877862595417E-3</v>
      </c>
      <c r="P2576" s="3">
        <f>O2576*20</f>
        <v>0.15267175572519084</v>
      </c>
      <c r="Q2576" s="3" t="s">
        <v>3200</v>
      </c>
      <c r="R2576" s="3">
        <v>131</v>
      </c>
    </row>
    <row r="2577" spans="1:18" x14ac:dyDescent="0.3">
      <c r="A2577" s="11" t="s">
        <v>2426</v>
      </c>
      <c r="B2577" s="7">
        <v>46540</v>
      </c>
      <c r="C2577" s="7">
        <v>9.8629999999999995</v>
      </c>
      <c r="D2577" s="2">
        <f>C2577-C2575</f>
        <v>-0.16300000000000026</v>
      </c>
      <c r="E2577" s="8">
        <f>E2575-F2577</f>
        <v>9.8738010972953418</v>
      </c>
      <c r="F2577" s="6">
        <f>P2576</f>
        <v>0.15267175572519084</v>
      </c>
      <c r="G2577" s="12">
        <f>C2577-E2577</f>
        <v>-1.0801097295342288E-2</v>
      </c>
      <c r="H2577" s="3">
        <f>B2575</f>
        <v>46520</v>
      </c>
      <c r="I2577" s="3">
        <f>B2586</f>
        <v>46720</v>
      </c>
      <c r="J2577" s="3">
        <f>I2577-H2577</f>
        <v>200</v>
      </c>
      <c r="K2577" s="5">
        <f>E2575</f>
        <v>10.026472853020532</v>
      </c>
      <c r="L2577" s="3">
        <f>C2586</f>
        <v>8.5009999999999994</v>
      </c>
      <c r="M2577" s="5">
        <f>L2577-K2577</f>
        <v>-1.525472853020533</v>
      </c>
      <c r="N2577" s="3">
        <f>J2577/M2577</f>
        <v>-131.10688899116579</v>
      </c>
      <c r="O2577" s="3">
        <v>131</v>
      </c>
    </row>
    <row r="2578" spans="1:18" x14ac:dyDescent="0.3">
      <c r="A2578" s="11" t="s">
        <v>2427</v>
      </c>
      <c r="B2578" s="7">
        <v>46560</v>
      </c>
      <c r="C2578" s="7">
        <v>9.6690000000000005</v>
      </c>
      <c r="D2578" s="2">
        <f t="shared" si="649"/>
        <v>-0.19399999999999906</v>
      </c>
      <c r="E2578" s="8">
        <f>E2577-F2577</f>
        <v>9.7211293415701512</v>
      </c>
      <c r="F2578" s="6">
        <f t="shared" ref="F2578" si="655">F2577</f>
        <v>0.15267175572519084</v>
      </c>
      <c r="G2578" s="12">
        <f t="shared" ref="G2578" si="656">C2578-E2578</f>
        <v>-5.21293415701507E-2</v>
      </c>
    </row>
    <row r="2579" spans="1:18" x14ac:dyDescent="0.3">
      <c r="A2579" s="11" t="s">
        <v>2428</v>
      </c>
      <c r="B2579" s="7">
        <v>46580</v>
      </c>
      <c r="C2579" s="7">
        <v>9.4629999999999992</v>
      </c>
      <c r="D2579" s="2">
        <f t="shared" si="649"/>
        <v>-0.20600000000000129</v>
      </c>
      <c r="E2579" s="8">
        <f t="shared" ref="E2579:E2605" si="657">E2578-F2578</f>
        <v>9.5684575858449605</v>
      </c>
      <c r="F2579" s="6">
        <f t="shared" si="638"/>
        <v>0.15267175572519084</v>
      </c>
      <c r="G2579" s="12">
        <f t="shared" ref="G2579:G2605" si="658">C2579-E2579</f>
        <v>-0.10545758584496134</v>
      </c>
    </row>
    <row r="2580" spans="1:18" x14ac:dyDescent="0.3">
      <c r="A2580" s="11" t="s">
        <v>2429</v>
      </c>
      <c r="B2580" s="7">
        <v>46600</v>
      </c>
      <c r="C2580" s="7">
        <v>9.2690000000000001</v>
      </c>
      <c r="D2580" s="2">
        <f t="shared" si="649"/>
        <v>-0.19399999999999906</v>
      </c>
      <c r="E2580" s="8">
        <f t="shared" si="657"/>
        <v>9.4157858301197699</v>
      </c>
      <c r="F2580" s="6">
        <f t="shared" si="638"/>
        <v>0.15267175572519084</v>
      </c>
      <c r="G2580" s="12">
        <f t="shared" si="658"/>
        <v>-0.14678583011976976</v>
      </c>
    </row>
    <row r="2581" spans="1:18" x14ac:dyDescent="0.3">
      <c r="A2581" s="11" t="s">
        <v>2430</v>
      </c>
      <c r="B2581" s="7">
        <v>46620</v>
      </c>
      <c r="C2581" s="7">
        <v>9.1080000000000005</v>
      </c>
      <c r="D2581" s="2">
        <f t="shared" si="649"/>
        <v>-0.16099999999999959</v>
      </c>
      <c r="E2581" s="8">
        <f t="shared" si="657"/>
        <v>9.2631140743945792</v>
      </c>
      <c r="F2581" s="6">
        <f t="shared" ref="F2581:F2647" si="659">F2580</f>
        <v>0.15267175572519084</v>
      </c>
      <c r="G2581" s="12">
        <f t="shared" si="658"/>
        <v>-0.15511407439457869</v>
      </c>
    </row>
    <row r="2582" spans="1:18" x14ac:dyDescent="0.3">
      <c r="A2582" s="11" t="s">
        <v>2431</v>
      </c>
      <c r="B2582" s="7">
        <v>46640</v>
      </c>
      <c r="C2582" s="7">
        <v>8.9550000000000001</v>
      </c>
      <c r="D2582" s="2">
        <f t="shared" si="649"/>
        <v>-0.15300000000000047</v>
      </c>
      <c r="E2582" s="8">
        <f t="shared" si="657"/>
        <v>9.1104423186693886</v>
      </c>
      <c r="F2582" s="6">
        <f t="shared" si="659"/>
        <v>0.15267175572519084</v>
      </c>
      <c r="G2582" s="12">
        <f t="shared" si="658"/>
        <v>-0.15544231866938851</v>
      </c>
    </row>
    <row r="2583" spans="1:18" x14ac:dyDescent="0.3">
      <c r="A2583" s="11" t="s">
        <v>2432</v>
      </c>
      <c r="B2583" s="7">
        <v>46660</v>
      </c>
      <c r="C2583" s="7">
        <v>8.8460000000000001</v>
      </c>
      <c r="D2583" s="2">
        <f t="shared" si="649"/>
        <v>-0.10899999999999999</v>
      </c>
      <c r="E2583" s="8">
        <f t="shared" si="657"/>
        <v>8.9577705629441979</v>
      </c>
      <c r="F2583" s="6">
        <f t="shared" si="659"/>
        <v>0.15267175572519084</v>
      </c>
      <c r="G2583" s="12">
        <f t="shared" si="658"/>
        <v>-0.11177056294419785</v>
      </c>
    </row>
    <row r="2584" spans="1:18" x14ac:dyDescent="0.3">
      <c r="A2584" s="11" t="s">
        <v>2433</v>
      </c>
      <c r="B2584" s="7">
        <v>46680</v>
      </c>
      <c r="C2584" s="7">
        <v>8.7349999999999994</v>
      </c>
      <c r="D2584" s="2">
        <f t="shared" si="649"/>
        <v>-0.11100000000000065</v>
      </c>
      <c r="E2584" s="8">
        <f t="shared" si="657"/>
        <v>8.8050988072190073</v>
      </c>
      <c r="F2584" s="6">
        <f t="shared" si="659"/>
        <v>0.15267175572519084</v>
      </c>
      <c r="G2584" s="12">
        <f t="shared" si="658"/>
        <v>-7.0098807219007853E-2</v>
      </c>
    </row>
    <row r="2585" spans="1:18" x14ac:dyDescent="0.3">
      <c r="A2585" s="11" t="s">
        <v>2434</v>
      </c>
      <c r="B2585" s="7">
        <v>46700</v>
      </c>
      <c r="C2585" s="7">
        <v>8.6180000000000003</v>
      </c>
      <c r="D2585" s="2">
        <f t="shared" si="649"/>
        <v>-0.1169999999999991</v>
      </c>
      <c r="E2585" s="8">
        <f t="shared" si="657"/>
        <v>8.6524270514938166</v>
      </c>
      <c r="F2585" s="6">
        <f t="shared" si="659"/>
        <v>0.15267175572519084</v>
      </c>
      <c r="G2585" s="12">
        <f t="shared" si="658"/>
        <v>-3.4427051493816307E-2</v>
      </c>
    </row>
    <row r="2586" spans="1:18" x14ac:dyDescent="0.3">
      <c r="A2586" s="11" t="s">
        <v>2435</v>
      </c>
      <c r="B2586" s="7">
        <v>46720</v>
      </c>
      <c r="C2586" s="7">
        <v>8.5009999999999994</v>
      </c>
      <c r="D2586" s="2">
        <f t="shared" si="649"/>
        <v>-0.11700000000000088</v>
      </c>
      <c r="E2586" s="8">
        <f t="shared" si="657"/>
        <v>8.499755295768626</v>
      </c>
      <c r="F2586" s="6">
        <f t="shared" si="659"/>
        <v>0.15267175572519084</v>
      </c>
      <c r="G2586" s="12">
        <f t="shared" si="658"/>
        <v>1.2447042313734613E-3</v>
      </c>
    </row>
    <row r="2587" spans="1:18" x14ac:dyDescent="0.3">
      <c r="A2587" s="21"/>
      <c r="B2587" s="22"/>
      <c r="C2587" s="22"/>
      <c r="D2587" s="22"/>
      <c r="E2587" s="22"/>
      <c r="F2587" s="22"/>
      <c r="G2587" s="23"/>
      <c r="H2587" s="4" t="s">
        <v>42</v>
      </c>
      <c r="J2587" s="4"/>
      <c r="O2587" s="3">
        <f>1/O2588</f>
        <v>1.2165450121654502E-3</v>
      </c>
      <c r="P2587" s="3">
        <f>O2587*20</f>
        <v>2.4330900243309004E-2</v>
      </c>
      <c r="Q2587" s="3" t="s">
        <v>3200</v>
      </c>
      <c r="R2587" s="3">
        <v>822</v>
      </c>
    </row>
    <row r="2588" spans="1:18" x14ac:dyDescent="0.3">
      <c r="A2588" s="11" t="s">
        <v>2436</v>
      </c>
      <c r="B2588" s="7">
        <v>46740</v>
      </c>
      <c r="C2588" s="7">
        <v>8.4440000000000008</v>
      </c>
      <c r="D2588" s="2">
        <f>C2588-C2586</f>
        <v>-5.6999999999998607E-2</v>
      </c>
      <c r="E2588" s="8">
        <f>E2586-F2588</f>
        <v>8.4754243955253177</v>
      </c>
      <c r="F2588" s="6">
        <f>P2587</f>
        <v>2.4330900243309004E-2</v>
      </c>
      <c r="G2588" s="12">
        <f>C2588-E2588</f>
        <v>-3.1424395525316839E-2</v>
      </c>
      <c r="H2588" s="3">
        <f>B2586</f>
        <v>46720</v>
      </c>
      <c r="I2588" s="3">
        <f>B2605</f>
        <v>47020</v>
      </c>
      <c r="J2588" s="3">
        <f>I2588-H2588</f>
        <v>300</v>
      </c>
      <c r="K2588" s="5">
        <f>E2586</f>
        <v>8.499755295768626</v>
      </c>
      <c r="L2588" s="3">
        <f>C2605</f>
        <v>8.1349999999999998</v>
      </c>
      <c r="M2588" s="5">
        <f>L2588-K2588</f>
        <v>-0.3647552957686262</v>
      </c>
      <c r="N2588" s="3">
        <f>J2588/M2588</f>
        <v>-822.46921012573273</v>
      </c>
      <c r="O2588" s="3">
        <v>822</v>
      </c>
    </row>
    <row r="2589" spans="1:18" x14ac:dyDescent="0.3">
      <c r="A2589" s="11" t="s">
        <v>2437</v>
      </c>
      <c r="B2589" s="7">
        <v>46760</v>
      </c>
      <c r="C2589" s="7">
        <v>8.3740000000000006</v>
      </c>
      <c r="D2589" s="2">
        <f t="shared" si="649"/>
        <v>-7.0000000000000284E-2</v>
      </c>
      <c r="E2589" s="8">
        <f>E2588-F2588</f>
        <v>8.4510934952820094</v>
      </c>
      <c r="F2589" s="6">
        <f t="shared" ref="F2589" si="660">F2588</f>
        <v>2.4330900243309004E-2</v>
      </c>
      <c r="G2589" s="12">
        <f t="shared" ref="G2589" si="661">C2589-E2589</f>
        <v>-7.7093495282008817E-2</v>
      </c>
    </row>
    <row r="2590" spans="1:18" x14ac:dyDescent="0.3">
      <c r="A2590" s="11" t="s">
        <v>2438</v>
      </c>
      <c r="B2590" s="7">
        <v>46780</v>
      </c>
      <c r="C2590" s="7">
        <v>8.327</v>
      </c>
      <c r="D2590" s="2">
        <f t="shared" si="649"/>
        <v>-4.7000000000000597E-2</v>
      </c>
      <c r="E2590" s="8">
        <f t="shared" si="657"/>
        <v>8.4267625950387011</v>
      </c>
      <c r="F2590" s="6">
        <f t="shared" si="659"/>
        <v>2.4330900243309004E-2</v>
      </c>
      <c r="G2590" s="12">
        <f t="shared" si="658"/>
        <v>-9.9762595038701107E-2</v>
      </c>
    </row>
    <row r="2591" spans="1:18" x14ac:dyDescent="0.3">
      <c r="A2591" s="11" t="s">
        <v>3452</v>
      </c>
      <c r="B2591" s="70" t="s">
        <v>3454</v>
      </c>
      <c r="C2591" s="7"/>
      <c r="D2591" s="2"/>
      <c r="E2591" s="8"/>
      <c r="F2591" s="6"/>
      <c r="G2591" s="12"/>
    </row>
    <row r="2592" spans="1:18" x14ac:dyDescent="0.3">
      <c r="A2592" s="11" t="s">
        <v>2439</v>
      </c>
      <c r="B2592" s="7">
        <v>46800</v>
      </c>
      <c r="C2592" s="7">
        <v>8.2910000000000004</v>
      </c>
      <c r="D2592" s="2">
        <f>C2592-C2590</f>
        <v>-3.5999999999999588E-2</v>
      </c>
      <c r="E2592" s="8">
        <f>E2590-F2590</f>
        <v>8.4024316947953928</v>
      </c>
      <c r="F2592" s="6">
        <f>F2590</f>
        <v>2.4330900243309004E-2</v>
      </c>
      <c r="G2592" s="12">
        <f t="shared" si="658"/>
        <v>-0.11143169479539239</v>
      </c>
    </row>
    <row r="2593" spans="1:18" x14ac:dyDescent="0.3">
      <c r="A2593" s="11" t="s">
        <v>3453</v>
      </c>
      <c r="B2593" s="70" t="s">
        <v>3455</v>
      </c>
      <c r="C2593" s="7"/>
      <c r="D2593" s="2"/>
      <c r="E2593" s="8"/>
      <c r="F2593" s="6"/>
      <c r="G2593" s="12"/>
    </row>
    <row r="2594" spans="1:18" x14ac:dyDescent="0.3">
      <c r="A2594" s="11" t="s">
        <v>2440</v>
      </c>
      <c r="B2594" s="7">
        <v>46820</v>
      </c>
      <c r="C2594" s="7">
        <v>8.2539999999999996</v>
      </c>
      <c r="D2594" s="2">
        <f>C2594-C2592</f>
        <v>-3.700000000000081E-2</v>
      </c>
      <c r="E2594" s="8">
        <f>E2592-F2592</f>
        <v>8.3781007945520845</v>
      </c>
      <c r="F2594" s="6">
        <f>F2592</f>
        <v>2.4330900243309004E-2</v>
      </c>
      <c r="G2594" s="12">
        <f t="shared" si="658"/>
        <v>-0.12410079455208489</v>
      </c>
    </row>
    <row r="2595" spans="1:18" x14ac:dyDescent="0.3">
      <c r="A2595" s="11" t="s">
        <v>2441</v>
      </c>
      <c r="B2595" s="7">
        <v>46840</v>
      </c>
      <c r="C2595" s="7">
        <v>8.2080000000000002</v>
      </c>
      <c r="D2595" s="2">
        <f t="shared" si="649"/>
        <v>-4.5999999999999375E-2</v>
      </c>
      <c r="E2595" s="8">
        <f t="shared" si="657"/>
        <v>8.3537698943087761</v>
      </c>
      <c r="F2595" s="6">
        <f t="shared" si="659"/>
        <v>2.4330900243309004E-2</v>
      </c>
      <c r="G2595" s="12">
        <f t="shared" si="658"/>
        <v>-0.14576989430877596</v>
      </c>
    </row>
    <row r="2596" spans="1:18" x14ac:dyDescent="0.3">
      <c r="A2596" s="11" t="s">
        <v>2442</v>
      </c>
      <c r="B2596" s="7">
        <v>46860</v>
      </c>
      <c r="C2596" s="7">
        <v>8.1820000000000004</v>
      </c>
      <c r="D2596" s="2">
        <f t="shared" si="649"/>
        <v>-2.5999999999999801E-2</v>
      </c>
      <c r="E2596" s="8">
        <f t="shared" si="657"/>
        <v>8.3294389940654678</v>
      </c>
      <c r="F2596" s="6">
        <f t="shared" si="659"/>
        <v>2.4330900243309004E-2</v>
      </c>
      <c r="G2596" s="12">
        <f t="shared" si="658"/>
        <v>-0.14743899406546745</v>
      </c>
    </row>
    <row r="2597" spans="1:18" x14ac:dyDescent="0.3">
      <c r="A2597" s="11" t="s">
        <v>2443</v>
      </c>
      <c r="B2597" s="7">
        <v>46880</v>
      </c>
      <c r="C2597" s="7">
        <v>8.1760000000000002</v>
      </c>
      <c r="D2597" s="2">
        <f t="shared" si="649"/>
        <v>-6.0000000000002274E-3</v>
      </c>
      <c r="E2597" s="8">
        <f t="shared" si="657"/>
        <v>8.3051080938221595</v>
      </c>
      <c r="F2597" s="6">
        <f t="shared" si="659"/>
        <v>2.4330900243309004E-2</v>
      </c>
      <c r="G2597" s="12">
        <f t="shared" si="658"/>
        <v>-0.12910809382215938</v>
      </c>
    </row>
    <row r="2598" spans="1:18" x14ac:dyDescent="0.3">
      <c r="A2598" s="11" t="s">
        <v>2444</v>
      </c>
      <c r="B2598" s="7">
        <v>46900</v>
      </c>
      <c r="C2598" s="7">
        <v>8.1760000000000002</v>
      </c>
      <c r="D2598" s="2">
        <f t="shared" si="649"/>
        <v>0</v>
      </c>
      <c r="E2598" s="8">
        <f t="shared" si="657"/>
        <v>8.2807771935788512</v>
      </c>
      <c r="F2598" s="6">
        <f t="shared" si="659"/>
        <v>2.4330900243309004E-2</v>
      </c>
      <c r="G2598" s="12">
        <f t="shared" si="658"/>
        <v>-0.10477719357885107</v>
      </c>
    </row>
    <row r="2599" spans="1:18" x14ac:dyDescent="0.3">
      <c r="A2599" s="11" t="s">
        <v>2445</v>
      </c>
      <c r="B2599" s="7">
        <v>46920</v>
      </c>
      <c r="C2599" s="7">
        <v>8.1560000000000006</v>
      </c>
      <c r="D2599" s="2">
        <f t="shared" si="649"/>
        <v>-1.9999999999999574E-2</v>
      </c>
      <c r="E2599" s="8">
        <f t="shared" si="657"/>
        <v>8.2564462933355429</v>
      </c>
      <c r="F2599" s="6">
        <f t="shared" si="659"/>
        <v>2.4330900243309004E-2</v>
      </c>
      <c r="G2599" s="12">
        <f t="shared" si="658"/>
        <v>-0.10044629333554234</v>
      </c>
    </row>
    <row r="2600" spans="1:18" x14ac:dyDescent="0.3">
      <c r="A2600" s="11" t="s">
        <v>2446</v>
      </c>
      <c r="B2600" s="7">
        <v>46940</v>
      </c>
      <c r="C2600" s="7">
        <v>8.1470000000000002</v>
      </c>
      <c r="D2600" s="2">
        <f t="shared" si="649"/>
        <v>-9.0000000000003411E-3</v>
      </c>
      <c r="E2600" s="8">
        <f t="shared" si="657"/>
        <v>8.2321153930922346</v>
      </c>
      <c r="F2600" s="6">
        <f t="shared" si="659"/>
        <v>2.4330900243309004E-2</v>
      </c>
      <c r="G2600" s="12">
        <f t="shared" si="658"/>
        <v>-8.511539309223437E-2</v>
      </c>
    </row>
    <row r="2601" spans="1:18" x14ac:dyDescent="0.3">
      <c r="A2601" s="13" t="s">
        <v>2447</v>
      </c>
      <c r="B2601" s="24"/>
      <c r="C2601" s="25"/>
      <c r="D2601" s="25"/>
      <c r="E2601" s="25"/>
      <c r="F2601" s="25"/>
      <c r="G2601" s="26"/>
    </row>
    <row r="2602" spans="1:18" x14ac:dyDescent="0.3">
      <c r="A2602" s="11" t="s">
        <v>2448</v>
      </c>
      <c r="B2602" s="7">
        <v>46960</v>
      </c>
      <c r="C2602" s="7">
        <v>8.1389999999999993</v>
      </c>
      <c r="D2602" s="2">
        <f>C2602-C2600</f>
        <v>-8.0000000000008953E-3</v>
      </c>
      <c r="E2602" s="8">
        <f>E2600-F2600</f>
        <v>8.2077844928489263</v>
      </c>
      <c r="F2602" s="6">
        <f>F2600</f>
        <v>2.4330900243309004E-2</v>
      </c>
      <c r="G2602" s="12">
        <f t="shared" si="658"/>
        <v>-6.8784492848926959E-2</v>
      </c>
    </row>
    <row r="2603" spans="1:18" x14ac:dyDescent="0.3">
      <c r="A2603" s="11" t="s">
        <v>2449</v>
      </c>
      <c r="B2603" s="7">
        <v>46980</v>
      </c>
      <c r="C2603" s="7">
        <v>8.1389999999999993</v>
      </c>
      <c r="D2603" s="2">
        <f t="shared" si="649"/>
        <v>0</v>
      </c>
      <c r="E2603" s="8">
        <f t="shared" si="657"/>
        <v>8.183453592605618</v>
      </c>
      <c r="F2603" s="6">
        <f t="shared" si="659"/>
        <v>2.4330900243309004E-2</v>
      </c>
      <c r="G2603" s="12">
        <f t="shared" si="658"/>
        <v>-4.4453592605618653E-2</v>
      </c>
    </row>
    <row r="2604" spans="1:18" x14ac:dyDescent="0.3">
      <c r="A2604" s="11" t="s">
        <v>2450</v>
      </c>
      <c r="B2604" s="7">
        <v>47000</v>
      </c>
      <c r="C2604" s="7">
        <v>8.1449999999999996</v>
      </c>
      <c r="D2604" s="2">
        <f t="shared" si="649"/>
        <v>6.0000000000002274E-3</v>
      </c>
      <c r="E2604" s="8">
        <f t="shared" si="657"/>
        <v>8.1591226923623097</v>
      </c>
      <c r="F2604" s="6">
        <f t="shared" si="659"/>
        <v>2.4330900243309004E-2</v>
      </c>
      <c r="G2604" s="12">
        <f t="shared" si="658"/>
        <v>-1.4122692362310119E-2</v>
      </c>
    </row>
    <row r="2605" spans="1:18" x14ac:dyDescent="0.3">
      <c r="A2605" s="11" t="s">
        <v>2451</v>
      </c>
      <c r="B2605" s="7">
        <v>47020</v>
      </c>
      <c r="C2605" s="7">
        <v>8.1349999999999998</v>
      </c>
      <c r="D2605" s="2">
        <f t="shared" si="649"/>
        <v>-9.9999999999997868E-3</v>
      </c>
      <c r="E2605" s="8">
        <f t="shared" si="657"/>
        <v>8.1347917921190014</v>
      </c>
      <c r="F2605" s="6">
        <f t="shared" si="659"/>
        <v>2.4330900243309004E-2</v>
      </c>
      <c r="G2605" s="12">
        <f t="shared" si="658"/>
        <v>2.0820788099840115E-4</v>
      </c>
    </row>
    <row r="2606" spans="1:18" x14ac:dyDescent="0.3">
      <c r="A2606" s="21"/>
      <c r="B2606" s="22"/>
      <c r="C2606" s="22"/>
      <c r="D2606" s="22"/>
      <c r="E2606" s="22"/>
      <c r="F2606" s="22"/>
      <c r="G2606" s="23"/>
      <c r="H2606" s="4" t="s">
        <v>43</v>
      </c>
      <c r="J2606" s="4"/>
      <c r="O2606" s="3">
        <f>1/O2607</f>
        <v>5.3078556263269638E-4</v>
      </c>
      <c r="P2606" s="3">
        <f>O2606*20</f>
        <v>1.0615711252653927E-2</v>
      </c>
      <c r="Q2606" s="3" t="s">
        <v>3202</v>
      </c>
      <c r="R2606" s="3">
        <v>1884</v>
      </c>
    </row>
    <row r="2607" spans="1:18" x14ac:dyDescent="0.3">
      <c r="A2607" s="11" t="s">
        <v>2452</v>
      </c>
      <c r="B2607" s="7">
        <v>47040</v>
      </c>
      <c r="C2607" s="7">
        <v>8.14</v>
      </c>
      <c r="D2607" s="2">
        <f>C2607-C2605</f>
        <v>5.0000000000007816E-3</v>
      </c>
      <c r="E2607" s="8">
        <f>E2605+F2607</f>
        <v>8.145407503371656</v>
      </c>
      <c r="F2607" s="6">
        <f>P2606</f>
        <v>1.0615711252653927E-2</v>
      </c>
      <c r="G2607" s="12">
        <f>C2607-E2607</f>
        <v>-5.4075033716554088E-3</v>
      </c>
      <c r="H2607" s="3">
        <f>B2605</f>
        <v>47020</v>
      </c>
      <c r="I2607" s="3">
        <f>B2621</f>
        <v>47320</v>
      </c>
      <c r="J2607" s="3">
        <f>I2607-H2607</f>
        <v>300</v>
      </c>
      <c r="K2607" s="5">
        <f>E2605</f>
        <v>8.1347917921190014</v>
      </c>
      <c r="L2607" s="3">
        <f>C2621</f>
        <v>8.2940000000000005</v>
      </c>
      <c r="M2607" s="5">
        <f>L2607-K2607</f>
        <v>0.1592082078809991</v>
      </c>
      <c r="N2607" s="3">
        <f>J2607/M2607</f>
        <v>1884.3249603326756</v>
      </c>
      <c r="O2607" s="3">
        <v>1884</v>
      </c>
    </row>
    <row r="2608" spans="1:18" x14ac:dyDescent="0.3">
      <c r="A2608" s="11" t="s">
        <v>2453</v>
      </c>
      <c r="B2608" s="7">
        <v>47060</v>
      </c>
      <c r="C2608" s="7">
        <v>8.14</v>
      </c>
      <c r="D2608" s="2">
        <f t="shared" si="649"/>
        <v>0</v>
      </c>
      <c r="E2608" s="8">
        <f>E2607+F2607</f>
        <v>8.1560232146243106</v>
      </c>
      <c r="F2608" s="6">
        <f t="shared" ref="F2608" si="662">F2607</f>
        <v>1.0615711252653927E-2</v>
      </c>
      <c r="G2608" s="12">
        <f t="shared" ref="G2608" si="663">C2608-E2608</f>
        <v>-1.602321462431E-2</v>
      </c>
    </row>
    <row r="2609" spans="1:18" x14ac:dyDescent="0.3">
      <c r="A2609" s="11" t="s">
        <v>2454</v>
      </c>
      <c r="B2609" s="7">
        <v>47080</v>
      </c>
      <c r="C2609" s="7">
        <v>8.141</v>
      </c>
      <c r="D2609" s="2">
        <f t="shared" si="649"/>
        <v>9.9999999999944578E-4</v>
      </c>
      <c r="E2609" s="8">
        <f t="shared" ref="E2609:E2621" si="664">E2608+F2608</f>
        <v>8.1666389258769652</v>
      </c>
      <c r="F2609" s="6">
        <f t="shared" si="659"/>
        <v>1.0615711252653927E-2</v>
      </c>
      <c r="G2609" s="12">
        <f t="shared" ref="G2609:G2625" si="665">C2609-E2609</f>
        <v>-2.5638925876965146E-2</v>
      </c>
    </row>
    <row r="2610" spans="1:18" x14ac:dyDescent="0.3">
      <c r="A2610" s="11" t="s">
        <v>2455</v>
      </c>
      <c r="B2610" s="7">
        <v>47100</v>
      </c>
      <c r="C2610" s="7">
        <v>8.1470000000000002</v>
      </c>
      <c r="D2610" s="2">
        <f t="shared" si="649"/>
        <v>6.0000000000002274E-3</v>
      </c>
      <c r="E2610" s="8">
        <f t="shared" si="664"/>
        <v>8.1772546371296198</v>
      </c>
      <c r="F2610" s="6">
        <f t="shared" si="659"/>
        <v>1.0615711252653927E-2</v>
      </c>
      <c r="G2610" s="12">
        <f t="shared" si="665"/>
        <v>-3.025463712961951E-2</v>
      </c>
    </row>
    <row r="2611" spans="1:18" x14ac:dyDescent="0.3">
      <c r="A2611" s="11" t="s">
        <v>2456</v>
      </c>
      <c r="B2611" s="7">
        <v>47120</v>
      </c>
      <c r="C2611" s="7">
        <v>8.1620000000000008</v>
      </c>
      <c r="D2611" s="2">
        <f t="shared" si="649"/>
        <v>1.5000000000000568E-2</v>
      </c>
      <c r="E2611" s="8">
        <f t="shared" si="664"/>
        <v>8.1878703483822743</v>
      </c>
      <c r="F2611" s="6">
        <f t="shared" si="659"/>
        <v>1.0615711252653927E-2</v>
      </c>
      <c r="G2611" s="12">
        <f t="shared" si="665"/>
        <v>-2.5870348382273534E-2</v>
      </c>
    </row>
    <row r="2612" spans="1:18" x14ac:dyDescent="0.3">
      <c r="A2612" s="11" t="s">
        <v>2457</v>
      </c>
      <c r="B2612" s="7">
        <v>47140</v>
      </c>
      <c r="C2612" s="7">
        <v>8.1590000000000007</v>
      </c>
      <c r="D2612" s="2">
        <f t="shared" si="649"/>
        <v>-3.0000000000001137E-3</v>
      </c>
      <c r="E2612" s="8">
        <f t="shared" si="664"/>
        <v>8.1984860596349289</v>
      </c>
      <c r="F2612" s="6">
        <f t="shared" si="659"/>
        <v>1.0615711252653927E-2</v>
      </c>
      <c r="G2612" s="12">
        <f t="shared" si="665"/>
        <v>-3.9486059634928239E-2</v>
      </c>
    </row>
    <row r="2613" spans="1:18" x14ac:dyDescent="0.3">
      <c r="A2613" s="11" t="s">
        <v>2458</v>
      </c>
      <c r="B2613" s="7">
        <v>47160</v>
      </c>
      <c r="C2613" s="7">
        <v>8.1560000000000006</v>
      </c>
      <c r="D2613" s="2">
        <f t="shared" si="649"/>
        <v>-3.0000000000001137E-3</v>
      </c>
      <c r="E2613" s="8">
        <f t="shared" si="664"/>
        <v>8.2091017708875835</v>
      </c>
      <c r="F2613" s="6">
        <f t="shared" si="659"/>
        <v>1.0615711252653927E-2</v>
      </c>
      <c r="G2613" s="12">
        <f t="shared" si="665"/>
        <v>-5.3101770887582944E-2</v>
      </c>
    </row>
    <row r="2614" spans="1:18" x14ac:dyDescent="0.3">
      <c r="A2614" s="11" t="s">
        <v>2459</v>
      </c>
      <c r="B2614" s="7">
        <v>47180</v>
      </c>
      <c r="C2614" s="7">
        <v>8.1739999999999995</v>
      </c>
      <c r="D2614" s="2">
        <f t="shared" si="649"/>
        <v>1.7999999999998906E-2</v>
      </c>
      <c r="E2614" s="8">
        <f t="shared" si="664"/>
        <v>8.2197174821402381</v>
      </c>
      <c r="F2614" s="6">
        <f t="shared" si="659"/>
        <v>1.0615711252653927E-2</v>
      </c>
      <c r="G2614" s="12">
        <f t="shared" si="665"/>
        <v>-4.571748214023863E-2</v>
      </c>
    </row>
    <row r="2615" spans="1:18" x14ac:dyDescent="0.3">
      <c r="A2615" s="11" t="s">
        <v>2460</v>
      </c>
      <c r="B2615" s="7">
        <v>47200</v>
      </c>
      <c r="C2615" s="7">
        <v>8.2010000000000005</v>
      </c>
      <c r="D2615" s="2">
        <f t="shared" si="649"/>
        <v>2.7000000000001023E-2</v>
      </c>
      <c r="E2615" s="8">
        <f t="shared" si="664"/>
        <v>8.2303331933928927</v>
      </c>
      <c r="F2615" s="6">
        <f t="shared" si="659"/>
        <v>1.0615711252653927E-2</v>
      </c>
      <c r="G2615" s="12">
        <f t="shared" si="665"/>
        <v>-2.9333193392892198E-2</v>
      </c>
    </row>
    <row r="2616" spans="1:18" x14ac:dyDescent="0.3">
      <c r="A2616" s="11" t="s">
        <v>2461</v>
      </c>
      <c r="B2616" s="7">
        <v>47220</v>
      </c>
      <c r="C2616" s="7">
        <v>8.2089999999999996</v>
      </c>
      <c r="D2616" s="2">
        <f t="shared" si="649"/>
        <v>7.9999999999991189E-3</v>
      </c>
      <c r="E2616" s="8">
        <f t="shared" si="664"/>
        <v>8.2409489046455473</v>
      </c>
      <c r="F2616" s="6">
        <f t="shared" si="659"/>
        <v>1.0615711252653927E-2</v>
      </c>
      <c r="G2616" s="12">
        <f t="shared" si="665"/>
        <v>-3.1948904645547671E-2</v>
      </c>
    </row>
    <row r="2617" spans="1:18" x14ac:dyDescent="0.3">
      <c r="A2617" s="11" t="s">
        <v>2462</v>
      </c>
      <c r="B2617" s="7">
        <v>47240</v>
      </c>
      <c r="C2617" s="7">
        <v>8.2469999999999999</v>
      </c>
      <c r="D2617" s="2">
        <f t="shared" si="649"/>
        <v>3.8000000000000256E-2</v>
      </c>
      <c r="E2617" s="8">
        <f t="shared" si="664"/>
        <v>8.2515646158982019</v>
      </c>
      <c r="F2617" s="6">
        <f t="shared" si="659"/>
        <v>1.0615711252653927E-2</v>
      </c>
      <c r="G2617" s="12">
        <f t="shared" si="665"/>
        <v>-4.5646158982020069E-3</v>
      </c>
    </row>
    <row r="2618" spans="1:18" x14ac:dyDescent="0.3">
      <c r="A2618" s="11" t="s">
        <v>2463</v>
      </c>
      <c r="B2618" s="7">
        <v>47260</v>
      </c>
      <c r="C2618" s="7">
        <v>8.3070000000000004</v>
      </c>
      <c r="D2618" s="2">
        <f t="shared" si="649"/>
        <v>6.0000000000000497E-2</v>
      </c>
      <c r="E2618" s="8">
        <f t="shared" si="664"/>
        <v>8.2621803271508565</v>
      </c>
      <c r="F2618" s="6">
        <f t="shared" si="659"/>
        <v>1.0615711252653927E-2</v>
      </c>
      <c r="G2618" s="12">
        <f t="shared" si="665"/>
        <v>4.4819672849143899E-2</v>
      </c>
    </row>
    <row r="2619" spans="1:18" x14ac:dyDescent="0.3">
      <c r="A2619" s="11" t="s">
        <v>2464</v>
      </c>
      <c r="B2619" s="7">
        <v>47280</v>
      </c>
      <c r="C2619" s="7">
        <v>8.3079999999999998</v>
      </c>
      <c r="D2619" s="2">
        <f t="shared" si="649"/>
        <v>9.9999999999944578E-4</v>
      </c>
      <c r="E2619" s="8">
        <f t="shared" si="664"/>
        <v>8.2727960384035111</v>
      </c>
      <c r="F2619" s="6">
        <f t="shared" si="659"/>
        <v>1.0615711252653927E-2</v>
      </c>
      <c r="G2619" s="12">
        <f t="shared" si="665"/>
        <v>3.5203961596488753E-2</v>
      </c>
    </row>
    <row r="2620" spans="1:18" x14ac:dyDescent="0.3">
      <c r="A2620" s="11" t="s">
        <v>2465</v>
      </c>
      <c r="B2620" s="7">
        <v>47300</v>
      </c>
      <c r="C2620" s="7">
        <v>8.327</v>
      </c>
      <c r="D2620" s="2">
        <f t="shared" si="649"/>
        <v>1.9000000000000128E-2</v>
      </c>
      <c r="E2620" s="8">
        <f t="shared" si="664"/>
        <v>8.2834117496561657</v>
      </c>
      <c r="F2620" s="6">
        <f t="shared" si="659"/>
        <v>1.0615711252653927E-2</v>
      </c>
      <c r="G2620" s="12">
        <f t="shared" si="665"/>
        <v>4.3588250343834289E-2</v>
      </c>
    </row>
    <row r="2621" spans="1:18" x14ac:dyDescent="0.3">
      <c r="A2621" s="11" t="s">
        <v>2466</v>
      </c>
      <c r="B2621" s="7">
        <v>47320</v>
      </c>
      <c r="C2621" s="7">
        <v>8.2940000000000005</v>
      </c>
      <c r="D2621" s="2">
        <f t="shared" si="649"/>
        <v>-3.2999999999999474E-2</v>
      </c>
      <c r="E2621" s="8">
        <f t="shared" si="664"/>
        <v>8.2940274609088203</v>
      </c>
      <c r="F2621" s="6">
        <f t="shared" si="659"/>
        <v>1.0615711252653927E-2</v>
      </c>
      <c r="G2621" s="12">
        <f t="shared" si="665"/>
        <v>-2.7460908819776364E-5</v>
      </c>
    </row>
    <row r="2622" spans="1:18" x14ac:dyDescent="0.3">
      <c r="A2622" s="21"/>
      <c r="B2622" s="22"/>
      <c r="C2622" s="22"/>
      <c r="D2622" s="22"/>
      <c r="E2622" s="22"/>
      <c r="F2622" s="22"/>
      <c r="G2622" s="23"/>
      <c r="H2622" s="4" t="s">
        <v>44</v>
      </c>
      <c r="J2622" s="4"/>
      <c r="O2622" s="3">
        <f>1/O2623</f>
        <v>3.9840637450199202E-3</v>
      </c>
      <c r="P2622" s="3">
        <f>O2622*20</f>
        <v>7.9681274900398405E-2</v>
      </c>
      <c r="Q2622" s="3" t="s">
        <v>3200</v>
      </c>
      <c r="R2622" s="3">
        <v>251</v>
      </c>
    </row>
    <row r="2623" spans="1:18" x14ac:dyDescent="0.3">
      <c r="A2623" s="11" t="s">
        <v>2467</v>
      </c>
      <c r="B2623" s="7">
        <v>47340</v>
      </c>
      <c r="C2623" s="7">
        <v>8.24</v>
      </c>
      <c r="D2623" s="2">
        <f>C2623-C2621</f>
        <v>-5.400000000000027E-2</v>
      </c>
      <c r="E2623" s="8">
        <f>E2621-F2623</f>
        <v>8.2143461860084219</v>
      </c>
      <c r="F2623" s="6">
        <f>P2622</f>
        <v>7.9681274900398405E-2</v>
      </c>
      <c r="G2623" s="12">
        <f>C2623-E2623</f>
        <v>2.5653813991578289E-2</v>
      </c>
      <c r="H2623" s="3">
        <f>B2621</f>
        <v>47320</v>
      </c>
      <c r="I2623" s="3">
        <f>B2650</f>
        <v>47880</v>
      </c>
      <c r="J2623" s="3">
        <f>I2623-H2623</f>
        <v>560</v>
      </c>
      <c r="K2623" s="5">
        <f>E2621</f>
        <v>8.2940274609088203</v>
      </c>
      <c r="L2623" s="3">
        <f>C2650</f>
        <v>6.0650000000000004</v>
      </c>
      <c r="M2623" s="5">
        <f>L2623-K2623</f>
        <v>-2.2290274609088199</v>
      </c>
      <c r="N2623" s="3">
        <f>J2623/M2623</f>
        <v>-251.23064198216588</v>
      </c>
      <c r="O2623" s="3">
        <v>251</v>
      </c>
    </row>
    <row r="2624" spans="1:18" x14ac:dyDescent="0.3">
      <c r="A2624" s="11" t="s">
        <v>2468</v>
      </c>
      <c r="B2624" s="7">
        <v>47360</v>
      </c>
      <c r="C2624" s="7">
        <v>8.1229999999999993</v>
      </c>
      <c r="D2624" s="2">
        <f t="shared" si="649"/>
        <v>-0.11700000000000088</v>
      </c>
      <c r="E2624" s="8">
        <f>E2623-F2623</f>
        <v>8.1346649111080236</v>
      </c>
      <c r="F2624" s="6">
        <f t="shared" ref="F2624" si="666">F2623</f>
        <v>7.9681274900398405E-2</v>
      </c>
      <c r="G2624" s="12">
        <f t="shared" ref="G2624" si="667">C2624-E2624</f>
        <v>-1.1664911108024256E-2</v>
      </c>
    </row>
    <row r="2625" spans="1:7" x14ac:dyDescent="0.3">
      <c r="A2625" s="11" t="s">
        <v>2469</v>
      </c>
      <c r="B2625" s="7">
        <v>47380</v>
      </c>
      <c r="C2625" s="7">
        <v>8.0540000000000003</v>
      </c>
      <c r="D2625" s="2">
        <f t="shared" si="649"/>
        <v>-6.8999999999999062E-2</v>
      </c>
      <c r="E2625" s="8">
        <f t="shared" ref="E2625:E2664" si="668">E2624-F2624</f>
        <v>8.0549836362076253</v>
      </c>
      <c r="F2625" s="6">
        <f t="shared" si="659"/>
        <v>7.9681274900398405E-2</v>
      </c>
      <c r="G2625" s="12">
        <f t="shared" si="665"/>
        <v>-9.8363620762498272E-4</v>
      </c>
    </row>
    <row r="2626" spans="1:7" x14ac:dyDescent="0.3">
      <c r="A2626" s="11" t="s">
        <v>2470</v>
      </c>
      <c r="B2626" s="7">
        <v>47400</v>
      </c>
      <c r="C2626" s="7">
        <v>7.9020000000000001</v>
      </c>
      <c r="D2626" s="2">
        <f t="shared" ref="D2626:D2696" si="669">C2626-C2625</f>
        <v>-0.15200000000000014</v>
      </c>
      <c r="E2626" s="8">
        <f t="shared" si="668"/>
        <v>7.9753023613072269</v>
      </c>
      <c r="F2626" s="6">
        <f t="shared" si="659"/>
        <v>7.9681274900398405E-2</v>
      </c>
      <c r="G2626" s="12">
        <f t="shared" ref="G2626:G2637" si="670">C2626-E2626</f>
        <v>-7.3302361307226782E-2</v>
      </c>
    </row>
    <row r="2627" spans="1:7" x14ac:dyDescent="0.3">
      <c r="A2627" s="11" t="s">
        <v>2471</v>
      </c>
      <c r="B2627" s="7">
        <v>47420</v>
      </c>
      <c r="C2627" s="7">
        <v>7.8419999999999996</v>
      </c>
      <c r="D2627" s="2">
        <f t="shared" si="669"/>
        <v>-6.0000000000000497E-2</v>
      </c>
      <c r="E2627" s="8">
        <f t="shared" si="668"/>
        <v>7.8956210864068286</v>
      </c>
      <c r="F2627" s="6">
        <f t="shared" si="659"/>
        <v>7.9681274900398405E-2</v>
      </c>
      <c r="G2627" s="12">
        <f t="shared" si="670"/>
        <v>-5.3621086406828944E-2</v>
      </c>
    </row>
    <row r="2628" spans="1:7" x14ac:dyDescent="0.3">
      <c r="A2628" s="11" t="s">
        <v>2472</v>
      </c>
      <c r="B2628" s="7">
        <v>47440</v>
      </c>
      <c r="C2628" s="7">
        <v>7.7039999999999997</v>
      </c>
      <c r="D2628" s="2">
        <f t="shared" si="669"/>
        <v>-0.1379999999999999</v>
      </c>
      <c r="E2628" s="8">
        <f t="shared" si="668"/>
        <v>7.8159398115064302</v>
      </c>
      <c r="F2628" s="6">
        <f t="shared" si="659"/>
        <v>7.9681274900398405E-2</v>
      </c>
      <c r="G2628" s="12">
        <f t="shared" si="670"/>
        <v>-0.11193981150643051</v>
      </c>
    </row>
    <row r="2629" spans="1:7" x14ac:dyDescent="0.3">
      <c r="A2629" s="11" t="s">
        <v>2473</v>
      </c>
      <c r="B2629" s="7">
        <v>47460</v>
      </c>
      <c r="C2629" s="7">
        <v>7.5960000000000001</v>
      </c>
      <c r="D2629" s="2">
        <f t="shared" si="669"/>
        <v>-0.10799999999999965</v>
      </c>
      <c r="E2629" s="8">
        <f t="shared" si="668"/>
        <v>7.7362585366060319</v>
      </c>
      <c r="F2629" s="6">
        <f t="shared" si="659"/>
        <v>7.9681274900398405E-2</v>
      </c>
      <c r="G2629" s="12">
        <f t="shared" si="670"/>
        <v>-0.14025853660603183</v>
      </c>
    </row>
    <row r="2630" spans="1:7" x14ac:dyDescent="0.3">
      <c r="A2630" s="11" t="s">
        <v>2474</v>
      </c>
      <c r="B2630" s="7">
        <v>47480</v>
      </c>
      <c r="C2630" s="7">
        <v>7.5129999999999999</v>
      </c>
      <c r="D2630" s="2">
        <f t="shared" si="669"/>
        <v>-8.3000000000000185E-2</v>
      </c>
      <c r="E2630" s="8">
        <f t="shared" si="668"/>
        <v>7.6565772617056336</v>
      </c>
      <c r="F2630" s="6">
        <f t="shared" si="659"/>
        <v>7.9681274900398405E-2</v>
      </c>
      <c r="G2630" s="12">
        <f t="shared" si="670"/>
        <v>-0.14357726170563367</v>
      </c>
    </row>
    <row r="2631" spans="1:7" x14ac:dyDescent="0.3">
      <c r="A2631" s="11" t="s">
        <v>2475</v>
      </c>
      <c r="B2631" s="7">
        <v>47500</v>
      </c>
      <c r="C2631" s="7">
        <v>7.4379999999999997</v>
      </c>
      <c r="D2631" s="2">
        <f t="shared" si="669"/>
        <v>-7.5000000000000178E-2</v>
      </c>
      <c r="E2631" s="8">
        <f t="shared" si="668"/>
        <v>7.5768959868052352</v>
      </c>
      <c r="F2631" s="6">
        <f t="shared" si="659"/>
        <v>7.9681274900398405E-2</v>
      </c>
      <c r="G2631" s="12">
        <f t="shared" si="670"/>
        <v>-0.13889598680523552</v>
      </c>
    </row>
    <row r="2632" spans="1:7" x14ac:dyDescent="0.3">
      <c r="A2632" s="11" t="s">
        <v>2476</v>
      </c>
      <c r="B2632" s="7">
        <v>47520</v>
      </c>
      <c r="C2632" s="7">
        <v>7.3490000000000002</v>
      </c>
      <c r="D2632" s="2">
        <f t="shared" si="669"/>
        <v>-8.8999999999999524E-2</v>
      </c>
      <c r="E2632" s="8">
        <f t="shared" si="668"/>
        <v>7.4972147119048369</v>
      </c>
      <c r="F2632" s="6">
        <f t="shared" si="659"/>
        <v>7.9681274900398405E-2</v>
      </c>
      <c r="G2632" s="12">
        <f t="shared" si="670"/>
        <v>-0.1482147119048367</v>
      </c>
    </row>
    <row r="2633" spans="1:7" x14ac:dyDescent="0.3">
      <c r="A2633" s="11" t="s">
        <v>2477</v>
      </c>
      <c r="B2633" s="7">
        <v>47540</v>
      </c>
      <c r="C2633" s="7">
        <v>7.274</v>
      </c>
      <c r="D2633" s="2">
        <f t="shared" si="669"/>
        <v>-7.5000000000000178E-2</v>
      </c>
      <c r="E2633" s="8">
        <f t="shared" si="668"/>
        <v>7.4175334370044386</v>
      </c>
      <c r="F2633" s="6">
        <f t="shared" si="659"/>
        <v>7.9681274900398405E-2</v>
      </c>
      <c r="G2633" s="12">
        <f t="shared" si="670"/>
        <v>-0.14353343700443855</v>
      </c>
    </row>
    <row r="2634" spans="1:7" x14ac:dyDescent="0.3">
      <c r="A2634" s="11" t="s">
        <v>2478</v>
      </c>
      <c r="B2634" s="7">
        <v>47560</v>
      </c>
      <c r="C2634" s="7">
        <v>7.2249999999999996</v>
      </c>
      <c r="D2634" s="2">
        <f t="shared" si="669"/>
        <v>-4.9000000000000377E-2</v>
      </c>
      <c r="E2634" s="8">
        <f t="shared" si="668"/>
        <v>7.3378521621040402</v>
      </c>
      <c r="F2634" s="6">
        <f t="shared" si="659"/>
        <v>7.9681274900398405E-2</v>
      </c>
      <c r="G2634" s="12">
        <f t="shared" si="670"/>
        <v>-0.11285216210404059</v>
      </c>
    </row>
    <row r="2635" spans="1:7" x14ac:dyDescent="0.3">
      <c r="A2635" s="11" t="s">
        <v>2479</v>
      </c>
      <c r="B2635" s="7">
        <v>47580</v>
      </c>
      <c r="C2635" s="7">
        <v>7.1280000000000001</v>
      </c>
      <c r="D2635" s="2">
        <f t="shared" si="669"/>
        <v>-9.6999999999999531E-2</v>
      </c>
      <c r="E2635" s="8">
        <f t="shared" si="668"/>
        <v>7.2581708872036419</v>
      </c>
      <c r="F2635" s="6">
        <f t="shared" si="659"/>
        <v>7.9681274900398405E-2</v>
      </c>
      <c r="G2635" s="12">
        <f t="shared" si="670"/>
        <v>-0.13017088720364178</v>
      </c>
    </row>
    <row r="2636" spans="1:7" x14ac:dyDescent="0.3">
      <c r="A2636" s="11" t="s">
        <v>2480</v>
      </c>
      <c r="B2636" s="7">
        <v>47600</v>
      </c>
      <c r="C2636" s="7">
        <v>7.0549999999999997</v>
      </c>
      <c r="D2636" s="2">
        <f t="shared" si="669"/>
        <v>-7.3000000000000398E-2</v>
      </c>
      <c r="E2636" s="8">
        <f t="shared" si="668"/>
        <v>7.1784896123032436</v>
      </c>
      <c r="F2636" s="6">
        <f t="shared" si="659"/>
        <v>7.9681274900398405E-2</v>
      </c>
      <c r="G2636" s="12">
        <f t="shared" si="670"/>
        <v>-0.12348961230324385</v>
      </c>
    </row>
    <row r="2637" spans="1:7" x14ac:dyDescent="0.3">
      <c r="A2637" s="11" t="s">
        <v>2481</v>
      </c>
      <c r="B2637" s="7">
        <v>47620</v>
      </c>
      <c r="C2637" s="7">
        <v>7.0069999999999997</v>
      </c>
      <c r="D2637" s="2">
        <f t="shared" si="669"/>
        <v>-4.8000000000000043E-2</v>
      </c>
      <c r="E2637" s="8">
        <f t="shared" si="668"/>
        <v>7.0988083374028452</v>
      </c>
      <c r="F2637" s="6">
        <f t="shared" si="659"/>
        <v>7.9681274900398405E-2</v>
      </c>
      <c r="G2637" s="12">
        <f t="shared" si="670"/>
        <v>-9.1808337402845552E-2</v>
      </c>
    </row>
    <row r="2638" spans="1:7" x14ac:dyDescent="0.3">
      <c r="A2638" s="11" t="s">
        <v>2482</v>
      </c>
      <c r="B2638" s="7">
        <v>47640</v>
      </c>
      <c r="C2638" s="7">
        <v>6.9480000000000004</v>
      </c>
      <c r="D2638" s="2">
        <f t="shared" si="669"/>
        <v>-5.8999999999999275E-2</v>
      </c>
      <c r="E2638" s="8">
        <f t="shared" si="668"/>
        <v>7.0191270625024469</v>
      </c>
      <c r="F2638" s="6">
        <f t="shared" si="659"/>
        <v>7.9681274900398405E-2</v>
      </c>
      <c r="G2638" s="12">
        <f t="shared" ref="G2638:G2664" si="671">C2638-E2638</f>
        <v>-7.1127062502446492E-2</v>
      </c>
    </row>
    <row r="2639" spans="1:7" x14ac:dyDescent="0.3">
      <c r="A2639" s="11" t="s">
        <v>2483</v>
      </c>
      <c r="B2639" s="7">
        <v>47660</v>
      </c>
      <c r="C2639" s="7">
        <v>6.8639999999999999</v>
      </c>
      <c r="D2639" s="2">
        <f t="shared" si="669"/>
        <v>-8.4000000000000519E-2</v>
      </c>
      <c r="E2639" s="8">
        <f t="shared" si="668"/>
        <v>6.9394457876020486</v>
      </c>
      <c r="F2639" s="6">
        <f t="shared" si="659"/>
        <v>7.9681274900398405E-2</v>
      </c>
      <c r="G2639" s="12">
        <f t="shared" si="671"/>
        <v>-7.5445787602048675E-2</v>
      </c>
    </row>
    <row r="2640" spans="1:7" x14ac:dyDescent="0.3">
      <c r="A2640" s="11" t="s">
        <v>2484</v>
      </c>
      <c r="B2640" s="7">
        <v>47680</v>
      </c>
      <c r="C2640" s="7">
        <v>6.774</v>
      </c>
      <c r="D2640" s="2">
        <f t="shared" si="669"/>
        <v>-8.9999999999999858E-2</v>
      </c>
      <c r="E2640" s="8">
        <f t="shared" si="668"/>
        <v>6.8597645127016502</v>
      </c>
      <c r="F2640" s="6">
        <f t="shared" si="659"/>
        <v>7.9681274900398405E-2</v>
      </c>
      <c r="G2640" s="12">
        <f t="shared" si="671"/>
        <v>-8.5764512701650197E-2</v>
      </c>
    </row>
    <row r="2641" spans="1:18" x14ac:dyDescent="0.3">
      <c r="A2641" s="11" t="s">
        <v>2485</v>
      </c>
      <c r="B2641" s="7">
        <v>47700</v>
      </c>
      <c r="C2641" s="7">
        <v>6.7</v>
      </c>
      <c r="D2641" s="2">
        <f t="shared" si="669"/>
        <v>-7.3999999999999844E-2</v>
      </c>
      <c r="E2641" s="8">
        <f t="shared" si="668"/>
        <v>6.7800832378012519</v>
      </c>
      <c r="F2641" s="6">
        <f t="shared" si="659"/>
        <v>7.9681274900398405E-2</v>
      </c>
      <c r="G2641" s="12">
        <f t="shared" si="671"/>
        <v>-8.0083237801251705E-2</v>
      </c>
    </row>
    <row r="2642" spans="1:18" x14ac:dyDescent="0.3">
      <c r="A2642" s="11" t="s">
        <v>2486</v>
      </c>
      <c r="B2642" s="7">
        <v>47720</v>
      </c>
      <c r="C2642" s="7">
        <v>6.6139999999999999</v>
      </c>
      <c r="D2642" s="2">
        <f t="shared" si="669"/>
        <v>-8.6000000000000298E-2</v>
      </c>
      <c r="E2642" s="8">
        <f t="shared" si="668"/>
        <v>6.7004019629008535</v>
      </c>
      <c r="F2642" s="6">
        <f t="shared" si="659"/>
        <v>7.9681274900398405E-2</v>
      </c>
      <c r="G2642" s="12">
        <f t="shared" si="671"/>
        <v>-8.6401962900853668E-2</v>
      </c>
    </row>
    <row r="2643" spans="1:18" x14ac:dyDescent="0.3">
      <c r="A2643" s="11" t="s">
        <v>2487</v>
      </c>
      <c r="B2643" s="7">
        <v>47740</v>
      </c>
      <c r="C2643" s="7">
        <v>6.5330000000000004</v>
      </c>
      <c r="D2643" s="2">
        <f t="shared" si="669"/>
        <v>-8.0999999999999517E-2</v>
      </c>
      <c r="E2643" s="8">
        <f t="shared" si="668"/>
        <v>6.6207206880004552</v>
      </c>
      <c r="F2643" s="6">
        <f t="shared" si="659"/>
        <v>7.9681274900398405E-2</v>
      </c>
      <c r="G2643" s="12">
        <f t="shared" si="671"/>
        <v>-8.7720688000454849E-2</v>
      </c>
    </row>
    <row r="2644" spans="1:18" x14ac:dyDescent="0.3">
      <c r="A2644" s="11" t="s">
        <v>2488</v>
      </c>
      <c r="B2644" s="7">
        <v>47760</v>
      </c>
      <c r="C2644" s="7">
        <v>6.4530000000000003</v>
      </c>
      <c r="D2644" s="2">
        <f t="shared" si="669"/>
        <v>-8.0000000000000071E-2</v>
      </c>
      <c r="E2644" s="8">
        <f t="shared" si="668"/>
        <v>6.5410394131000569</v>
      </c>
      <c r="F2644" s="6">
        <f t="shared" si="659"/>
        <v>7.9681274900398405E-2</v>
      </c>
      <c r="G2644" s="12">
        <f t="shared" si="671"/>
        <v>-8.8039413100056585E-2</v>
      </c>
    </row>
    <row r="2645" spans="1:18" x14ac:dyDescent="0.3">
      <c r="A2645" s="11" t="s">
        <v>2489</v>
      </c>
      <c r="B2645" s="7">
        <v>47780</v>
      </c>
      <c r="C2645" s="7">
        <v>6.3849999999999998</v>
      </c>
      <c r="D2645" s="2">
        <f t="shared" si="669"/>
        <v>-6.8000000000000504E-2</v>
      </c>
      <c r="E2645" s="8">
        <f t="shared" si="668"/>
        <v>6.4613581381996585</v>
      </c>
      <c r="F2645" s="6">
        <f t="shared" si="659"/>
        <v>7.9681274900398405E-2</v>
      </c>
      <c r="G2645" s="12">
        <f t="shared" si="671"/>
        <v>-7.6358138199658754E-2</v>
      </c>
    </row>
    <row r="2646" spans="1:18" x14ac:dyDescent="0.3">
      <c r="A2646" s="11" t="s">
        <v>2490</v>
      </c>
      <c r="B2646" s="7">
        <v>47800</v>
      </c>
      <c r="C2646" s="7">
        <v>6.3220000000000001</v>
      </c>
      <c r="D2646" s="2">
        <f t="shared" si="669"/>
        <v>-6.2999999999999723E-2</v>
      </c>
      <c r="E2646" s="8">
        <f t="shared" si="668"/>
        <v>6.3816768632992602</v>
      </c>
      <c r="F2646" s="6">
        <f t="shared" si="659"/>
        <v>7.9681274900398405E-2</v>
      </c>
      <c r="G2646" s="12">
        <f t="shared" si="671"/>
        <v>-5.9676863299260141E-2</v>
      </c>
    </row>
    <row r="2647" spans="1:18" x14ac:dyDescent="0.3">
      <c r="A2647" s="11" t="s">
        <v>2491</v>
      </c>
      <c r="B2647" s="7">
        <v>47820</v>
      </c>
      <c r="C2647" s="7">
        <v>6.274</v>
      </c>
      <c r="D2647" s="2">
        <f t="shared" si="669"/>
        <v>-4.8000000000000043E-2</v>
      </c>
      <c r="E2647" s="8">
        <f t="shared" si="668"/>
        <v>6.3019955883988619</v>
      </c>
      <c r="F2647" s="6">
        <f t="shared" si="659"/>
        <v>7.9681274900398405E-2</v>
      </c>
      <c r="G2647" s="12">
        <f t="shared" si="671"/>
        <v>-2.7995588398861848E-2</v>
      </c>
    </row>
    <row r="2648" spans="1:18" x14ac:dyDescent="0.3">
      <c r="A2648" s="11" t="s">
        <v>2492</v>
      </c>
      <c r="B2648" s="7">
        <v>47840</v>
      </c>
      <c r="C2648" s="7">
        <v>6.1740000000000004</v>
      </c>
      <c r="D2648" s="2">
        <f t="shared" si="669"/>
        <v>-9.9999999999999645E-2</v>
      </c>
      <c r="E2648" s="8">
        <f t="shared" si="668"/>
        <v>6.2223143134984635</v>
      </c>
      <c r="F2648" s="6">
        <f t="shared" ref="F2648:F2717" si="672">F2647</f>
        <v>7.9681274900398405E-2</v>
      </c>
      <c r="G2648" s="12">
        <f t="shared" si="671"/>
        <v>-4.8314313498463157E-2</v>
      </c>
    </row>
    <row r="2649" spans="1:18" x14ac:dyDescent="0.3">
      <c r="A2649" s="11" t="s">
        <v>2493</v>
      </c>
      <c r="B2649" s="7">
        <v>47860</v>
      </c>
      <c r="C2649" s="7">
        <v>6.1189999999999998</v>
      </c>
      <c r="D2649" s="2">
        <f t="shared" si="669"/>
        <v>-5.5000000000000604E-2</v>
      </c>
      <c r="E2649" s="8">
        <f t="shared" si="668"/>
        <v>6.1426330385980652</v>
      </c>
      <c r="F2649" s="6">
        <f t="shared" si="672"/>
        <v>7.9681274900398405E-2</v>
      </c>
      <c r="G2649" s="12">
        <f t="shared" si="671"/>
        <v>-2.3633038598065426E-2</v>
      </c>
    </row>
    <row r="2650" spans="1:18" x14ac:dyDescent="0.3">
      <c r="A2650" s="11" t="s">
        <v>2494</v>
      </c>
      <c r="B2650" s="7">
        <v>47880</v>
      </c>
      <c r="C2650" s="7">
        <v>6.0650000000000004</v>
      </c>
      <c r="D2650" s="2">
        <f t="shared" si="669"/>
        <v>-5.3999999999999382E-2</v>
      </c>
      <c r="E2650" s="8">
        <f t="shared" si="668"/>
        <v>6.0629517636976669</v>
      </c>
      <c r="F2650" s="6">
        <f t="shared" si="672"/>
        <v>7.9681274900398405E-2</v>
      </c>
      <c r="G2650" s="12">
        <f t="shared" si="671"/>
        <v>2.0482363023335282E-3</v>
      </c>
    </row>
    <row r="2651" spans="1:18" x14ac:dyDescent="0.3">
      <c r="A2651" s="21"/>
      <c r="B2651" s="22"/>
      <c r="C2651" s="22"/>
      <c r="D2651" s="22"/>
      <c r="E2651" s="22"/>
      <c r="F2651" s="22"/>
      <c r="G2651" s="23"/>
      <c r="H2651" s="4" t="s">
        <v>3502</v>
      </c>
      <c r="J2651" s="4"/>
      <c r="O2651" s="3">
        <f>1/O2652</f>
        <v>6.6137566137566134E-4</v>
      </c>
      <c r="P2651" s="3">
        <f>O2651*20</f>
        <v>1.3227513227513227E-2</v>
      </c>
      <c r="Q2651" s="3" t="s">
        <v>3200</v>
      </c>
      <c r="R2651" s="3">
        <v>1512</v>
      </c>
    </row>
    <row r="2652" spans="1:18" x14ac:dyDescent="0.3">
      <c r="A2652" s="11" t="s">
        <v>2495</v>
      </c>
      <c r="B2652" s="7">
        <v>47900</v>
      </c>
      <c r="C2652" s="7">
        <v>6.0469999999999997</v>
      </c>
      <c r="D2652" s="2">
        <f>C2652-C2650</f>
        <v>-1.8000000000000682E-2</v>
      </c>
      <c r="E2652" s="8">
        <f>E2650-F2652</f>
        <v>6.0497242504701534</v>
      </c>
      <c r="F2652" s="6">
        <f>P2651</f>
        <v>1.3227513227513227E-2</v>
      </c>
      <c r="G2652" s="12">
        <f>C2652-E2652</f>
        <v>-2.7242504701536774E-3</v>
      </c>
      <c r="H2652" s="3">
        <f>B2650</f>
        <v>47880</v>
      </c>
      <c r="I2652" s="3">
        <f>B2676</f>
        <v>48320</v>
      </c>
      <c r="J2652" s="3">
        <f>I2652-H2652</f>
        <v>440</v>
      </c>
      <c r="K2652" s="5">
        <f>E2650</f>
        <v>6.0629517636976669</v>
      </c>
      <c r="L2652" s="3">
        <f>C2676</f>
        <v>5.7720000000000002</v>
      </c>
      <c r="M2652" s="5">
        <f>L2652-K2652</f>
        <v>-0.29095176369766662</v>
      </c>
      <c r="N2652" s="3">
        <f>J2652/M2652</f>
        <v>-1512.2781673776419</v>
      </c>
      <c r="O2652" s="3">
        <v>1512</v>
      </c>
    </row>
    <row r="2653" spans="1:18" x14ac:dyDescent="0.3">
      <c r="A2653" s="11" t="s">
        <v>2496</v>
      </c>
      <c r="B2653" s="7">
        <v>47920</v>
      </c>
      <c r="C2653" s="7">
        <v>6.0350000000000001</v>
      </c>
      <c r="D2653" s="2">
        <f t="shared" si="669"/>
        <v>-1.1999999999999567E-2</v>
      </c>
      <c r="E2653" s="8">
        <f>E2652-F2652</f>
        <v>6.0364967372426399</v>
      </c>
      <c r="F2653" s="6">
        <f t="shared" ref="F2653" si="673">F2652</f>
        <v>1.3227513227513227E-2</v>
      </c>
      <c r="G2653" s="12">
        <f t="shared" ref="G2653" si="674">C2653-E2653</f>
        <v>-1.4967372426397674E-3</v>
      </c>
    </row>
    <row r="2654" spans="1:18" x14ac:dyDescent="0.3">
      <c r="A2654" s="11" t="s">
        <v>2497</v>
      </c>
      <c r="B2654" s="7">
        <v>47940</v>
      </c>
      <c r="C2654" s="7">
        <v>6.01</v>
      </c>
      <c r="D2654" s="2">
        <f t="shared" si="669"/>
        <v>-2.5000000000000355E-2</v>
      </c>
      <c r="E2654" s="8">
        <f t="shared" si="668"/>
        <v>6.0232692240151264</v>
      </c>
      <c r="F2654" s="6">
        <f t="shared" si="672"/>
        <v>1.3227513227513227E-2</v>
      </c>
      <c r="G2654" s="12">
        <f t="shared" si="671"/>
        <v>-1.3269224015126646E-2</v>
      </c>
    </row>
    <row r="2655" spans="1:18" x14ac:dyDescent="0.3">
      <c r="A2655" s="11" t="s">
        <v>2498</v>
      </c>
      <c r="B2655" s="7">
        <v>47960</v>
      </c>
      <c r="C2655" s="7">
        <v>6.0069999999999997</v>
      </c>
      <c r="D2655" s="2">
        <f t="shared" si="669"/>
        <v>-3.0000000000001137E-3</v>
      </c>
      <c r="E2655" s="8">
        <f t="shared" si="668"/>
        <v>6.010041710787613</v>
      </c>
      <c r="F2655" s="6">
        <f t="shared" si="672"/>
        <v>1.3227513227513227E-2</v>
      </c>
      <c r="G2655" s="12">
        <f t="shared" si="671"/>
        <v>-3.0417107876132832E-3</v>
      </c>
    </row>
    <row r="2656" spans="1:18" x14ac:dyDescent="0.3">
      <c r="A2656" s="13" t="s">
        <v>2499</v>
      </c>
      <c r="B2656" s="24"/>
      <c r="C2656" s="25"/>
      <c r="D2656" s="25"/>
      <c r="E2656" s="25"/>
      <c r="F2656" s="25"/>
      <c r="G2656" s="26"/>
    </row>
    <row r="2657" spans="1:7" x14ac:dyDescent="0.3">
      <c r="A2657" s="11" t="s">
        <v>2500</v>
      </c>
      <c r="B2657" s="7">
        <v>47980</v>
      </c>
      <c r="C2657" s="7">
        <v>5.9660000000000002</v>
      </c>
      <c r="D2657" s="2">
        <f>C2657-C2655</f>
        <v>-4.0999999999999481E-2</v>
      </c>
      <c r="E2657" s="8">
        <f>E2655-F2655</f>
        <v>5.9968141975600995</v>
      </c>
      <c r="F2657" s="6">
        <f>F2655</f>
        <v>1.3227513227513227E-2</v>
      </c>
      <c r="G2657" s="12">
        <f t="shared" si="671"/>
        <v>-3.0814197560099288E-2</v>
      </c>
    </row>
    <row r="2658" spans="1:7" x14ac:dyDescent="0.3">
      <c r="A2658" s="11" t="s">
        <v>2501</v>
      </c>
      <c r="B2658" s="7">
        <v>48000</v>
      </c>
      <c r="C2658" s="7">
        <v>5.9379999999999997</v>
      </c>
      <c r="D2658" s="2">
        <f t="shared" si="669"/>
        <v>-2.8000000000000469E-2</v>
      </c>
      <c r="E2658" s="8">
        <f t="shared" si="668"/>
        <v>5.983586684332586</v>
      </c>
      <c r="F2658" s="6">
        <f t="shared" si="672"/>
        <v>1.3227513227513227E-2</v>
      </c>
      <c r="G2658" s="12">
        <f t="shared" si="671"/>
        <v>-4.558668433258628E-2</v>
      </c>
    </row>
    <row r="2659" spans="1:7" x14ac:dyDescent="0.3">
      <c r="A2659" s="11" t="s">
        <v>2502</v>
      </c>
      <c r="B2659" s="7">
        <v>48020</v>
      </c>
      <c r="C2659" s="7">
        <v>5.9569999999999999</v>
      </c>
      <c r="D2659" s="2">
        <f t="shared" si="669"/>
        <v>1.9000000000000128E-2</v>
      </c>
      <c r="E2659" s="8">
        <f t="shared" si="668"/>
        <v>5.9703591711050725</v>
      </c>
      <c r="F2659" s="6">
        <f t="shared" si="672"/>
        <v>1.3227513227513227E-2</v>
      </c>
      <c r="G2659" s="12">
        <f t="shared" si="671"/>
        <v>-1.3359171105072676E-2</v>
      </c>
    </row>
    <row r="2660" spans="1:7" x14ac:dyDescent="0.3">
      <c r="A2660" s="11" t="s">
        <v>2503</v>
      </c>
      <c r="B2660" s="7">
        <v>48040</v>
      </c>
      <c r="C2660" s="7">
        <v>5.952</v>
      </c>
      <c r="D2660" s="2">
        <f t="shared" si="669"/>
        <v>-4.9999999999998934E-3</v>
      </c>
      <c r="E2660" s="8">
        <f t="shared" si="668"/>
        <v>5.9571316578775591</v>
      </c>
      <c r="F2660" s="6">
        <f t="shared" si="672"/>
        <v>1.3227513227513227E-2</v>
      </c>
      <c r="G2660" s="12">
        <f t="shared" si="671"/>
        <v>-5.1316578775590926E-3</v>
      </c>
    </row>
    <row r="2661" spans="1:7" x14ac:dyDescent="0.3">
      <c r="A2661" s="11" t="s">
        <v>2504</v>
      </c>
      <c r="B2661" s="7">
        <v>48060</v>
      </c>
      <c r="C2661" s="7">
        <v>5.9630000000000001</v>
      </c>
      <c r="D2661" s="2">
        <f t="shared" si="669"/>
        <v>1.1000000000000121E-2</v>
      </c>
      <c r="E2661" s="8">
        <f t="shared" si="668"/>
        <v>5.9439041446500456</v>
      </c>
      <c r="F2661" s="6">
        <f t="shared" si="672"/>
        <v>1.3227513227513227E-2</v>
      </c>
      <c r="G2661" s="12">
        <f t="shared" si="671"/>
        <v>1.9095855349954505E-2</v>
      </c>
    </row>
    <row r="2662" spans="1:7" x14ac:dyDescent="0.3">
      <c r="A2662" s="11" t="s">
        <v>2505</v>
      </c>
      <c r="B2662" s="7">
        <v>48080</v>
      </c>
      <c r="C2662" s="7">
        <v>5.976</v>
      </c>
      <c r="D2662" s="2">
        <f t="shared" si="669"/>
        <v>1.2999999999999901E-2</v>
      </c>
      <c r="E2662" s="8">
        <f t="shared" si="668"/>
        <v>5.9306766314225321</v>
      </c>
      <c r="F2662" s="6">
        <f t="shared" si="672"/>
        <v>1.3227513227513227E-2</v>
      </c>
      <c r="G2662" s="12">
        <f t="shared" si="671"/>
        <v>4.5323368577467882E-2</v>
      </c>
    </row>
    <row r="2663" spans="1:7" x14ac:dyDescent="0.3">
      <c r="A2663" s="11" t="s">
        <v>2506</v>
      </c>
      <c r="B2663" s="7">
        <v>48100</v>
      </c>
      <c r="C2663" s="7">
        <v>5.99</v>
      </c>
      <c r="D2663" s="2">
        <f t="shared" si="669"/>
        <v>1.4000000000000234E-2</v>
      </c>
      <c r="E2663" s="8">
        <f t="shared" si="668"/>
        <v>5.9174491181950186</v>
      </c>
      <c r="F2663" s="6">
        <f t="shared" si="672"/>
        <v>1.3227513227513227E-2</v>
      </c>
      <c r="G2663" s="12">
        <f t="shared" si="671"/>
        <v>7.2550881804981593E-2</v>
      </c>
    </row>
    <row r="2664" spans="1:7" x14ac:dyDescent="0.3">
      <c r="A2664" s="11" t="s">
        <v>2507</v>
      </c>
      <c r="B2664" s="7">
        <v>48120</v>
      </c>
      <c r="C2664" s="7">
        <v>6.0149999999999997</v>
      </c>
      <c r="D2664" s="2">
        <f t="shared" si="669"/>
        <v>2.4999999999999467E-2</v>
      </c>
      <c r="E2664" s="8">
        <f t="shared" si="668"/>
        <v>5.9042216049675051</v>
      </c>
      <c r="F2664" s="6">
        <f t="shared" si="672"/>
        <v>1.3227513227513227E-2</v>
      </c>
      <c r="G2664" s="12">
        <f t="shared" si="671"/>
        <v>0.11077839503249454</v>
      </c>
    </row>
    <row r="2665" spans="1:7" x14ac:dyDescent="0.3">
      <c r="A2665" s="11" t="s">
        <v>2508</v>
      </c>
      <c r="B2665" s="7">
        <v>48140</v>
      </c>
      <c r="C2665" s="7">
        <v>6.0129999999999999</v>
      </c>
      <c r="D2665" s="2">
        <f t="shared" si="669"/>
        <v>-1.9999999999997797E-3</v>
      </c>
      <c r="E2665" s="8">
        <f t="shared" ref="E2665:E2691" si="675">E2664-F2664</f>
        <v>5.8909940917399917</v>
      </c>
      <c r="F2665" s="6">
        <f t="shared" si="672"/>
        <v>1.3227513227513227E-2</v>
      </c>
      <c r="G2665" s="12">
        <f t="shared" ref="G2665:G2691" si="676">C2665-E2665</f>
        <v>0.12200590826000823</v>
      </c>
    </row>
    <row r="2666" spans="1:7" x14ac:dyDescent="0.3">
      <c r="A2666" s="11" t="s">
        <v>2509</v>
      </c>
      <c r="B2666" s="7">
        <v>48160</v>
      </c>
      <c r="C2666" s="7">
        <v>5.9870000000000001</v>
      </c>
      <c r="D2666" s="2">
        <f t="shared" si="669"/>
        <v>-2.5999999999999801E-2</v>
      </c>
      <c r="E2666" s="8">
        <f t="shared" si="675"/>
        <v>5.8777665785124782</v>
      </c>
      <c r="F2666" s="6">
        <f t="shared" si="672"/>
        <v>1.3227513227513227E-2</v>
      </c>
      <c r="G2666" s="12">
        <f t="shared" si="676"/>
        <v>0.10923342148752191</v>
      </c>
    </row>
    <row r="2667" spans="1:7" x14ac:dyDescent="0.3">
      <c r="A2667" s="11" t="s">
        <v>2510</v>
      </c>
      <c r="B2667" s="7">
        <v>48180</v>
      </c>
      <c r="C2667" s="7">
        <v>5.9489999999999998</v>
      </c>
      <c r="D2667" s="2">
        <f t="shared" si="669"/>
        <v>-3.8000000000000256E-2</v>
      </c>
      <c r="E2667" s="8">
        <f t="shared" si="675"/>
        <v>5.8645390652849647</v>
      </c>
      <c r="F2667" s="6">
        <f t="shared" si="672"/>
        <v>1.3227513227513227E-2</v>
      </c>
      <c r="G2667" s="12">
        <f t="shared" si="676"/>
        <v>8.446093471503513E-2</v>
      </c>
    </row>
    <row r="2668" spans="1:7" x14ac:dyDescent="0.3">
      <c r="A2668" s="11" t="s">
        <v>3456</v>
      </c>
      <c r="B2668" s="70" t="s">
        <v>3457</v>
      </c>
      <c r="C2668" s="7"/>
      <c r="D2668" s="2"/>
      <c r="E2668" s="8"/>
      <c r="F2668" s="6"/>
      <c r="G2668" s="12"/>
    </row>
    <row r="2669" spans="1:7" x14ac:dyDescent="0.3">
      <c r="A2669" s="11" t="s">
        <v>2511</v>
      </c>
      <c r="B2669" s="7">
        <v>48200</v>
      </c>
      <c r="C2669" s="7">
        <v>5.8810000000000002</v>
      </c>
      <c r="D2669" s="2">
        <f>C2669-C2667</f>
        <v>-6.7999999999999616E-2</v>
      </c>
      <c r="E2669" s="8">
        <f>E2667-F2667</f>
        <v>5.8513115520574512</v>
      </c>
      <c r="F2669" s="6">
        <f>F2667</f>
        <v>1.3227513227513227E-2</v>
      </c>
      <c r="G2669" s="12">
        <f t="shared" si="676"/>
        <v>2.968844794254899E-2</v>
      </c>
    </row>
    <row r="2670" spans="1:7" x14ac:dyDescent="0.3">
      <c r="A2670" s="11" t="s">
        <v>2512</v>
      </c>
      <c r="B2670" s="7">
        <v>48220</v>
      </c>
      <c r="C2670" s="7">
        <v>5.8470000000000004</v>
      </c>
      <c r="D2670" s="2">
        <f t="shared" si="669"/>
        <v>-3.3999999999999808E-2</v>
      </c>
      <c r="E2670" s="8">
        <f t="shared" si="675"/>
        <v>5.8380840388299378</v>
      </c>
      <c r="F2670" s="6">
        <f t="shared" si="672"/>
        <v>1.3227513227513227E-2</v>
      </c>
      <c r="G2670" s="12">
        <f t="shared" si="676"/>
        <v>8.9159611700626584E-3</v>
      </c>
    </row>
    <row r="2671" spans="1:7" x14ac:dyDescent="0.3">
      <c r="A2671" s="11" t="s">
        <v>2513</v>
      </c>
      <c r="B2671" s="7">
        <v>48240</v>
      </c>
      <c r="C2671" s="7">
        <v>5.8230000000000004</v>
      </c>
      <c r="D2671" s="2">
        <f t="shared" si="669"/>
        <v>-2.4000000000000021E-2</v>
      </c>
      <c r="E2671" s="8">
        <f t="shared" si="675"/>
        <v>5.8248565256024243</v>
      </c>
      <c r="F2671" s="6">
        <f t="shared" si="672"/>
        <v>1.3227513227513227E-2</v>
      </c>
      <c r="G2671" s="12">
        <f t="shared" si="676"/>
        <v>-1.8565256024238863E-3</v>
      </c>
    </row>
    <row r="2672" spans="1:7" x14ac:dyDescent="0.3">
      <c r="A2672" s="11" t="s">
        <v>2514</v>
      </c>
      <c r="B2672" s="7">
        <v>48260</v>
      </c>
      <c r="C2672" s="7">
        <v>5.8070000000000004</v>
      </c>
      <c r="D2672" s="2">
        <f t="shared" si="669"/>
        <v>-1.6000000000000014E-2</v>
      </c>
      <c r="E2672" s="8">
        <f t="shared" si="675"/>
        <v>5.8116290123749108</v>
      </c>
      <c r="F2672" s="6">
        <f t="shared" si="672"/>
        <v>1.3227513227513227E-2</v>
      </c>
      <c r="G2672" s="12">
        <f t="shared" si="676"/>
        <v>-4.6290123749104239E-3</v>
      </c>
    </row>
    <row r="2673" spans="1:18" x14ac:dyDescent="0.3">
      <c r="A2673" s="11" t="s">
        <v>3458</v>
      </c>
      <c r="B2673" s="70" t="s">
        <v>3459</v>
      </c>
      <c r="C2673" s="7"/>
      <c r="D2673" s="2"/>
      <c r="E2673" s="8"/>
      <c r="F2673" s="6"/>
      <c r="G2673" s="12"/>
    </row>
    <row r="2674" spans="1:18" x14ac:dyDescent="0.3">
      <c r="A2674" s="11" t="s">
        <v>2515</v>
      </c>
      <c r="B2674" s="7">
        <v>48280</v>
      </c>
      <c r="C2674" s="7">
        <v>5.7930000000000001</v>
      </c>
      <c r="D2674" s="2">
        <f>C2674-C2672</f>
        <v>-1.4000000000000234E-2</v>
      </c>
      <c r="E2674" s="8">
        <f>E2672-F2672</f>
        <v>5.7984014991473973</v>
      </c>
      <c r="F2674" s="6">
        <f>F2672</f>
        <v>1.3227513227513227E-2</v>
      </c>
      <c r="G2674" s="12">
        <f t="shared" si="676"/>
        <v>-5.4014991473971818E-3</v>
      </c>
    </row>
    <row r="2675" spans="1:18" x14ac:dyDescent="0.3">
      <c r="A2675" s="11" t="s">
        <v>2516</v>
      </c>
      <c r="B2675" s="7">
        <v>48300</v>
      </c>
      <c r="C2675" s="7">
        <v>5.7649999999999997</v>
      </c>
      <c r="D2675" s="2">
        <f t="shared" si="669"/>
        <v>-2.8000000000000469E-2</v>
      </c>
      <c r="E2675" s="8">
        <f t="shared" si="675"/>
        <v>5.7851739859198839</v>
      </c>
      <c r="F2675" s="6">
        <f t="shared" si="672"/>
        <v>1.3227513227513227E-2</v>
      </c>
      <c r="G2675" s="12">
        <f t="shared" si="676"/>
        <v>-2.0173985919884174E-2</v>
      </c>
    </row>
    <row r="2676" spans="1:18" x14ac:dyDescent="0.3">
      <c r="A2676" s="11" t="s">
        <v>2517</v>
      </c>
      <c r="B2676" s="7">
        <v>48320</v>
      </c>
      <c r="C2676" s="7">
        <v>5.7720000000000002</v>
      </c>
      <c r="D2676" s="2">
        <f t="shared" si="669"/>
        <v>7.0000000000005613E-3</v>
      </c>
      <c r="E2676" s="8">
        <f t="shared" si="675"/>
        <v>5.7719464726923704</v>
      </c>
      <c r="F2676" s="6">
        <f t="shared" si="672"/>
        <v>1.3227513227513227E-2</v>
      </c>
      <c r="G2676" s="12">
        <f t="shared" si="676"/>
        <v>5.3527307629863685E-5</v>
      </c>
    </row>
    <row r="2677" spans="1:18" x14ac:dyDescent="0.3">
      <c r="A2677" s="11"/>
      <c r="B2677" s="7"/>
      <c r="C2677" s="7"/>
      <c r="D2677" s="2"/>
      <c r="E2677" s="8"/>
      <c r="F2677" s="6"/>
      <c r="G2677" s="12"/>
      <c r="H2677" s="4" t="s">
        <v>3501</v>
      </c>
      <c r="J2677" s="4"/>
      <c r="O2677" s="3">
        <f>1/O2678</f>
        <v>2.617801047120419E-3</v>
      </c>
      <c r="P2677" s="3">
        <f>O2677*20</f>
        <v>5.2356020942408377E-2</v>
      </c>
      <c r="Q2677" s="3" t="s">
        <v>3200</v>
      </c>
      <c r="R2677" s="3">
        <v>382</v>
      </c>
    </row>
    <row r="2678" spans="1:18" x14ac:dyDescent="0.3">
      <c r="A2678" s="11" t="s">
        <v>2518</v>
      </c>
      <c r="B2678" s="7">
        <v>48340</v>
      </c>
      <c r="C2678" s="7">
        <v>5.76</v>
      </c>
      <c r="D2678" s="2">
        <f>C2678-C2676</f>
        <v>-1.2000000000000455E-2</v>
      </c>
      <c r="E2678" s="8">
        <f>E2676-F2678</f>
        <v>5.7195904517499621</v>
      </c>
      <c r="F2678" s="6">
        <f>P2677</f>
        <v>5.2356020942408377E-2</v>
      </c>
      <c r="G2678" s="12">
        <f t="shared" si="676"/>
        <v>4.040954825003773E-2</v>
      </c>
      <c r="H2678" s="3">
        <f>B2676</f>
        <v>48320</v>
      </c>
      <c r="I2678" s="3">
        <f>B2696</f>
        <v>48660</v>
      </c>
      <c r="J2678" s="3">
        <f>I2678-H2678</f>
        <v>340</v>
      </c>
      <c r="K2678" s="5">
        <f>E2676</f>
        <v>5.7719464726923704</v>
      </c>
      <c r="L2678" s="3">
        <f>C2696</f>
        <v>4.8819999999999997</v>
      </c>
      <c r="M2678" s="5">
        <f>L2678-K2678</f>
        <v>-0.8899464726923707</v>
      </c>
      <c r="N2678" s="3">
        <f>J2678/M2678</f>
        <v>-382.04544928572165</v>
      </c>
      <c r="O2678" s="3">
        <v>382</v>
      </c>
    </row>
    <row r="2679" spans="1:18" x14ac:dyDescent="0.3">
      <c r="A2679" s="11" t="s">
        <v>2519</v>
      </c>
      <c r="B2679" s="7">
        <v>48360</v>
      </c>
      <c r="C2679" s="7">
        <v>5.7430000000000003</v>
      </c>
      <c r="D2679" s="2">
        <f t="shared" si="669"/>
        <v>-1.699999999999946E-2</v>
      </c>
      <c r="E2679" s="8">
        <f t="shared" si="675"/>
        <v>5.6672344308075537</v>
      </c>
      <c r="F2679" s="6">
        <f t="shared" si="672"/>
        <v>5.2356020942408377E-2</v>
      </c>
      <c r="G2679" s="12">
        <f t="shared" si="676"/>
        <v>7.5765569192446591E-2</v>
      </c>
    </row>
    <row r="2680" spans="1:18" x14ac:dyDescent="0.3">
      <c r="A2680" s="11" t="s">
        <v>2520</v>
      </c>
      <c r="B2680" s="7">
        <v>48380</v>
      </c>
      <c r="C2680" s="7">
        <v>5.6790000000000003</v>
      </c>
      <c r="D2680" s="2">
        <f t="shared" si="669"/>
        <v>-6.4000000000000057E-2</v>
      </c>
      <c r="E2680" s="8">
        <f t="shared" si="675"/>
        <v>5.6148784098651454</v>
      </c>
      <c r="F2680" s="6">
        <f t="shared" si="672"/>
        <v>5.2356020942408377E-2</v>
      </c>
      <c r="G2680" s="12">
        <f t="shared" si="676"/>
        <v>6.4121590134854856E-2</v>
      </c>
    </row>
    <row r="2681" spans="1:18" x14ac:dyDescent="0.3">
      <c r="A2681" s="21" t="s">
        <v>3460</v>
      </c>
      <c r="B2681" s="65" t="s">
        <v>3461</v>
      </c>
      <c r="C2681" s="22"/>
      <c r="D2681" s="22"/>
      <c r="E2681" s="22"/>
      <c r="F2681" s="22"/>
      <c r="G2681" s="23"/>
    </row>
    <row r="2682" spans="1:18" x14ac:dyDescent="0.3">
      <c r="A2682" s="11" t="s">
        <v>2521</v>
      </c>
      <c r="B2682" s="7">
        <v>48400</v>
      </c>
      <c r="C2682" s="7">
        <v>5.6319999999999997</v>
      </c>
      <c r="D2682" s="2">
        <f>C2682-C2680</f>
        <v>-4.7000000000000597E-2</v>
      </c>
      <c r="E2682" s="8">
        <f>E2680-F2682</f>
        <v>5.5625223889227371</v>
      </c>
      <c r="F2682" s="6">
        <f>P2677</f>
        <v>5.2356020942408377E-2</v>
      </c>
      <c r="G2682" s="12">
        <f>C2682-E2682</f>
        <v>6.947761107726258E-2</v>
      </c>
    </row>
    <row r="2683" spans="1:18" x14ac:dyDescent="0.3">
      <c r="A2683" s="11" t="s">
        <v>2522</v>
      </c>
      <c r="B2683" s="7">
        <v>48420</v>
      </c>
      <c r="C2683" s="7">
        <v>5.5259999999999998</v>
      </c>
      <c r="D2683" s="2">
        <f t="shared" si="669"/>
        <v>-0.10599999999999987</v>
      </c>
      <c r="E2683" s="8">
        <f>E2682-F2682</f>
        <v>5.5101663679803288</v>
      </c>
      <c r="F2683" s="6">
        <f t="shared" ref="F2683" si="677">F2682</f>
        <v>5.2356020942408377E-2</v>
      </c>
      <c r="G2683" s="12">
        <f t="shared" ref="G2683" si="678">C2683-E2683</f>
        <v>1.5833632019671029E-2</v>
      </c>
    </row>
    <row r="2684" spans="1:18" x14ac:dyDescent="0.3">
      <c r="A2684" s="11" t="s">
        <v>2523</v>
      </c>
      <c r="B2684" s="7">
        <v>48440</v>
      </c>
      <c r="C2684" s="7">
        <v>5.4420000000000002</v>
      </c>
      <c r="D2684" s="2">
        <f t="shared" si="669"/>
        <v>-8.3999999999999631E-2</v>
      </c>
      <c r="E2684" s="8">
        <f t="shared" si="675"/>
        <v>5.4578103470379205</v>
      </c>
      <c r="F2684" s="6">
        <f t="shared" si="672"/>
        <v>5.2356020942408377E-2</v>
      </c>
      <c r="G2684" s="12">
        <f t="shared" si="676"/>
        <v>-1.581034703792028E-2</v>
      </c>
    </row>
    <row r="2685" spans="1:18" x14ac:dyDescent="0.3">
      <c r="A2685" s="11" t="s">
        <v>2524</v>
      </c>
      <c r="B2685" s="7">
        <v>48460</v>
      </c>
      <c r="C2685" s="7">
        <v>5.3689999999999998</v>
      </c>
      <c r="D2685" s="2">
        <f t="shared" si="669"/>
        <v>-7.3000000000000398E-2</v>
      </c>
      <c r="E2685" s="8">
        <f t="shared" si="675"/>
        <v>5.4054543260955121</v>
      </c>
      <c r="F2685" s="6">
        <f t="shared" si="672"/>
        <v>5.2356020942408377E-2</v>
      </c>
      <c r="G2685" s="12">
        <f t="shared" si="676"/>
        <v>-3.6454326095512357E-2</v>
      </c>
    </row>
    <row r="2686" spans="1:18" x14ac:dyDescent="0.3">
      <c r="A2686" s="11" t="s">
        <v>3462</v>
      </c>
      <c r="B2686" s="70" t="s">
        <v>3463</v>
      </c>
      <c r="C2686" s="7"/>
      <c r="D2686" s="2"/>
      <c r="E2686" s="8"/>
      <c r="F2686" s="6"/>
      <c r="G2686" s="12"/>
    </row>
    <row r="2687" spans="1:18" x14ac:dyDescent="0.3">
      <c r="A2687" s="11" t="s">
        <v>2525</v>
      </c>
      <c r="B2687" s="7">
        <v>48480</v>
      </c>
      <c r="C2687" s="7">
        <v>5.2850000000000001</v>
      </c>
      <c r="D2687" s="2">
        <f>C2687-C2685</f>
        <v>-8.3999999999999631E-2</v>
      </c>
      <c r="E2687" s="8">
        <f>E2685-F2685</f>
        <v>5.3530983051531038</v>
      </c>
      <c r="F2687" s="6">
        <f>F2685</f>
        <v>5.2356020942408377E-2</v>
      </c>
      <c r="G2687" s="12">
        <f t="shared" si="676"/>
        <v>-6.8098305153103666E-2</v>
      </c>
    </row>
    <row r="2688" spans="1:18" x14ac:dyDescent="0.3">
      <c r="A2688" s="11" t="s">
        <v>2526</v>
      </c>
      <c r="B2688" s="7">
        <v>48500</v>
      </c>
      <c r="C2688" s="7">
        <v>5.2130000000000001</v>
      </c>
      <c r="D2688" s="2">
        <f t="shared" si="669"/>
        <v>-7.2000000000000064E-2</v>
      </c>
      <c r="E2688" s="8">
        <f t="shared" si="675"/>
        <v>5.3007422842106955</v>
      </c>
      <c r="F2688" s="6">
        <f t="shared" si="672"/>
        <v>5.2356020942408377E-2</v>
      </c>
      <c r="G2688" s="12">
        <f t="shared" si="676"/>
        <v>-8.7742284210695409E-2</v>
      </c>
    </row>
    <row r="2689" spans="1:18" x14ac:dyDescent="0.3">
      <c r="A2689" s="11" t="s">
        <v>2527</v>
      </c>
      <c r="B2689" s="7">
        <v>48520</v>
      </c>
      <c r="C2689" s="7">
        <v>5.1420000000000003</v>
      </c>
      <c r="D2689" s="2">
        <f t="shared" si="669"/>
        <v>-7.099999999999973E-2</v>
      </c>
      <c r="E2689" s="8">
        <f t="shared" si="675"/>
        <v>5.2483862632682872</v>
      </c>
      <c r="F2689" s="6">
        <f t="shared" si="672"/>
        <v>5.2356020942408377E-2</v>
      </c>
      <c r="G2689" s="12">
        <f t="shared" si="676"/>
        <v>-0.10638626326828682</v>
      </c>
    </row>
    <row r="2690" spans="1:18" x14ac:dyDescent="0.3">
      <c r="A2690" s="11" t="s">
        <v>2528</v>
      </c>
      <c r="B2690" s="7">
        <v>48540</v>
      </c>
      <c r="C2690" s="7">
        <v>5.0880000000000001</v>
      </c>
      <c r="D2690" s="2">
        <f t="shared" si="669"/>
        <v>-5.400000000000027E-2</v>
      </c>
      <c r="E2690" s="8">
        <f t="shared" si="675"/>
        <v>5.1960302423258788</v>
      </c>
      <c r="F2690" s="6">
        <f t="shared" si="672"/>
        <v>5.2356020942408377E-2</v>
      </c>
      <c r="G2690" s="12">
        <f t="shared" si="676"/>
        <v>-0.10803024232587877</v>
      </c>
    </row>
    <row r="2691" spans="1:18" x14ac:dyDescent="0.3">
      <c r="A2691" s="11" t="s">
        <v>2529</v>
      </c>
      <c r="B2691" s="7">
        <v>48560</v>
      </c>
      <c r="C2691" s="7">
        <v>5.04</v>
      </c>
      <c r="D2691" s="2">
        <f t="shared" si="669"/>
        <v>-4.8000000000000043E-2</v>
      </c>
      <c r="E2691" s="8">
        <f t="shared" si="675"/>
        <v>5.1436742213834705</v>
      </c>
      <c r="F2691" s="6">
        <f t="shared" si="672"/>
        <v>5.2356020942408377E-2</v>
      </c>
      <c r="G2691" s="12">
        <f t="shared" si="676"/>
        <v>-0.10367422138347049</v>
      </c>
    </row>
    <row r="2692" spans="1:18" x14ac:dyDescent="0.3">
      <c r="A2692" s="11" t="s">
        <v>2530</v>
      </c>
      <c r="B2692" s="7">
        <v>48580</v>
      </c>
      <c r="C2692" s="7">
        <v>4.9939999999999998</v>
      </c>
      <c r="D2692" s="2">
        <f t="shared" si="669"/>
        <v>-4.6000000000000263E-2</v>
      </c>
      <c r="E2692" s="8">
        <f t="shared" ref="E2692:E2712" si="679">E2691-F2691</f>
        <v>5.0913182004410622</v>
      </c>
      <c r="F2692" s="6">
        <f t="shared" si="672"/>
        <v>5.2356020942408377E-2</v>
      </c>
      <c r="G2692" s="12">
        <f t="shared" ref="G2692:G2714" si="680">C2692-E2692</f>
        <v>-9.731820044106243E-2</v>
      </c>
    </row>
    <row r="2693" spans="1:18" x14ac:dyDescent="0.3">
      <c r="A2693" s="11" t="s">
        <v>2531</v>
      </c>
      <c r="B2693" s="7">
        <v>48600</v>
      </c>
      <c r="C2693" s="7">
        <v>4.9509999999999996</v>
      </c>
      <c r="D2693" s="2">
        <f t="shared" si="669"/>
        <v>-4.3000000000000149E-2</v>
      </c>
      <c r="E2693" s="8">
        <f t="shared" si="679"/>
        <v>5.0389621794986539</v>
      </c>
      <c r="F2693" s="6">
        <f t="shared" si="672"/>
        <v>5.2356020942408377E-2</v>
      </c>
      <c r="G2693" s="12">
        <f t="shared" si="680"/>
        <v>-8.7962179498654258E-2</v>
      </c>
    </row>
    <row r="2694" spans="1:18" x14ac:dyDescent="0.3">
      <c r="A2694" s="11" t="s">
        <v>2532</v>
      </c>
      <c r="B2694" s="7">
        <v>48620</v>
      </c>
      <c r="C2694" s="7">
        <v>4.9059999999999997</v>
      </c>
      <c r="D2694" s="2">
        <f t="shared" si="669"/>
        <v>-4.4999999999999929E-2</v>
      </c>
      <c r="E2694" s="8">
        <f t="shared" si="679"/>
        <v>4.9866061585562456</v>
      </c>
      <c r="F2694" s="6">
        <f t="shared" si="672"/>
        <v>5.2356020942408377E-2</v>
      </c>
      <c r="G2694" s="12">
        <f t="shared" si="680"/>
        <v>-8.0606158556245866E-2</v>
      </c>
    </row>
    <row r="2695" spans="1:18" x14ac:dyDescent="0.3">
      <c r="A2695" s="11" t="s">
        <v>2533</v>
      </c>
      <c r="B2695" s="7">
        <v>48640</v>
      </c>
      <c r="C2695" s="7">
        <v>4.8890000000000002</v>
      </c>
      <c r="D2695" s="2">
        <f t="shared" si="669"/>
        <v>-1.699999999999946E-2</v>
      </c>
      <c r="E2695" s="8">
        <f t="shared" si="679"/>
        <v>4.9342501376138372</v>
      </c>
      <c r="F2695" s="6">
        <f t="shared" si="672"/>
        <v>5.2356020942408377E-2</v>
      </c>
      <c r="G2695" s="12">
        <f t="shared" si="680"/>
        <v>-4.5250137613837005E-2</v>
      </c>
    </row>
    <row r="2696" spans="1:18" x14ac:dyDescent="0.3">
      <c r="A2696" s="11" t="s">
        <v>2534</v>
      </c>
      <c r="B2696" s="7">
        <v>48660</v>
      </c>
      <c r="C2696" s="7">
        <v>4.8819999999999997</v>
      </c>
      <c r="D2696" s="2">
        <f t="shared" si="669"/>
        <v>-7.0000000000005613E-3</v>
      </c>
      <c r="E2696" s="8">
        <f t="shared" si="679"/>
        <v>4.8818941166714289</v>
      </c>
      <c r="F2696" s="6">
        <f t="shared" si="672"/>
        <v>5.2356020942408377E-2</v>
      </c>
      <c r="G2696" s="12">
        <f t="shared" si="680"/>
        <v>1.05883328570755E-4</v>
      </c>
    </row>
    <row r="2697" spans="1:18" x14ac:dyDescent="0.3">
      <c r="A2697" s="21"/>
      <c r="B2697" s="22"/>
      <c r="C2697" s="22"/>
      <c r="D2697" s="22"/>
      <c r="E2697" s="22"/>
      <c r="F2697" s="22"/>
      <c r="G2697" s="23"/>
      <c r="H2697" s="4" t="s">
        <v>3503</v>
      </c>
      <c r="J2697" s="4"/>
      <c r="O2697" s="3">
        <f>1/O2698</f>
        <v>8.4395307620896279E-5</v>
      </c>
      <c r="P2697" s="3">
        <f>O2697*20</f>
        <v>1.6879061524179256E-3</v>
      </c>
      <c r="Q2697" s="3" t="s">
        <v>3200</v>
      </c>
      <c r="R2697" s="3">
        <v>11849</v>
      </c>
    </row>
    <row r="2698" spans="1:18" x14ac:dyDescent="0.3">
      <c r="A2698" s="11" t="s">
        <v>2535</v>
      </c>
      <c r="B2698" s="7">
        <v>48680</v>
      </c>
      <c r="C2698" s="7">
        <v>4.8559999999999999</v>
      </c>
      <c r="D2698" s="2">
        <f>C2698-C2696</f>
        <v>-2.5999999999999801E-2</v>
      </c>
      <c r="E2698" s="8">
        <f>E2696-F2698</f>
        <v>4.8802062105190114</v>
      </c>
      <c r="F2698" s="6">
        <f>P2697</f>
        <v>1.6879061524179256E-3</v>
      </c>
      <c r="G2698" s="12">
        <f>C2698-E2698</f>
        <v>-2.4206210519011506E-2</v>
      </c>
      <c r="H2698" s="3">
        <f>B2696</f>
        <v>48660</v>
      </c>
      <c r="I2698" s="3">
        <f>B2740</f>
        <v>49500</v>
      </c>
      <c r="J2698" s="3">
        <f>I2698-H2698</f>
        <v>840</v>
      </c>
      <c r="K2698" s="5">
        <f>E2696</f>
        <v>4.8818941166714289</v>
      </c>
      <c r="L2698" s="3">
        <f>C2740</f>
        <v>4.8109999999999999</v>
      </c>
      <c r="M2698" s="5">
        <f>L2698-K2698</f>
        <v>-7.0894116671428975E-2</v>
      </c>
      <c r="N2698" s="3">
        <f>J2698/M2698</f>
        <v>-11848.655987818072</v>
      </c>
      <c r="O2698" s="3">
        <v>11849</v>
      </c>
    </row>
    <row r="2699" spans="1:18" x14ac:dyDescent="0.3">
      <c r="A2699" s="11" t="s">
        <v>2536</v>
      </c>
      <c r="B2699" s="7">
        <v>48700</v>
      </c>
      <c r="C2699" s="7">
        <v>4.8319999999999999</v>
      </c>
      <c r="D2699" s="2">
        <f t="shared" ref="D2699:D2763" si="681">C2699-C2698</f>
        <v>-2.4000000000000021E-2</v>
      </c>
      <c r="E2699" s="8">
        <f>E2698-F2698</f>
        <v>4.8785183043665938</v>
      </c>
      <c r="F2699" s="6">
        <f t="shared" ref="F2699" si="682">F2698</f>
        <v>1.6879061524179256E-3</v>
      </c>
      <c r="G2699" s="12">
        <f t="shared" ref="G2699" si="683">C2699-E2699</f>
        <v>-4.6518304366593988E-2</v>
      </c>
    </row>
    <row r="2700" spans="1:18" x14ac:dyDescent="0.3">
      <c r="A2700" s="11" t="s">
        <v>2537</v>
      </c>
      <c r="B2700" s="7">
        <v>48720</v>
      </c>
      <c r="C2700" s="7">
        <v>4.8209999999999997</v>
      </c>
      <c r="D2700" s="2">
        <f t="shared" si="681"/>
        <v>-1.1000000000000121E-2</v>
      </c>
      <c r="E2700" s="8">
        <f t="shared" si="679"/>
        <v>4.8768303982141763</v>
      </c>
      <c r="F2700" s="6">
        <f t="shared" si="672"/>
        <v>1.6879061524179256E-3</v>
      </c>
      <c r="G2700" s="12">
        <f t="shared" si="680"/>
        <v>-5.5830398214176569E-2</v>
      </c>
    </row>
    <row r="2701" spans="1:18" x14ac:dyDescent="0.3">
      <c r="A2701" s="11" t="s">
        <v>2538</v>
      </c>
      <c r="B2701" s="7">
        <v>48740</v>
      </c>
      <c r="C2701" s="7">
        <v>4.8019999999999996</v>
      </c>
      <c r="D2701" s="2">
        <f t="shared" si="681"/>
        <v>-1.9000000000000128E-2</v>
      </c>
      <c r="E2701" s="8">
        <f t="shared" si="679"/>
        <v>4.8751424920617588</v>
      </c>
      <c r="F2701" s="6">
        <f t="shared" si="672"/>
        <v>1.6879061524179256E-3</v>
      </c>
      <c r="G2701" s="12">
        <f t="shared" si="680"/>
        <v>-7.3142492061759157E-2</v>
      </c>
    </row>
    <row r="2702" spans="1:18" x14ac:dyDescent="0.3">
      <c r="A2702" s="11" t="s">
        <v>2539</v>
      </c>
      <c r="B2702" s="7">
        <v>48760</v>
      </c>
      <c r="C2702" s="7">
        <v>4.7640000000000002</v>
      </c>
      <c r="D2702" s="2">
        <f t="shared" si="681"/>
        <v>-3.7999999999999368E-2</v>
      </c>
      <c r="E2702" s="8">
        <f t="shared" si="679"/>
        <v>4.8734545859093412</v>
      </c>
      <c r="F2702" s="6">
        <f t="shared" si="672"/>
        <v>1.6879061524179256E-3</v>
      </c>
      <c r="G2702" s="12">
        <f t="shared" si="680"/>
        <v>-0.10945458590934098</v>
      </c>
    </row>
    <row r="2703" spans="1:18" x14ac:dyDescent="0.3">
      <c r="A2703" s="11" t="s">
        <v>2540</v>
      </c>
      <c r="B2703" s="7">
        <v>48780</v>
      </c>
      <c r="C2703" s="7">
        <v>4.7699999999999996</v>
      </c>
      <c r="D2703" s="2">
        <f t="shared" si="681"/>
        <v>5.9999999999993392E-3</v>
      </c>
      <c r="E2703" s="8">
        <f t="shared" si="679"/>
        <v>4.8717666797569237</v>
      </c>
      <c r="F2703" s="6">
        <f t="shared" si="672"/>
        <v>1.6879061524179256E-3</v>
      </c>
      <c r="G2703" s="12">
        <f t="shared" si="680"/>
        <v>-0.10176667975692411</v>
      </c>
    </row>
    <row r="2704" spans="1:18" x14ac:dyDescent="0.3">
      <c r="A2704" s="11" t="s">
        <v>2541</v>
      </c>
      <c r="B2704" s="7">
        <v>48800</v>
      </c>
      <c r="C2704" s="7">
        <v>4.7789999999999999</v>
      </c>
      <c r="D2704" s="2">
        <f t="shared" si="681"/>
        <v>9.0000000000003411E-3</v>
      </c>
      <c r="E2704" s="8">
        <f t="shared" si="679"/>
        <v>4.8700787736045061</v>
      </c>
      <c r="F2704" s="6">
        <f t="shared" si="672"/>
        <v>1.6879061524179256E-3</v>
      </c>
      <c r="G2704" s="12">
        <f t="shared" si="680"/>
        <v>-9.1078773604506225E-2</v>
      </c>
    </row>
    <row r="2705" spans="1:7" x14ac:dyDescent="0.3">
      <c r="A2705" s="11" t="s">
        <v>2542</v>
      </c>
      <c r="B2705" s="7">
        <v>48820</v>
      </c>
      <c r="C2705" s="7">
        <v>4.7709999999999999</v>
      </c>
      <c r="D2705" s="2">
        <f t="shared" si="681"/>
        <v>-8.0000000000000071E-3</v>
      </c>
      <c r="E2705" s="8">
        <f t="shared" si="679"/>
        <v>4.8683908674520886</v>
      </c>
      <c r="F2705" s="6">
        <f t="shared" si="672"/>
        <v>1.6879061524179256E-3</v>
      </c>
      <c r="G2705" s="12">
        <f t="shared" si="680"/>
        <v>-9.7390867452088692E-2</v>
      </c>
    </row>
    <row r="2706" spans="1:7" x14ac:dyDescent="0.3">
      <c r="A2706" s="11" t="s">
        <v>2543</v>
      </c>
      <c r="B2706" s="7">
        <v>48840</v>
      </c>
      <c r="C2706" s="7">
        <v>4.7709999999999999</v>
      </c>
      <c r="D2706" s="2">
        <f t="shared" si="681"/>
        <v>0</v>
      </c>
      <c r="E2706" s="8">
        <f t="shared" si="679"/>
        <v>4.8667029612996711</v>
      </c>
      <c r="F2706" s="6">
        <f t="shared" si="672"/>
        <v>1.6879061524179256E-3</v>
      </c>
      <c r="G2706" s="12">
        <f t="shared" si="680"/>
        <v>-9.5702961299671152E-2</v>
      </c>
    </row>
    <row r="2707" spans="1:7" x14ac:dyDescent="0.3">
      <c r="A2707" s="11" t="s">
        <v>2544</v>
      </c>
      <c r="B2707" s="7">
        <v>48860</v>
      </c>
      <c r="C2707" s="7">
        <v>4.7720000000000002</v>
      </c>
      <c r="D2707" s="2">
        <f t="shared" si="681"/>
        <v>1.000000000000334E-3</v>
      </c>
      <c r="E2707" s="8">
        <f t="shared" si="679"/>
        <v>4.8650150551472535</v>
      </c>
      <c r="F2707" s="6">
        <f t="shared" si="672"/>
        <v>1.6879061524179256E-3</v>
      </c>
      <c r="G2707" s="12">
        <f t="shared" si="680"/>
        <v>-9.3015055147253278E-2</v>
      </c>
    </row>
    <row r="2708" spans="1:7" x14ac:dyDescent="0.3">
      <c r="A2708" s="11" t="s">
        <v>2545</v>
      </c>
      <c r="B2708" s="7">
        <v>48880</v>
      </c>
      <c r="C2708" s="7">
        <v>4.7859999999999996</v>
      </c>
      <c r="D2708" s="2">
        <f t="shared" si="681"/>
        <v>1.3999999999999346E-2</v>
      </c>
      <c r="E2708" s="8">
        <f t="shared" si="679"/>
        <v>4.863327148994836</v>
      </c>
      <c r="F2708" s="6">
        <f t="shared" si="672"/>
        <v>1.6879061524179256E-3</v>
      </c>
      <c r="G2708" s="12">
        <f t="shared" si="680"/>
        <v>-7.7327148994836392E-2</v>
      </c>
    </row>
    <row r="2709" spans="1:7" x14ac:dyDescent="0.3">
      <c r="A2709" s="11" t="s">
        <v>2546</v>
      </c>
      <c r="B2709" s="7">
        <v>48900</v>
      </c>
      <c r="C2709" s="7">
        <v>4.7779999999999996</v>
      </c>
      <c r="D2709" s="2">
        <f t="shared" si="681"/>
        <v>-8.0000000000000071E-3</v>
      </c>
      <c r="E2709" s="8">
        <f t="shared" si="679"/>
        <v>4.8616392428424184</v>
      </c>
      <c r="F2709" s="6">
        <f t="shared" si="672"/>
        <v>1.6879061524179256E-3</v>
      </c>
      <c r="G2709" s="12">
        <f t="shared" si="680"/>
        <v>-8.3639242842418859E-2</v>
      </c>
    </row>
    <row r="2710" spans="1:7" x14ac:dyDescent="0.3">
      <c r="A2710" s="11" t="s">
        <v>2547</v>
      </c>
      <c r="B2710" s="7">
        <v>48920</v>
      </c>
      <c r="C2710" s="7">
        <v>4.7549999999999999</v>
      </c>
      <c r="D2710" s="2">
        <f t="shared" si="681"/>
        <v>-2.2999999999999687E-2</v>
      </c>
      <c r="E2710" s="8">
        <f t="shared" si="679"/>
        <v>4.8599513366900009</v>
      </c>
      <c r="F2710" s="6">
        <f t="shared" si="672"/>
        <v>1.6879061524179256E-3</v>
      </c>
      <c r="G2710" s="12">
        <f t="shared" si="680"/>
        <v>-0.10495133669000101</v>
      </c>
    </row>
    <row r="2711" spans="1:7" x14ac:dyDescent="0.3">
      <c r="A2711" s="11" t="s">
        <v>2548</v>
      </c>
      <c r="B2711" s="7">
        <v>48940</v>
      </c>
      <c r="C2711" s="7">
        <v>4.7300000000000004</v>
      </c>
      <c r="D2711" s="2">
        <f t="shared" si="681"/>
        <v>-2.4999999999999467E-2</v>
      </c>
      <c r="E2711" s="8">
        <f t="shared" si="679"/>
        <v>4.8582634305375834</v>
      </c>
      <c r="F2711" s="6">
        <f t="shared" si="672"/>
        <v>1.6879061524179256E-3</v>
      </c>
      <c r="G2711" s="12">
        <f t="shared" si="680"/>
        <v>-0.12826343053758293</v>
      </c>
    </row>
    <row r="2712" spans="1:7" x14ac:dyDescent="0.3">
      <c r="A2712" s="11" t="s">
        <v>2549</v>
      </c>
      <c r="B2712" s="7">
        <v>48960</v>
      </c>
      <c r="C2712" s="7">
        <v>4.7329999999999997</v>
      </c>
      <c r="D2712" s="2">
        <f t="shared" si="681"/>
        <v>2.9999999999992255E-3</v>
      </c>
      <c r="E2712" s="8">
        <f t="shared" si="679"/>
        <v>4.8565755243851658</v>
      </c>
      <c r="F2712" s="6">
        <f t="shared" si="672"/>
        <v>1.6879061524179256E-3</v>
      </c>
      <c r="G2712" s="12">
        <f t="shared" si="680"/>
        <v>-0.12357552438516617</v>
      </c>
    </row>
    <row r="2713" spans="1:7" x14ac:dyDescent="0.3">
      <c r="A2713" s="13" t="s">
        <v>2550</v>
      </c>
      <c r="B2713" s="24"/>
      <c r="C2713" s="25"/>
      <c r="D2713" s="25"/>
      <c r="E2713" s="25"/>
      <c r="F2713" s="25"/>
      <c r="G2713" s="26"/>
    </row>
    <row r="2714" spans="1:7" x14ac:dyDescent="0.3">
      <c r="A2714" s="11" t="s">
        <v>2551</v>
      </c>
      <c r="B2714" s="7">
        <v>48980</v>
      </c>
      <c r="C2714" s="7">
        <v>4.7539999999999996</v>
      </c>
      <c r="D2714" s="2">
        <f>C2714-C2712</f>
        <v>2.0999999999999908E-2</v>
      </c>
      <c r="E2714" s="8">
        <f>E2712-F2712</f>
        <v>4.8548876182327483</v>
      </c>
      <c r="F2714" s="6">
        <f>F2712</f>
        <v>1.6879061524179256E-3</v>
      </c>
      <c r="G2714" s="12">
        <f t="shared" si="680"/>
        <v>-0.10088761823274872</v>
      </c>
    </row>
    <row r="2715" spans="1:7" x14ac:dyDescent="0.3">
      <c r="A2715" s="11" t="s">
        <v>2552</v>
      </c>
      <c r="B2715" s="7">
        <v>49000</v>
      </c>
      <c r="C2715" s="7">
        <v>4.7640000000000002</v>
      </c>
      <c r="D2715" s="2">
        <f t="shared" si="681"/>
        <v>1.0000000000000675E-2</v>
      </c>
      <c r="E2715" s="8">
        <f t="shared" ref="E2715:E2764" si="684">E2714-F2714</f>
        <v>4.8531997120803307</v>
      </c>
      <c r="F2715" s="6">
        <f t="shared" si="672"/>
        <v>1.6879061524179256E-3</v>
      </c>
      <c r="G2715" s="12">
        <f t="shared" ref="G2715:G2766" si="685">C2715-E2715</f>
        <v>-8.9199712080330507E-2</v>
      </c>
    </row>
    <row r="2716" spans="1:7" x14ac:dyDescent="0.3">
      <c r="A2716" s="11" t="s">
        <v>2553</v>
      </c>
      <c r="B2716" s="7">
        <v>49020</v>
      </c>
      <c r="C2716" s="7">
        <v>4.78</v>
      </c>
      <c r="D2716" s="2">
        <f t="shared" si="681"/>
        <v>1.6000000000000014E-2</v>
      </c>
      <c r="E2716" s="8">
        <f t="shared" si="684"/>
        <v>4.8515118059279132</v>
      </c>
      <c r="F2716" s="6">
        <f t="shared" si="672"/>
        <v>1.6879061524179256E-3</v>
      </c>
      <c r="G2716" s="12">
        <f t="shared" si="685"/>
        <v>-7.1511805927912953E-2</v>
      </c>
    </row>
    <row r="2717" spans="1:7" x14ac:dyDescent="0.3">
      <c r="A2717" s="11" t="s">
        <v>2554</v>
      </c>
      <c r="B2717" s="7">
        <v>49040</v>
      </c>
      <c r="C2717" s="7">
        <v>4.7699999999999996</v>
      </c>
      <c r="D2717" s="2">
        <f t="shared" si="681"/>
        <v>-1.0000000000000675E-2</v>
      </c>
      <c r="E2717" s="8">
        <f t="shared" si="684"/>
        <v>4.8498238997754957</v>
      </c>
      <c r="F2717" s="6">
        <f t="shared" si="672"/>
        <v>1.6879061524179256E-3</v>
      </c>
      <c r="G2717" s="12">
        <f t="shared" si="685"/>
        <v>-7.9823899775496088E-2</v>
      </c>
    </row>
    <row r="2718" spans="1:7" x14ac:dyDescent="0.3">
      <c r="A2718" s="11" t="s">
        <v>2555</v>
      </c>
      <c r="B2718" s="7">
        <v>49060</v>
      </c>
      <c r="C2718" s="7">
        <v>4.7839999999999998</v>
      </c>
      <c r="D2718" s="2">
        <f t="shared" si="681"/>
        <v>1.4000000000000234E-2</v>
      </c>
      <c r="E2718" s="8">
        <f t="shared" si="684"/>
        <v>4.8481359936230781</v>
      </c>
      <c r="F2718" s="6">
        <f t="shared" ref="F2718:F2770" si="686">F2717</f>
        <v>1.6879061524179256E-3</v>
      </c>
      <c r="G2718" s="12">
        <f t="shared" si="685"/>
        <v>-6.4135993623078313E-2</v>
      </c>
    </row>
    <row r="2719" spans="1:7" x14ac:dyDescent="0.3">
      <c r="A2719" s="11" t="s">
        <v>2556</v>
      </c>
      <c r="B2719" s="7">
        <v>49080</v>
      </c>
      <c r="C2719" s="7">
        <v>4.7770000000000001</v>
      </c>
      <c r="D2719" s="2">
        <f t="shared" si="681"/>
        <v>-6.9999999999996732E-3</v>
      </c>
      <c r="E2719" s="8">
        <f t="shared" si="684"/>
        <v>4.8464480874706606</v>
      </c>
      <c r="F2719" s="6">
        <f t="shared" si="686"/>
        <v>1.6879061524179256E-3</v>
      </c>
      <c r="G2719" s="12">
        <f t="shared" si="685"/>
        <v>-6.9448087470660447E-2</v>
      </c>
    </row>
    <row r="2720" spans="1:7" x14ac:dyDescent="0.3">
      <c r="A2720" s="11" t="s">
        <v>2557</v>
      </c>
      <c r="B2720" s="7">
        <v>49100</v>
      </c>
      <c r="C2720" s="7">
        <v>4.7850000000000001</v>
      </c>
      <c r="D2720" s="2">
        <f t="shared" si="681"/>
        <v>8.0000000000000071E-3</v>
      </c>
      <c r="E2720" s="8">
        <f t="shared" si="684"/>
        <v>4.844760181318243</v>
      </c>
      <c r="F2720" s="6">
        <f t="shared" si="686"/>
        <v>1.6879061524179256E-3</v>
      </c>
      <c r="G2720" s="12">
        <f t="shared" si="685"/>
        <v>-5.97601813182429E-2</v>
      </c>
    </row>
    <row r="2721" spans="1:7" x14ac:dyDescent="0.3">
      <c r="A2721" s="11" t="s">
        <v>2558</v>
      </c>
      <c r="B2721" s="7">
        <v>49120</v>
      </c>
      <c r="C2721" s="7">
        <v>4.7910000000000004</v>
      </c>
      <c r="D2721" s="2">
        <f t="shared" si="681"/>
        <v>6.0000000000002274E-3</v>
      </c>
      <c r="E2721" s="8">
        <f t="shared" si="684"/>
        <v>4.8430722751658255</v>
      </c>
      <c r="F2721" s="6">
        <f t="shared" si="686"/>
        <v>1.6879061524179256E-3</v>
      </c>
      <c r="G2721" s="12">
        <f t="shared" si="685"/>
        <v>-5.2072275165825133E-2</v>
      </c>
    </row>
    <row r="2722" spans="1:7" x14ac:dyDescent="0.3">
      <c r="A2722" s="11" t="s">
        <v>2559</v>
      </c>
      <c r="B2722" s="7">
        <v>49140</v>
      </c>
      <c r="C2722" s="7">
        <v>4.7809999999999997</v>
      </c>
      <c r="D2722" s="2">
        <f t="shared" si="681"/>
        <v>-1.0000000000000675E-2</v>
      </c>
      <c r="E2722" s="8">
        <f t="shared" si="684"/>
        <v>4.841384369013408</v>
      </c>
      <c r="F2722" s="6">
        <f t="shared" si="686"/>
        <v>1.6879061524179256E-3</v>
      </c>
      <c r="G2722" s="12">
        <f t="shared" si="685"/>
        <v>-6.0384369013408268E-2</v>
      </c>
    </row>
    <row r="2723" spans="1:7" x14ac:dyDescent="0.3">
      <c r="A2723" s="11" t="s">
        <v>2560</v>
      </c>
      <c r="B2723" s="7">
        <v>49160</v>
      </c>
      <c r="C2723" s="7">
        <v>4.76</v>
      </c>
      <c r="D2723" s="2">
        <f t="shared" si="681"/>
        <v>-2.0999999999999908E-2</v>
      </c>
      <c r="E2723" s="8">
        <f t="shared" si="684"/>
        <v>4.8396964628609904</v>
      </c>
      <c r="F2723" s="6">
        <f t="shared" si="686"/>
        <v>1.6879061524179256E-3</v>
      </c>
      <c r="G2723" s="12">
        <f t="shared" si="685"/>
        <v>-7.9696462860990636E-2</v>
      </c>
    </row>
    <row r="2724" spans="1:7" x14ac:dyDescent="0.3">
      <c r="A2724" s="11" t="s">
        <v>2561</v>
      </c>
      <c r="B2724" s="7">
        <v>49180</v>
      </c>
      <c r="C2724" s="7">
        <v>4.7670000000000003</v>
      </c>
      <c r="D2724" s="2">
        <f t="shared" si="681"/>
        <v>7.0000000000005613E-3</v>
      </c>
      <c r="E2724" s="8">
        <f t="shared" si="684"/>
        <v>4.8380085567085729</v>
      </c>
      <c r="F2724" s="6">
        <f t="shared" si="686"/>
        <v>1.6879061524179256E-3</v>
      </c>
      <c r="G2724" s="12">
        <f t="shared" si="685"/>
        <v>-7.1008556708572534E-2</v>
      </c>
    </row>
    <row r="2725" spans="1:7" x14ac:dyDescent="0.3">
      <c r="A2725" s="11" t="s">
        <v>2562</v>
      </c>
      <c r="B2725" s="7">
        <v>49200</v>
      </c>
      <c r="C2725" s="7">
        <v>4.7450000000000001</v>
      </c>
      <c r="D2725" s="2">
        <f t="shared" si="681"/>
        <v>-2.2000000000000242E-2</v>
      </c>
      <c r="E2725" s="8">
        <f t="shared" si="684"/>
        <v>4.8363206505561553</v>
      </c>
      <c r="F2725" s="6">
        <f t="shared" si="686"/>
        <v>1.6879061524179256E-3</v>
      </c>
      <c r="G2725" s="12">
        <f t="shared" si="685"/>
        <v>-9.1320650556155236E-2</v>
      </c>
    </row>
    <row r="2726" spans="1:7" x14ac:dyDescent="0.3">
      <c r="A2726" s="11" t="s">
        <v>2563</v>
      </c>
      <c r="B2726" s="7">
        <v>49220</v>
      </c>
      <c r="C2726" s="7">
        <v>4.7169999999999996</v>
      </c>
      <c r="D2726" s="2">
        <f t="shared" si="681"/>
        <v>-2.8000000000000469E-2</v>
      </c>
      <c r="E2726" s="8">
        <f t="shared" si="684"/>
        <v>4.8346327444037378</v>
      </c>
      <c r="F2726" s="6">
        <f t="shared" si="686"/>
        <v>1.6879061524179256E-3</v>
      </c>
      <c r="G2726" s="12">
        <f t="shared" si="685"/>
        <v>-0.11763274440373817</v>
      </c>
    </row>
    <row r="2727" spans="1:7" x14ac:dyDescent="0.3">
      <c r="A2727" s="11" t="s">
        <v>2564</v>
      </c>
      <c r="B2727" s="7">
        <v>49240</v>
      </c>
      <c r="C2727" s="7">
        <v>4.7140000000000004</v>
      </c>
      <c r="D2727" s="2">
        <f t="shared" si="681"/>
        <v>-2.9999999999992255E-3</v>
      </c>
      <c r="E2727" s="8">
        <f t="shared" si="684"/>
        <v>4.8329448382513203</v>
      </c>
      <c r="F2727" s="6">
        <f t="shared" si="686"/>
        <v>1.6879061524179256E-3</v>
      </c>
      <c r="G2727" s="12">
        <f t="shared" si="685"/>
        <v>-0.11894483825131985</v>
      </c>
    </row>
    <row r="2728" spans="1:7" x14ac:dyDescent="0.3">
      <c r="A2728" s="11" t="s">
        <v>2565</v>
      </c>
      <c r="B2728" s="7">
        <v>49260</v>
      </c>
      <c r="C2728" s="7">
        <v>4.7069999999999999</v>
      </c>
      <c r="D2728" s="2">
        <f t="shared" si="681"/>
        <v>-7.0000000000005613E-3</v>
      </c>
      <c r="E2728" s="8">
        <f t="shared" si="684"/>
        <v>4.8312569320989027</v>
      </c>
      <c r="F2728" s="6">
        <f t="shared" si="686"/>
        <v>1.6879061524179256E-3</v>
      </c>
      <c r="G2728" s="12">
        <f t="shared" si="685"/>
        <v>-0.12425693209890287</v>
      </c>
    </row>
    <row r="2729" spans="1:7" x14ac:dyDescent="0.3">
      <c r="A2729" s="11" t="s">
        <v>2566</v>
      </c>
      <c r="B2729" s="7">
        <v>49280</v>
      </c>
      <c r="C2729" s="7">
        <v>4.7169999999999996</v>
      </c>
      <c r="D2729" s="2">
        <f t="shared" si="681"/>
        <v>9.9999999999997868E-3</v>
      </c>
      <c r="E2729" s="8">
        <f t="shared" si="684"/>
        <v>4.8295690259464852</v>
      </c>
      <c r="F2729" s="6">
        <f t="shared" si="686"/>
        <v>1.6879061524179256E-3</v>
      </c>
      <c r="G2729" s="12">
        <f t="shared" si="685"/>
        <v>-0.11256902594648555</v>
      </c>
    </row>
    <row r="2730" spans="1:7" x14ac:dyDescent="0.3">
      <c r="A2730" s="11" t="s">
        <v>2567</v>
      </c>
      <c r="B2730" s="7">
        <v>49300</v>
      </c>
      <c r="C2730" s="7">
        <v>4.7590000000000003</v>
      </c>
      <c r="D2730" s="2">
        <f t="shared" si="681"/>
        <v>4.2000000000000703E-2</v>
      </c>
      <c r="E2730" s="8">
        <f t="shared" si="684"/>
        <v>4.8278811197940676</v>
      </c>
      <c r="F2730" s="6">
        <f t="shared" si="686"/>
        <v>1.6879061524179256E-3</v>
      </c>
      <c r="G2730" s="12">
        <f t="shared" si="685"/>
        <v>-6.8881119794067303E-2</v>
      </c>
    </row>
    <row r="2731" spans="1:7" x14ac:dyDescent="0.3">
      <c r="A2731" s="11" t="s">
        <v>2568</v>
      </c>
      <c r="B2731" s="7">
        <v>49320</v>
      </c>
      <c r="C2731" s="7">
        <v>4.7949999999999999</v>
      </c>
      <c r="D2731" s="2">
        <f>C2731-C2730</f>
        <v>3.5999999999999588E-2</v>
      </c>
      <c r="E2731" s="8">
        <f>E2730-F2730</f>
        <v>4.8261932136416501</v>
      </c>
      <c r="F2731" s="6">
        <f>F2730</f>
        <v>1.6879061524179256E-3</v>
      </c>
      <c r="G2731" s="12">
        <f t="shared" si="685"/>
        <v>-3.1193213641650175E-2</v>
      </c>
    </row>
    <row r="2732" spans="1:7" x14ac:dyDescent="0.3">
      <c r="A2732" s="11" t="s">
        <v>2569</v>
      </c>
      <c r="B2732" s="7">
        <v>49340</v>
      </c>
      <c r="C2732" s="7">
        <v>4.8410000000000002</v>
      </c>
      <c r="D2732" s="2">
        <f t="shared" si="681"/>
        <v>4.6000000000000263E-2</v>
      </c>
      <c r="E2732" s="8">
        <f t="shared" si="684"/>
        <v>4.8245053074892326</v>
      </c>
      <c r="F2732" s="6">
        <f t="shared" si="686"/>
        <v>1.6879061524179256E-3</v>
      </c>
      <c r="G2732" s="12">
        <f t="shared" si="685"/>
        <v>1.6494692510767628E-2</v>
      </c>
    </row>
    <row r="2733" spans="1:7" x14ac:dyDescent="0.3">
      <c r="A2733" s="11" t="s">
        <v>2570</v>
      </c>
      <c r="B2733" s="7">
        <v>49360</v>
      </c>
      <c r="C2733" s="7">
        <v>4.91</v>
      </c>
      <c r="D2733" s="2">
        <f t="shared" si="681"/>
        <v>6.899999999999995E-2</v>
      </c>
      <c r="E2733" s="8">
        <f t="shared" si="684"/>
        <v>4.822817401336815</v>
      </c>
      <c r="F2733" s="6">
        <f t="shared" si="686"/>
        <v>1.6879061524179256E-3</v>
      </c>
      <c r="G2733" s="12">
        <f t="shared" si="685"/>
        <v>8.7182598663185118E-2</v>
      </c>
    </row>
    <row r="2734" spans="1:7" x14ac:dyDescent="0.3">
      <c r="A2734" s="11" t="s">
        <v>2571</v>
      </c>
      <c r="B2734" s="7">
        <v>49380</v>
      </c>
      <c r="C2734" s="7">
        <v>4.9050000000000002</v>
      </c>
      <c r="D2734" s="2">
        <f t="shared" si="681"/>
        <v>-4.9999999999998934E-3</v>
      </c>
      <c r="E2734" s="8">
        <f t="shared" si="684"/>
        <v>4.8211294951843975</v>
      </c>
      <c r="F2734" s="6">
        <f t="shared" si="686"/>
        <v>1.6879061524179256E-3</v>
      </c>
      <c r="G2734" s="12">
        <f t="shared" si="685"/>
        <v>8.3870504815602764E-2</v>
      </c>
    </row>
    <row r="2735" spans="1:7" x14ac:dyDescent="0.3">
      <c r="A2735" s="11" t="s">
        <v>2572</v>
      </c>
      <c r="B2735" s="7">
        <v>49400</v>
      </c>
      <c r="C2735" s="7">
        <v>4.9039999999999999</v>
      </c>
      <c r="D2735" s="2">
        <f t="shared" si="681"/>
        <v>-1.000000000000334E-3</v>
      </c>
      <c r="E2735" s="8">
        <f t="shared" si="684"/>
        <v>4.8194415890319799</v>
      </c>
      <c r="F2735" s="6">
        <f t="shared" si="686"/>
        <v>1.6879061524179256E-3</v>
      </c>
      <c r="G2735" s="12">
        <f t="shared" si="685"/>
        <v>8.455841096801997E-2</v>
      </c>
    </row>
    <row r="2736" spans="1:7" x14ac:dyDescent="0.3">
      <c r="A2736" s="11" t="s">
        <v>2573</v>
      </c>
      <c r="B2736" s="7">
        <v>49420</v>
      </c>
      <c r="C2736" s="7">
        <v>4.8840000000000003</v>
      </c>
      <c r="D2736" s="2">
        <f t="shared" si="681"/>
        <v>-1.9999999999999574E-2</v>
      </c>
      <c r="E2736" s="8">
        <f t="shared" si="684"/>
        <v>4.8177536828795624</v>
      </c>
      <c r="F2736" s="6">
        <f t="shared" si="686"/>
        <v>1.6879061524179256E-3</v>
      </c>
      <c r="G2736" s="12">
        <f t="shared" si="685"/>
        <v>6.6246317120437936E-2</v>
      </c>
    </row>
    <row r="2737" spans="1:18" x14ac:dyDescent="0.3">
      <c r="A2737" s="11" t="s">
        <v>2574</v>
      </c>
      <c r="B2737" s="7">
        <v>49440</v>
      </c>
      <c r="C2737" s="7">
        <v>4.915</v>
      </c>
      <c r="D2737" s="2">
        <f t="shared" si="681"/>
        <v>3.0999999999999694E-2</v>
      </c>
      <c r="E2737" s="8">
        <f t="shared" si="684"/>
        <v>4.8160657767271449</v>
      </c>
      <c r="F2737" s="6">
        <f t="shared" si="686"/>
        <v>1.6879061524179256E-3</v>
      </c>
      <c r="G2737" s="12">
        <f t="shared" si="685"/>
        <v>9.8934223272855171E-2</v>
      </c>
    </row>
    <row r="2738" spans="1:18" x14ac:dyDescent="0.3">
      <c r="A2738" s="11" t="s">
        <v>2575</v>
      </c>
      <c r="B2738" s="7">
        <v>49460</v>
      </c>
      <c r="C2738" s="7">
        <v>4.8689999999999998</v>
      </c>
      <c r="D2738" s="2">
        <f t="shared" si="681"/>
        <v>-4.6000000000000263E-2</v>
      </c>
      <c r="E2738" s="8">
        <f t="shared" si="684"/>
        <v>4.8143778705747273</v>
      </c>
      <c r="F2738" s="6">
        <f t="shared" si="686"/>
        <v>1.6879061524179256E-3</v>
      </c>
      <c r="G2738" s="12">
        <f t="shared" si="685"/>
        <v>5.4622129425272448E-2</v>
      </c>
    </row>
    <row r="2739" spans="1:18" x14ac:dyDescent="0.3">
      <c r="A2739" s="11" t="s">
        <v>2576</v>
      </c>
      <c r="B2739" s="7">
        <v>49480</v>
      </c>
      <c r="C2739" s="7">
        <v>4.8280000000000003</v>
      </c>
      <c r="D2739" s="2">
        <f t="shared" si="681"/>
        <v>-4.0999999999999481E-2</v>
      </c>
      <c r="E2739" s="8">
        <f t="shared" si="684"/>
        <v>4.8126899644223098</v>
      </c>
      <c r="F2739" s="6">
        <f t="shared" si="686"/>
        <v>1.6879061524179256E-3</v>
      </c>
      <c r="G2739" s="12">
        <f t="shared" si="685"/>
        <v>1.5310035577690506E-2</v>
      </c>
    </row>
    <row r="2740" spans="1:18" x14ac:dyDescent="0.3">
      <c r="A2740" s="11" t="s">
        <v>2577</v>
      </c>
      <c r="B2740" s="7">
        <v>49500</v>
      </c>
      <c r="C2740" s="7">
        <v>4.8109999999999999</v>
      </c>
      <c r="D2740" s="2">
        <f t="shared" si="681"/>
        <v>-1.7000000000000348E-2</v>
      </c>
      <c r="E2740" s="8">
        <f t="shared" si="684"/>
        <v>4.8110020582698922</v>
      </c>
      <c r="F2740" s="6">
        <f t="shared" si="686"/>
        <v>1.6879061524179256E-3</v>
      </c>
      <c r="G2740" s="12">
        <f t="shared" si="685"/>
        <v>-2.0582698923021781E-6</v>
      </c>
    </row>
    <row r="2741" spans="1:18" x14ac:dyDescent="0.3">
      <c r="A2741" s="21"/>
      <c r="B2741" s="22"/>
      <c r="C2741" s="22"/>
      <c r="D2741" s="22"/>
      <c r="E2741" s="22"/>
      <c r="F2741" s="22"/>
      <c r="G2741" s="23"/>
      <c r="H2741" s="4" t="s">
        <v>3504</v>
      </c>
      <c r="J2741" s="4"/>
      <c r="O2741" s="3">
        <f>1/O2742</f>
        <v>2.0283975659229209E-3</v>
      </c>
      <c r="P2741" s="3">
        <f>O2741*20</f>
        <v>4.0567951318458417E-2</v>
      </c>
      <c r="Q2741" s="3" t="s">
        <v>3200</v>
      </c>
      <c r="R2741" s="3">
        <v>493</v>
      </c>
    </row>
    <row r="2742" spans="1:18" x14ac:dyDescent="0.3">
      <c r="A2742" s="11" t="s">
        <v>2578</v>
      </c>
      <c r="B2742" s="7">
        <v>49520</v>
      </c>
      <c r="C2742" s="7">
        <v>4.7489999999999997</v>
      </c>
      <c r="D2742" s="2">
        <f>C2742-C2740</f>
        <v>-6.2000000000000277E-2</v>
      </c>
      <c r="E2742" s="8">
        <f>E2740-F2742</f>
        <v>4.7704341069514342</v>
      </c>
      <c r="F2742" s="6">
        <f>P2741</f>
        <v>4.0567951318458417E-2</v>
      </c>
      <c r="G2742" s="12">
        <f>C2742-E2742</f>
        <v>-2.1434106951434551E-2</v>
      </c>
      <c r="H2742" s="3">
        <f>B2740</f>
        <v>49500</v>
      </c>
      <c r="I2742" s="3">
        <f>B2770</f>
        <v>50060</v>
      </c>
      <c r="J2742" s="3">
        <f>I2742-H2742</f>
        <v>560</v>
      </c>
      <c r="K2742" s="5">
        <f>E2740</f>
        <v>4.8110020582698922</v>
      </c>
      <c r="L2742" s="3">
        <f>C2770</f>
        <v>3.6739999999999999</v>
      </c>
      <c r="M2742" s="5">
        <f>L2742-K2742</f>
        <v>-1.1370020582698923</v>
      </c>
      <c r="N2742" s="3">
        <f>J2742/M2742</f>
        <v>-492.52329485851448</v>
      </c>
      <c r="O2742" s="3">
        <v>493</v>
      </c>
    </row>
    <row r="2743" spans="1:18" x14ac:dyDescent="0.3">
      <c r="A2743" s="11" t="s">
        <v>2579</v>
      </c>
      <c r="B2743" s="7">
        <v>49540</v>
      </c>
      <c r="C2743" s="7">
        <v>4.6740000000000004</v>
      </c>
      <c r="D2743" s="2">
        <f t="shared" si="681"/>
        <v>-7.4999999999999289E-2</v>
      </c>
      <c r="E2743" s="8">
        <f>E2742-F2742</f>
        <v>4.7298661556329762</v>
      </c>
      <c r="F2743" s="6">
        <f t="shared" ref="F2743" si="687">F2742</f>
        <v>4.0567951318458417E-2</v>
      </c>
      <c r="G2743" s="12">
        <f t="shared" ref="G2743" si="688">C2743-E2743</f>
        <v>-5.5866155632975811E-2</v>
      </c>
    </row>
    <row r="2744" spans="1:18" x14ac:dyDescent="0.3">
      <c r="A2744" s="11" t="s">
        <v>2580</v>
      </c>
      <c r="B2744" s="7">
        <v>49560</v>
      </c>
      <c r="C2744" s="7">
        <v>4.66</v>
      </c>
      <c r="D2744" s="2">
        <f t="shared" si="681"/>
        <v>-1.4000000000000234E-2</v>
      </c>
      <c r="E2744" s="8">
        <f t="shared" si="684"/>
        <v>4.6892982043145182</v>
      </c>
      <c r="F2744" s="6">
        <f t="shared" si="686"/>
        <v>4.0567951318458417E-2</v>
      </c>
      <c r="G2744" s="12">
        <f t="shared" si="685"/>
        <v>-2.9298204314518017E-2</v>
      </c>
    </row>
    <row r="2745" spans="1:18" x14ac:dyDescent="0.3">
      <c r="A2745" s="11" t="s">
        <v>2581</v>
      </c>
      <c r="B2745" s="7">
        <v>49580</v>
      </c>
      <c r="C2745" s="7">
        <v>4.681</v>
      </c>
      <c r="D2745" s="2">
        <f t="shared" si="681"/>
        <v>2.0999999999999908E-2</v>
      </c>
      <c r="E2745" s="8">
        <f t="shared" si="684"/>
        <v>4.6487302529960601</v>
      </c>
      <c r="F2745" s="6">
        <f t="shared" si="686"/>
        <v>4.0567951318458417E-2</v>
      </c>
      <c r="G2745" s="12">
        <f t="shared" si="685"/>
        <v>3.2269747003939919E-2</v>
      </c>
    </row>
    <row r="2746" spans="1:18" x14ac:dyDescent="0.3">
      <c r="A2746" s="11" t="s">
        <v>2582</v>
      </c>
      <c r="B2746" s="7">
        <v>49600</v>
      </c>
      <c r="C2746" s="7">
        <v>4.6740000000000004</v>
      </c>
      <c r="D2746" s="2">
        <f t="shared" si="681"/>
        <v>-6.9999999999996732E-3</v>
      </c>
      <c r="E2746" s="8">
        <f t="shared" si="684"/>
        <v>4.6081623016776021</v>
      </c>
      <c r="F2746" s="6">
        <f t="shared" si="686"/>
        <v>4.0567951318458417E-2</v>
      </c>
      <c r="G2746" s="12">
        <f t="shared" si="685"/>
        <v>6.5837698322398275E-2</v>
      </c>
    </row>
    <row r="2747" spans="1:18" x14ac:dyDescent="0.3">
      <c r="A2747" s="11" t="s">
        <v>2583</v>
      </c>
      <c r="B2747" s="7">
        <v>49620</v>
      </c>
      <c r="C2747" s="7">
        <v>4.5739999999999998</v>
      </c>
      <c r="D2747" s="2">
        <f t="shared" si="681"/>
        <v>-0.10000000000000053</v>
      </c>
      <c r="E2747" s="8">
        <f t="shared" si="684"/>
        <v>4.5675943503591441</v>
      </c>
      <c r="F2747" s="6">
        <f t="shared" si="686"/>
        <v>4.0567951318458417E-2</v>
      </c>
      <c r="G2747" s="12">
        <f t="shared" si="685"/>
        <v>6.4056496408557706E-3</v>
      </c>
    </row>
    <row r="2748" spans="1:18" x14ac:dyDescent="0.3">
      <c r="A2748" s="11" t="s">
        <v>2584</v>
      </c>
      <c r="B2748" s="7">
        <v>49640</v>
      </c>
      <c r="C2748" s="7">
        <v>4.5030000000000001</v>
      </c>
      <c r="D2748" s="2">
        <f t="shared" si="681"/>
        <v>-7.099999999999973E-2</v>
      </c>
      <c r="E2748" s="8">
        <f t="shared" si="684"/>
        <v>4.527026399040686</v>
      </c>
      <c r="F2748" s="6">
        <f t="shared" si="686"/>
        <v>4.0567951318458417E-2</v>
      </c>
      <c r="G2748" s="12">
        <f t="shared" si="685"/>
        <v>-2.4026399040685931E-2</v>
      </c>
    </row>
    <row r="2749" spans="1:18" x14ac:dyDescent="0.3">
      <c r="A2749" s="11" t="s">
        <v>2585</v>
      </c>
      <c r="B2749" s="7">
        <v>49660</v>
      </c>
      <c r="C2749" s="7">
        <v>4.4160000000000004</v>
      </c>
      <c r="D2749" s="2">
        <f t="shared" si="681"/>
        <v>-8.6999999999999744E-2</v>
      </c>
      <c r="E2749" s="8">
        <f t="shared" si="684"/>
        <v>4.486458447722228</v>
      </c>
      <c r="F2749" s="6">
        <f t="shared" si="686"/>
        <v>4.0567951318458417E-2</v>
      </c>
      <c r="G2749" s="12">
        <f t="shared" si="685"/>
        <v>-7.0458447722227646E-2</v>
      </c>
    </row>
    <row r="2750" spans="1:18" x14ac:dyDescent="0.3">
      <c r="A2750" s="11" t="s">
        <v>2586</v>
      </c>
      <c r="B2750" s="7">
        <v>49680</v>
      </c>
      <c r="C2750" s="7">
        <v>4.3410000000000002</v>
      </c>
      <c r="D2750" s="2">
        <f t="shared" si="681"/>
        <v>-7.5000000000000178E-2</v>
      </c>
      <c r="E2750" s="8">
        <f t="shared" si="684"/>
        <v>4.44589049640377</v>
      </c>
      <c r="F2750" s="6">
        <f t="shared" si="686"/>
        <v>4.0567951318458417E-2</v>
      </c>
      <c r="G2750" s="12">
        <f t="shared" si="685"/>
        <v>-0.1048904964037698</v>
      </c>
    </row>
    <row r="2751" spans="1:18" x14ac:dyDescent="0.3">
      <c r="A2751" s="11" t="s">
        <v>2587</v>
      </c>
      <c r="B2751" s="7">
        <v>49700</v>
      </c>
      <c r="C2751" s="7">
        <v>4.2809999999999997</v>
      </c>
      <c r="D2751" s="2">
        <f t="shared" si="681"/>
        <v>-6.0000000000000497E-2</v>
      </c>
      <c r="E2751" s="8">
        <f t="shared" si="684"/>
        <v>4.405322545085312</v>
      </c>
      <c r="F2751" s="6">
        <f t="shared" si="686"/>
        <v>4.0567951318458417E-2</v>
      </c>
      <c r="G2751" s="12">
        <f t="shared" si="685"/>
        <v>-0.12432254508531226</v>
      </c>
    </row>
    <row r="2752" spans="1:18" x14ac:dyDescent="0.3">
      <c r="A2752" s="11" t="s">
        <v>2588</v>
      </c>
      <c r="B2752" s="7">
        <v>49720</v>
      </c>
      <c r="C2752" s="7">
        <v>4.2380000000000004</v>
      </c>
      <c r="D2752" s="2">
        <f t="shared" si="681"/>
        <v>-4.2999999999999261E-2</v>
      </c>
      <c r="E2752" s="8">
        <f t="shared" si="684"/>
        <v>4.3647545937668539</v>
      </c>
      <c r="F2752" s="6">
        <f t="shared" si="686"/>
        <v>4.0567951318458417E-2</v>
      </c>
      <c r="G2752" s="12">
        <f t="shared" si="685"/>
        <v>-0.1267545937668535</v>
      </c>
    </row>
    <row r="2753" spans="1:7" x14ac:dyDescent="0.3">
      <c r="A2753" s="11" t="s">
        <v>2589</v>
      </c>
      <c r="B2753" s="7">
        <v>49740</v>
      </c>
      <c r="C2753" s="7">
        <v>4.1900000000000004</v>
      </c>
      <c r="D2753" s="2">
        <f t="shared" si="681"/>
        <v>-4.8000000000000043E-2</v>
      </c>
      <c r="E2753" s="8">
        <f t="shared" si="684"/>
        <v>4.3241866424483959</v>
      </c>
      <c r="F2753" s="6">
        <f t="shared" si="686"/>
        <v>4.0567951318458417E-2</v>
      </c>
      <c r="G2753" s="12">
        <f t="shared" si="685"/>
        <v>-0.13418664244839551</v>
      </c>
    </row>
    <row r="2754" spans="1:7" x14ac:dyDescent="0.3">
      <c r="A2754" s="11" t="s">
        <v>2590</v>
      </c>
      <c r="B2754" s="7">
        <v>49760</v>
      </c>
      <c r="C2754" s="7">
        <v>4.1429999999999998</v>
      </c>
      <c r="D2754" s="2">
        <f t="shared" si="681"/>
        <v>-4.7000000000000597E-2</v>
      </c>
      <c r="E2754" s="8">
        <f t="shared" si="684"/>
        <v>4.2836186911299379</v>
      </c>
      <c r="F2754" s="6">
        <f t="shared" si="686"/>
        <v>4.0567951318458417E-2</v>
      </c>
      <c r="G2754" s="12">
        <f t="shared" si="685"/>
        <v>-0.14061869112993808</v>
      </c>
    </row>
    <row r="2755" spans="1:7" x14ac:dyDescent="0.3">
      <c r="A2755" s="11" t="s">
        <v>2591</v>
      </c>
      <c r="B2755" s="7">
        <v>49780</v>
      </c>
      <c r="C2755" s="7">
        <v>4.117</v>
      </c>
      <c r="D2755" s="2">
        <f t="shared" si="681"/>
        <v>-2.5999999999999801E-2</v>
      </c>
      <c r="E2755" s="8">
        <f t="shared" si="684"/>
        <v>4.2430507398114798</v>
      </c>
      <c r="F2755" s="6">
        <f t="shared" si="686"/>
        <v>4.0567951318458417E-2</v>
      </c>
      <c r="G2755" s="12">
        <f t="shared" si="685"/>
        <v>-0.12605073981147985</v>
      </c>
    </row>
    <row r="2756" spans="1:7" x14ac:dyDescent="0.3">
      <c r="A2756" s="11" t="s">
        <v>2592</v>
      </c>
      <c r="B2756" s="7">
        <v>49800</v>
      </c>
      <c r="C2756" s="7">
        <v>4.093</v>
      </c>
      <c r="D2756" s="2">
        <f t="shared" si="681"/>
        <v>-2.4000000000000021E-2</v>
      </c>
      <c r="E2756" s="8">
        <f t="shared" si="684"/>
        <v>4.2024827884930218</v>
      </c>
      <c r="F2756" s="6">
        <f t="shared" si="686"/>
        <v>4.0567951318458417E-2</v>
      </c>
      <c r="G2756" s="12">
        <f t="shared" si="685"/>
        <v>-0.10948278849302184</v>
      </c>
    </row>
    <row r="2757" spans="1:7" x14ac:dyDescent="0.3">
      <c r="A2757" s="11" t="s">
        <v>2593</v>
      </c>
      <c r="B2757" s="7">
        <v>49820</v>
      </c>
      <c r="C2757" s="7">
        <v>4.0890000000000004</v>
      </c>
      <c r="D2757" s="2">
        <f t="shared" si="681"/>
        <v>-3.9999999999995595E-3</v>
      </c>
      <c r="E2757" s="8">
        <f t="shared" si="684"/>
        <v>4.1619148371745638</v>
      </c>
      <c r="F2757" s="6">
        <f t="shared" si="686"/>
        <v>4.0567951318458417E-2</v>
      </c>
      <c r="G2757" s="12">
        <f t="shared" si="685"/>
        <v>-7.2914837174563374E-2</v>
      </c>
    </row>
    <row r="2758" spans="1:7" x14ac:dyDescent="0.3">
      <c r="A2758" s="11" t="s">
        <v>2594</v>
      </c>
      <c r="B2758" s="7">
        <v>49840</v>
      </c>
      <c r="C2758" s="7">
        <v>4.1050000000000004</v>
      </c>
      <c r="D2758" s="2">
        <f t="shared" si="681"/>
        <v>1.6000000000000014E-2</v>
      </c>
      <c r="E2758" s="8">
        <f t="shared" si="684"/>
        <v>4.1213468858561058</v>
      </c>
      <c r="F2758" s="6">
        <f t="shared" si="686"/>
        <v>4.0567951318458417E-2</v>
      </c>
      <c r="G2758" s="12">
        <f t="shared" si="685"/>
        <v>-1.6346885856105331E-2</v>
      </c>
    </row>
    <row r="2759" spans="1:7" x14ac:dyDescent="0.3">
      <c r="A2759" s="11" t="s">
        <v>2595</v>
      </c>
      <c r="B2759" s="7">
        <v>49860</v>
      </c>
      <c r="C2759" s="7">
        <v>4.1289999999999996</v>
      </c>
      <c r="D2759" s="2">
        <f t="shared" si="681"/>
        <v>2.3999999999999133E-2</v>
      </c>
      <c r="E2759" s="8">
        <f t="shared" si="684"/>
        <v>4.0807789345376477</v>
      </c>
      <c r="F2759" s="6">
        <f t="shared" si="686"/>
        <v>4.0567951318458417E-2</v>
      </c>
      <c r="G2759" s="12">
        <f t="shared" si="685"/>
        <v>4.8221065462351831E-2</v>
      </c>
    </row>
    <row r="2760" spans="1:7" x14ac:dyDescent="0.3">
      <c r="A2760" s="11" t="s">
        <v>2596</v>
      </c>
      <c r="B2760" s="7">
        <v>49880</v>
      </c>
      <c r="C2760" s="7">
        <v>4.1529999999999996</v>
      </c>
      <c r="D2760" s="2">
        <f t="shared" si="681"/>
        <v>2.4000000000000021E-2</v>
      </c>
      <c r="E2760" s="8">
        <f t="shared" si="684"/>
        <v>4.0402109832191897</v>
      </c>
      <c r="F2760" s="6">
        <f t="shared" si="686"/>
        <v>4.0567951318458417E-2</v>
      </c>
      <c r="G2760" s="12">
        <f t="shared" si="685"/>
        <v>0.11278901678080988</v>
      </c>
    </row>
    <row r="2761" spans="1:7" x14ac:dyDescent="0.3">
      <c r="A2761" s="11" t="s">
        <v>2597</v>
      </c>
      <c r="B2761" s="7">
        <v>49900</v>
      </c>
      <c r="C2761" s="7">
        <v>4.1269999999999998</v>
      </c>
      <c r="D2761" s="2">
        <f t="shared" si="681"/>
        <v>-2.5999999999999801E-2</v>
      </c>
      <c r="E2761" s="8">
        <f t="shared" si="684"/>
        <v>3.9996430319007312</v>
      </c>
      <c r="F2761" s="6">
        <f t="shared" si="686"/>
        <v>4.0567951318458417E-2</v>
      </c>
      <c r="G2761" s="12">
        <f t="shared" si="685"/>
        <v>0.12735696809926855</v>
      </c>
    </row>
    <row r="2762" spans="1:7" x14ac:dyDescent="0.3">
      <c r="A2762" s="11" t="s">
        <v>2598</v>
      </c>
      <c r="B2762" s="7">
        <v>49920</v>
      </c>
      <c r="C2762" s="7">
        <v>4.0650000000000004</v>
      </c>
      <c r="D2762" s="2">
        <f t="shared" si="681"/>
        <v>-6.1999999999999389E-2</v>
      </c>
      <c r="E2762" s="8">
        <f t="shared" si="684"/>
        <v>3.9590750805822728</v>
      </c>
      <c r="F2762" s="6">
        <f t="shared" si="686"/>
        <v>4.0567951318458417E-2</v>
      </c>
      <c r="G2762" s="12">
        <f t="shared" si="685"/>
        <v>0.10592491941772764</v>
      </c>
    </row>
    <row r="2763" spans="1:7" x14ac:dyDescent="0.3">
      <c r="A2763" s="11" t="s">
        <v>2599</v>
      </c>
      <c r="B2763" s="7">
        <v>49940</v>
      </c>
      <c r="C2763" s="7">
        <v>3.9729999999999999</v>
      </c>
      <c r="D2763" s="2">
        <f t="shared" si="681"/>
        <v>-9.2000000000000526E-2</v>
      </c>
      <c r="E2763" s="8">
        <f t="shared" si="684"/>
        <v>3.9185071292638143</v>
      </c>
      <c r="F2763" s="6">
        <f t="shared" si="686"/>
        <v>4.0567951318458417E-2</v>
      </c>
      <c r="G2763" s="12">
        <f t="shared" si="685"/>
        <v>5.4492870736185584E-2</v>
      </c>
    </row>
    <row r="2764" spans="1:7" x14ac:dyDescent="0.3">
      <c r="A2764" s="11" t="s">
        <v>2600</v>
      </c>
      <c r="B2764" s="7">
        <v>49960</v>
      </c>
      <c r="C2764" s="7">
        <v>3.8860000000000001</v>
      </c>
      <c r="D2764" s="2">
        <f t="shared" ref="D2764:D2831" si="689">C2764-C2763</f>
        <v>-8.6999999999999744E-2</v>
      </c>
      <c r="E2764" s="8">
        <f t="shared" si="684"/>
        <v>3.8779391779453558</v>
      </c>
      <c r="F2764" s="6">
        <f t="shared" si="686"/>
        <v>4.0567951318458417E-2</v>
      </c>
      <c r="G2764" s="12">
        <f t="shared" si="685"/>
        <v>8.0608220546443121E-3</v>
      </c>
    </row>
    <row r="2765" spans="1:7" x14ac:dyDescent="0.3">
      <c r="A2765" s="13" t="s">
        <v>2601</v>
      </c>
      <c r="B2765" s="24"/>
      <c r="C2765" s="25"/>
      <c r="D2765" s="25"/>
      <c r="E2765" s="25"/>
      <c r="F2765" s="25"/>
      <c r="G2765" s="26"/>
    </row>
    <row r="2766" spans="1:7" x14ac:dyDescent="0.3">
      <c r="A2766" s="11" t="s">
        <v>2602</v>
      </c>
      <c r="B2766" s="7">
        <v>49980</v>
      </c>
      <c r="C2766" s="7">
        <v>3.8380000000000001</v>
      </c>
      <c r="D2766" s="2">
        <f>C2766-C2764</f>
        <v>-4.8000000000000043E-2</v>
      </c>
      <c r="E2766" s="8">
        <f>E2764-F2764</f>
        <v>3.8373712266268973</v>
      </c>
      <c r="F2766" s="6">
        <f>F2764</f>
        <v>4.0567951318458417E-2</v>
      </c>
      <c r="G2766" s="12">
        <f t="shared" si="685"/>
        <v>6.2877337310274228E-4</v>
      </c>
    </row>
    <row r="2767" spans="1:7" x14ac:dyDescent="0.3">
      <c r="A2767" s="11" t="s">
        <v>2603</v>
      </c>
      <c r="B2767" s="7">
        <v>50000</v>
      </c>
      <c r="C2767" s="7">
        <v>3.8029999999999999</v>
      </c>
      <c r="D2767" s="2">
        <f t="shared" si="689"/>
        <v>-3.5000000000000142E-2</v>
      </c>
      <c r="E2767" s="8">
        <f t="shared" ref="E2767:E2770" si="690">E2766-F2766</f>
        <v>3.7968032753084389</v>
      </c>
      <c r="F2767" s="6">
        <f t="shared" si="686"/>
        <v>4.0567951318458417E-2</v>
      </c>
      <c r="G2767" s="12">
        <f t="shared" ref="G2767:G2793" si="691">C2767-E2767</f>
        <v>6.196724691561073E-3</v>
      </c>
    </row>
    <row r="2768" spans="1:7" x14ac:dyDescent="0.3">
      <c r="A2768" s="11" t="s">
        <v>2604</v>
      </c>
      <c r="B2768" s="7">
        <v>50020</v>
      </c>
      <c r="C2768" s="7">
        <v>3.7509999999999999</v>
      </c>
      <c r="D2768" s="2">
        <f t="shared" si="689"/>
        <v>-5.2000000000000046E-2</v>
      </c>
      <c r="E2768" s="8">
        <f t="shared" si="690"/>
        <v>3.7562353239899804</v>
      </c>
      <c r="F2768" s="6">
        <f t="shared" si="686"/>
        <v>4.0567951318458417E-2</v>
      </c>
      <c r="G2768" s="12">
        <f t="shared" si="691"/>
        <v>-5.2353239899805004E-3</v>
      </c>
    </row>
    <row r="2769" spans="1:18" x14ac:dyDescent="0.3">
      <c r="A2769" s="11" t="s">
        <v>2605</v>
      </c>
      <c r="B2769" s="7">
        <v>50040</v>
      </c>
      <c r="C2769" s="7">
        <v>3.6739999999999999</v>
      </c>
      <c r="D2769" s="2">
        <f t="shared" si="689"/>
        <v>-7.6999999999999957E-2</v>
      </c>
      <c r="E2769" s="8">
        <f t="shared" si="690"/>
        <v>3.7156673726715219</v>
      </c>
      <c r="F2769" s="6">
        <f t="shared" si="686"/>
        <v>4.0567951318458417E-2</v>
      </c>
      <c r="G2769" s="12">
        <f t="shared" si="691"/>
        <v>-4.1667372671521985E-2</v>
      </c>
    </row>
    <row r="2770" spans="1:18" x14ac:dyDescent="0.3">
      <c r="A2770" s="11" t="s">
        <v>2606</v>
      </c>
      <c r="B2770" s="7">
        <v>50060</v>
      </c>
      <c r="C2770" s="7">
        <v>3.6739999999999999</v>
      </c>
      <c r="D2770" s="2">
        <f t="shared" si="689"/>
        <v>0</v>
      </c>
      <c r="E2770" s="8">
        <f t="shared" si="690"/>
        <v>3.6750994213530634</v>
      </c>
      <c r="F2770" s="6">
        <f t="shared" si="686"/>
        <v>4.0567951318458417E-2</v>
      </c>
      <c r="G2770" s="12">
        <f t="shared" si="691"/>
        <v>-1.0994213530635122E-3</v>
      </c>
    </row>
    <row r="2771" spans="1:18" x14ac:dyDescent="0.3">
      <c r="A2771" s="21"/>
      <c r="B2771" s="22"/>
      <c r="C2771" s="22"/>
      <c r="D2771" s="22"/>
      <c r="E2771" s="22"/>
      <c r="F2771" s="22"/>
      <c r="G2771" s="23"/>
      <c r="H2771" s="4" t="s">
        <v>3163</v>
      </c>
      <c r="J2771" s="4"/>
      <c r="O2771" s="3">
        <f>1/100000000</f>
        <v>1E-8</v>
      </c>
      <c r="P2771" s="3">
        <f>O2771*20</f>
        <v>1.9999999999999999E-7</v>
      </c>
      <c r="Q2771" s="3" t="s">
        <v>3163</v>
      </c>
      <c r="R2771" s="3">
        <v>18613</v>
      </c>
    </row>
    <row r="2772" spans="1:18" x14ac:dyDescent="0.3">
      <c r="A2772" s="11" t="s">
        <v>2607</v>
      </c>
      <c r="B2772" s="7">
        <v>50080</v>
      </c>
      <c r="C2772" s="7">
        <v>3.6930000000000001</v>
      </c>
      <c r="D2772" s="2">
        <f>C2772-C2770</f>
        <v>1.9000000000000128E-2</v>
      </c>
      <c r="E2772" s="8">
        <f>E2770-F2772</f>
        <v>3.6750992213530633</v>
      </c>
      <c r="F2772" s="6">
        <f>P2771</f>
        <v>1.9999999999999999E-7</v>
      </c>
      <c r="G2772" s="12">
        <f>C2772-E2772</f>
        <v>1.7900778646936732E-2</v>
      </c>
      <c r="H2772" s="3">
        <f>B2770</f>
        <v>50060</v>
      </c>
      <c r="I2772" s="3">
        <f>B2827</f>
        <v>51160</v>
      </c>
      <c r="J2772" s="3">
        <f>I2772-H2772</f>
        <v>1100</v>
      </c>
      <c r="K2772" s="5">
        <f>E2770</f>
        <v>3.6750994213530634</v>
      </c>
      <c r="L2772" s="3">
        <f>C2827</f>
        <v>3.6160000000000001</v>
      </c>
      <c r="M2772" s="5">
        <f>L2772-K2772</f>
        <v>-5.9099421353063342E-2</v>
      </c>
      <c r="N2772" s="3">
        <f>J2772/M2772</f>
        <v>-18612.703387204703</v>
      </c>
      <c r="O2772" s="3">
        <v>18613</v>
      </c>
    </row>
    <row r="2773" spans="1:18" x14ac:dyDescent="0.3">
      <c r="A2773" s="11" t="s">
        <v>2608</v>
      </c>
      <c r="B2773" s="7">
        <v>50100</v>
      </c>
      <c r="C2773" s="7">
        <v>3.669</v>
      </c>
      <c r="D2773" s="2">
        <f t="shared" si="689"/>
        <v>-2.4000000000000021E-2</v>
      </c>
      <c r="E2773" s="8">
        <f>E2772-F2772</f>
        <v>3.6750990213530632</v>
      </c>
      <c r="F2773" s="6">
        <f t="shared" ref="F2773:F2816" si="692">F2772</f>
        <v>1.9999999999999999E-7</v>
      </c>
      <c r="G2773" s="12">
        <f t="shared" ref="G2773" si="693">C2773-E2773</f>
        <v>-6.0990213530631721E-3</v>
      </c>
    </row>
    <row r="2774" spans="1:18" x14ac:dyDescent="0.3">
      <c r="A2774" s="11" t="s">
        <v>2609</v>
      </c>
      <c r="B2774" s="7">
        <v>50120</v>
      </c>
      <c r="C2774" s="7">
        <v>3.6920000000000002</v>
      </c>
      <c r="D2774" s="2">
        <f t="shared" si="689"/>
        <v>2.3000000000000131E-2</v>
      </c>
      <c r="E2774" s="8">
        <f t="shared" ref="E2774:E2816" si="694">E2773-F2773</f>
        <v>3.6750988213530631</v>
      </c>
      <c r="F2774" s="6">
        <f t="shared" si="692"/>
        <v>1.9999999999999999E-7</v>
      </c>
      <c r="G2774" s="12">
        <f t="shared" si="691"/>
        <v>1.6901178646937076E-2</v>
      </c>
    </row>
    <row r="2775" spans="1:18" x14ac:dyDescent="0.3">
      <c r="A2775" s="11" t="s">
        <v>2610</v>
      </c>
      <c r="B2775" s="7">
        <v>50140</v>
      </c>
      <c r="C2775" s="7">
        <v>3.706</v>
      </c>
      <c r="D2775" s="2">
        <f t="shared" si="689"/>
        <v>1.399999999999979E-2</v>
      </c>
      <c r="E2775" s="8">
        <f t="shared" si="694"/>
        <v>3.675098621353063</v>
      </c>
      <c r="F2775" s="6">
        <f t="shared" si="692"/>
        <v>1.9999999999999999E-7</v>
      </c>
      <c r="G2775" s="12">
        <f t="shared" si="691"/>
        <v>3.0901378646936983E-2</v>
      </c>
    </row>
    <row r="2776" spans="1:18" x14ac:dyDescent="0.3">
      <c r="A2776" s="11" t="s">
        <v>2611</v>
      </c>
      <c r="B2776" s="7">
        <v>50160</v>
      </c>
      <c r="C2776" s="7">
        <v>3.702</v>
      </c>
      <c r="D2776" s="2">
        <f t="shared" si="689"/>
        <v>-4.0000000000000036E-3</v>
      </c>
      <c r="E2776" s="8">
        <f t="shared" si="694"/>
        <v>3.6750984213530629</v>
      </c>
      <c r="F2776" s="6">
        <f t="shared" si="692"/>
        <v>1.9999999999999999E-7</v>
      </c>
      <c r="G2776" s="12">
        <f t="shared" si="691"/>
        <v>2.6901578646937097E-2</v>
      </c>
    </row>
    <row r="2777" spans="1:18" x14ac:dyDescent="0.3">
      <c r="A2777" s="11" t="s">
        <v>2612</v>
      </c>
      <c r="B2777" s="7">
        <v>50180</v>
      </c>
      <c r="C2777" s="7">
        <v>3.702</v>
      </c>
      <c r="D2777" s="2">
        <f t="shared" si="689"/>
        <v>0</v>
      </c>
      <c r="E2777" s="8">
        <f t="shared" si="694"/>
        <v>3.6750982213530627</v>
      </c>
      <c r="F2777" s="6">
        <f t="shared" si="692"/>
        <v>1.9999999999999999E-7</v>
      </c>
      <c r="G2777" s="12">
        <f t="shared" si="691"/>
        <v>2.6901778646937213E-2</v>
      </c>
    </row>
    <row r="2778" spans="1:18" x14ac:dyDescent="0.3">
      <c r="A2778" s="11" t="s">
        <v>2613</v>
      </c>
      <c r="B2778" s="7">
        <v>50200</v>
      </c>
      <c r="C2778" s="7">
        <v>3.6850000000000001</v>
      </c>
      <c r="D2778" s="2">
        <f t="shared" si="689"/>
        <v>-1.6999999999999904E-2</v>
      </c>
      <c r="E2778" s="8">
        <f t="shared" si="694"/>
        <v>3.6750980213530626</v>
      </c>
      <c r="F2778" s="6">
        <f t="shared" si="692"/>
        <v>1.9999999999999999E-7</v>
      </c>
      <c r="G2778" s="12">
        <f t="shared" si="691"/>
        <v>9.901978646937426E-3</v>
      </c>
    </row>
    <row r="2779" spans="1:18" x14ac:dyDescent="0.3">
      <c r="A2779" s="11" t="s">
        <v>2614</v>
      </c>
      <c r="B2779" s="7">
        <v>50220</v>
      </c>
      <c r="C2779" s="7">
        <v>3.6920000000000002</v>
      </c>
      <c r="D2779" s="2">
        <f t="shared" si="689"/>
        <v>7.0000000000001172E-3</v>
      </c>
      <c r="E2779" s="8">
        <f t="shared" si="694"/>
        <v>3.6750978213530625</v>
      </c>
      <c r="F2779" s="6">
        <f t="shared" si="692"/>
        <v>1.9999999999999999E-7</v>
      </c>
      <c r="G2779" s="12">
        <f t="shared" si="691"/>
        <v>1.690217864693766E-2</v>
      </c>
    </row>
    <row r="2780" spans="1:18" x14ac:dyDescent="0.3">
      <c r="A2780" s="11" t="s">
        <v>2615</v>
      </c>
      <c r="B2780" s="7">
        <v>50240</v>
      </c>
      <c r="C2780" s="7">
        <v>3.7029999999999998</v>
      </c>
      <c r="D2780" s="2">
        <f t="shared" si="689"/>
        <v>1.0999999999999677E-2</v>
      </c>
      <c r="E2780" s="8">
        <f t="shared" si="694"/>
        <v>3.6750976213530624</v>
      </c>
      <c r="F2780" s="6">
        <f t="shared" si="692"/>
        <v>1.9999999999999999E-7</v>
      </c>
      <c r="G2780" s="12">
        <f t="shared" si="691"/>
        <v>2.7902378646937454E-2</v>
      </c>
    </row>
    <row r="2781" spans="1:18" x14ac:dyDescent="0.3">
      <c r="A2781" s="11" t="s">
        <v>2616</v>
      </c>
      <c r="B2781" s="7">
        <v>50260</v>
      </c>
      <c r="C2781" s="7">
        <v>3.6869999999999998</v>
      </c>
      <c r="D2781" s="2">
        <f t="shared" si="689"/>
        <v>-1.6000000000000014E-2</v>
      </c>
      <c r="E2781" s="8">
        <f t="shared" si="694"/>
        <v>3.6750974213530623</v>
      </c>
      <c r="F2781" s="6">
        <f t="shared" si="692"/>
        <v>1.9999999999999999E-7</v>
      </c>
      <c r="G2781" s="12">
        <f t="shared" si="691"/>
        <v>1.1902578646937556E-2</v>
      </c>
    </row>
    <row r="2782" spans="1:18" x14ac:dyDescent="0.3">
      <c r="A2782" s="11" t="s">
        <v>2617</v>
      </c>
      <c r="B2782" s="7">
        <v>50280</v>
      </c>
      <c r="C2782" s="7">
        <v>3.6920000000000002</v>
      </c>
      <c r="D2782" s="2">
        <f t="shared" si="689"/>
        <v>5.0000000000003375E-3</v>
      </c>
      <c r="E2782" s="8">
        <f t="shared" si="694"/>
        <v>3.6750972213530622</v>
      </c>
      <c r="F2782" s="6">
        <f t="shared" si="692"/>
        <v>1.9999999999999999E-7</v>
      </c>
      <c r="G2782" s="12">
        <f t="shared" si="691"/>
        <v>1.690277864693801E-2</v>
      </c>
    </row>
    <row r="2783" spans="1:18" x14ac:dyDescent="0.3">
      <c r="A2783" s="11" t="s">
        <v>2618</v>
      </c>
      <c r="B2783" s="7">
        <v>50300</v>
      </c>
      <c r="C2783" s="7">
        <v>3.669</v>
      </c>
      <c r="D2783" s="2">
        <f t="shared" si="689"/>
        <v>-2.3000000000000131E-2</v>
      </c>
      <c r="E2783" s="8">
        <f t="shared" si="694"/>
        <v>3.675097021353062</v>
      </c>
      <c r="F2783" s="6">
        <f t="shared" si="692"/>
        <v>1.9999999999999999E-7</v>
      </c>
      <c r="G2783" s="12">
        <f t="shared" si="691"/>
        <v>-6.0970213530620043E-3</v>
      </c>
    </row>
    <row r="2784" spans="1:18" x14ac:dyDescent="0.3">
      <c r="A2784" s="11" t="s">
        <v>2619</v>
      </c>
      <c r="B2784" s="7">
        <v>50320</v>
      </c>
      <c r="C2784" s="7">
        <v>3.6579999999999999</v>
      </c>
      <c r="D2784" s="2">
        <f t="shared" si="689"/>
        <v>-1.1000000000000121E-2</v>
      </c>
      <c r="E2784" s="8">
        <f t="shared" si="694"/>
        <v>3.6750968213530619</v>
      </c>
      <c r="F2784" s="6">
        <f t="shared" si="692"/>
        <v>1.9999999999999999E-7</v>
      </c>
      <c r="G2784" s="12">
        <f t="shared" si="691"/>
        <v>-1.7096821353062008E-2</v>
      </c>
    </row>
    <row r="2785" spans="1:7" x14ac:dyDescent="0.3">
      <c r="A2785" s="11" t="s">
        <v>2620</v>
      </c>
      <c r="B2785" s="7">
        <v>50340</v>
      </c>
      <c r="C2785" s="7">
        <v>3.645</v>
      </c>
      <c r="D2785" s="2">
        <f t="shared" si="689"/>
        <v>-1.2999999999999901E-2</v>
      </c>
      <c r="E2785" s="8">
        <f t="shared" si="694"/>
        <v>3.6750966213530618</v>
      </c>
      <c r="F2785" s="6">
        <f t="shared" si="692"/>
        <v>1.9999999999999999E-7</v>
      </c>
      <c r="G2785" s="12">
        <f t="shared" si="691"/>
        <v>-3.0096621353061792E-2</v>
      </c>
    </row>
    <row r="2786" spans="1:7" x14ac:dyDescent="0.3">
      <c r="A2786" s="11" t="s">
        <v>2621</v>
      </c>
      <c r="B2786" s="7">
        <v>50360</v>
      </c>
      <c r="C2786" s="7">
        <v>3.6379999999999999</v>
      </c>
      <c r="D2786" s="2">
        <f t="shared" si="689"/>
        <v>-7.0000000000001172E-3</v>
      </c>
      <c r="E2786" s="8">
        <f t="shared" si="694"/>
        <v>3.6750964213530617</v>
      </c>
      <c r="F2786" s="6">
        <f t="shared" si="692"/>
        <v>1.9999999999999999E-7</v>
      </c>
      <c r="G2786" s="12">
        <f t="shared" si="691"/>
        <v>-3.7096421353061793E-2</v>
      </c>
    </row>
    <row r="2787" spans="1:7" x14ac:dyDescent="0.3">
      <c r="A2787" s="11" t="s">
        <v>2622</v>
      </c>
      <c r="B2787" s="7">
        <v>50380</v>
      </c>
      <c r="C2787" s="7">
        <v>3.621</v>
      </c>
      <c r="D2787" s="2">
        <f t="shared" si="689"/>
        <v>-1.6999999999999904E-2</v>
      </c>
      <c r="E2787" s="8">
        <f t="shared" si="694"/>
        <v>3.6750962213530616</v>
      </c>
      <c r="F2787" s="6">
        <f t="shared" si="692"/>
        <v>1.9999999999999999E-7</v>
      </c>
      <c r="G2787" s="12">
        <f t="shared" si="691"/>
        <v>-5.409622135306158E-2</v>
      </c>
    </row>
    <row r="2788" spans="1:7" x14ac:dyDescent="0.3">
      <c r="A2788" s="11" t="s">
        <v>2623</v>
      </c>
      <c r="B2788" s="7">
        <v>50400</v>
      </c>
      <c r="C2788" s="7">
        <v>3.62</v>
      </c>
      <c r="D2788" s="2">
        <f t="shared" si="689"/>
        <v>-9.9999999999988987E-4</v>
      </c>
      <c r="E2788" s="8">
        <f t="shared" si="694"/>
        <v>3.6750960213530615</v>
      </c>
      <c r="F2788" s="6">
        <f t="shared" si="692"/>
        <v>1.9999999999999999E-7</v>
      </c>
      <c r="G2788" s="12">
        <f t="shared" si="691"/>
        <v>-5.5096021353061353E-2</v>
      </c>
    </row>
    <row r="2789" spans="1:7" x14ac:dyDescent="0.3">
      <c r="A2789" s="11" t="s">
        <v>2624</v>
      </c>
      <c r="B2789" s="7">
        <v>50420</v>
      </c>
      <c r="C2789" s="7">
        <v>3.5990000000000002</v>
      </c>
      <c r="D2789" s="2">
        <f t="shared" si="689"/>
        <v>-2.0999999999999908E-2</v>
      </c>
      <c r="E2789" s="8">
        <f t="shared" si="694"/>
        <v>3.6750958213530613</v>
      </c>
      <c r="F2789" s="6">
        <f t="shared" si="692"/>
        <v>1.9999999999999999E-7</v>
      </c>
      <c r="G2789" s="12">
        <f t="shared" si="691"/>
        <v>-7.6095821353061144E-2</v>
      </c>
    </row>
    <row r="2790" spans="1:7" x14ac:dyDescent="0.3">
      <c r="A2790" s="11" t="s">
        <v>2625</v>
      </c>
      <c r="B2790" s="7">
        <v>50440</v>
      </c>
      <c r="C2790" s="7">
        <v>3.585</v>
      </c>
      <c r="D2790" s="2">
        <f t="shared" si="689"/>
        <v>-1.4000000000000234E-2</v>
      </c>
      <c r="E2790" s="8">
        <f t="shared" si="694"/>
        <v>3.6750956213530612</v>
      </c>
      <c r="F2790" s="6">
        <f t="shared" si="692"/>
        <v>1.9999999999999999E-7</v>
      </c>
      <c r="G2790" s="12">
        <f t="shared" si="691"/>
        <v>-9.0095621353061262E-2</v>
      </c>
    </row>
    <row r="2791" spans="1:7" x14ac:dyDescent="0.3">
      <c r="A2791" s="11" t="s">
        <v>2626</v>
      </c>
      <c r="B2791" s="7">
        <v>50460</v>
      </c>
      <c r="C2791" s="7">
        <v>3.569</v>
      </c>
      <c r="D2791" s="2">
        <f t="shared" si="689"/>
        <v>-1.6000000000000014E-2</v>
      </c>
      <c r="E2791" s="8">
        <f t="shared" si="694"/>
        <v>3.6750954213530611</v>
      </c>
      <c r="F2791" s="6">
        <f t="shared" si="692"/>
        <v>1.9999999999999999E-7</v>
      </c>
      <c r="G2791" s="12">
        <f t="shared" si="691"/>
        <v>-0.10609542135306116</v>
      </c>
    </row>
    <row r="2792" spans="1:7" x14ac:dyDescent="0.3">
      <c r="A2792" s="11" t="s">
        <v>2627</v>
      </c>
      <c r="B2792" s="7">
        <v>50480</v>
      </c>
      <c r="C2792" s="7">
        <v>3.585</v>
      </c>
      <c r="D2792" s="2">
        <f t="shared" si="689"/>
        <v>1.6000000000000014E-2</v>
      </c>
      <c r="E2792" s="8">
        <f t="shared" si="694"/>
        <v>3.675095221353061</v>
      </c>
      <c r="F2792" s="6">
        <f t="shared" si="692"/>
        <v>1.9999999999999999E-7</v>
      </c>
      <c r="G2792" s="12">
        <f t="shared" si="691"/>
        <v>-9.0095221353061028E-2</v>
      </c>
    </row>
    <row r="2793" spans="1:7" x14ac:dyDescent="0.3">
      <c r="A2793" s="11" t="s">
        <v>2628</v>
      </c>
      <c r="B2793" s="7">
        <v>50500</v>
      </c>
      <c r="C2793" s="7">
        <v>3.5880000000000001</v>
      </c>
      <c r="D2793" s="2">
        <f t="shared" si="689"/>
        <v>3.0000000000001137E-3</v>
      </c>
      <c r="E2793" s="8">
        <f t="shared" si="694"/>
        <v>3.6750950213530609</v>
      </c>
      <c r="F2793" s="6">
        <f t="shared" si="692"/>
        <v>1.9999999999999999E-7</v>
      </c>
      <c r="G2793" s="12">
        <f t="shared" si="691"/>
        <v>-8.7095021353060798E-2</v>
      </c>
    </row>
    <row r="2794" spans="1:7" x14ac:dyDescent="0.3">
      <c r="A2794" s="11" t="s">
        <v>2629</v>
      </c>
      <c r="B2794" s="7">
        <v>50520</v>
      </c>
      <c r="C2794" s="7">
        <v>3.5649999999999999</v>
      </c>
      <c r="D2794" s="2">
        <f t="shared" si="689"/>
        <v>-2.3000000000000131E-2</v>
      </c>
      <c r="E2794" s="8">
        <f t="shared" si="694"/>
        <v>3.6750948213530608</v>
      </c>
      <c r="F2794" s="6">
        <f t="shared" si="692"/>
        <v>1.9999999999999999E-7</v>
      </c>
      <c r="G2794" s="12">
        <f t="shared" ref="G2794:G2810" si="695">C2794-E2794</f>
        <v>-0.11009482135306081</v>
      </c>
    </row>
    <row r="2795" spans="1:7" x14ac:dyDescent="0.3">
      <c r="A2795" s="11" t="s">
        <v>2630</v>
      </c>
      <c r="B2795" s="7">
        <v>50540</v>
      </c>
      <c r="C2795" s="7">
        <v>3.5670000000000002</v>
      </c>
      <c r="D2795" s="2">
        <f t="shared" si="689"/>
        <v>2.0000000000002238E-3</v>
      </c>
      <c r="E2795" s="8">
        <f t="shared" si="694"/>
        <v>3.6750946213530606</v>
      </c>
      <c r="F2795" s="6">
        <f t="shared" si="692"/>
        <v>1.9999999999999999E-7</v>
      </c>
      <c r="G2795" s="12">
        <f t="shared" si="695"/>
        <v>-0.10809462135306047</v>
      </c>
    </row>
    <row r="2796" spans="1:7" x14ac:dyDescent="0.3">
      <c r="A2796" s="11" t="s">
        <v>2631</v>
      </c>
      <c r="B2796" s="7">
        <v>50560</v>
      </c>
      <c r="C2796" s="7">
        <v>3.573</v>
      </c>
      <c r="D2796" s="2">
        <f t="shared" si="689"/>
        <v>5.9999999999997833E-3</v>
      </c>
      <c r="E2796" s="8">
        <f t="shared" si="694"/>
        <v>3.6750944213530605</v>
      </c>
      <c r="F2796" s="6">
        <f t="shared" si="692"/>
        <v>1.9999999999999999E-7</v>
      </c>
      <c r="G2796" s="12">
        <f t="shared" si="695"/>
        <v>-0.10209442135306057</v>
      </c>
    </row>
    <row r="2797" spans="1:7" x14ac:dyDescent="0.3">
      <c r="A2797" s="11" t="s">
        <v>2632</v>
      </c>
      <c r="B2797" s="7">
        <v>50580</v>
      </c>
      <c r="C2797" s="7">
        <v>3.5790000000000002</v>
      </c>
      <c r="D2797" s="2">
        <f t="shared" si="689"/>
        <v>6.0000000000002274E-3</v>
      </c>
      <c r="E2797" s="8">
        <f t="shared" si="694"/>
        <v>3.6750942213530604</v>
      </c>
      <c r="F2797" s="6">
        <f t="shared" si="692"/>
        <v>1.9999999999999999E-7</v>
      </c>
      <c r="G2797" s="12">
        <f t="shared" si="695"/>
        <v>-9.6094221353060227E-2</v>
      </c>
    </row>
    <row r="2798" spans="1:7" x14ac:dyDescent="0.3">
      <c r="A2798" s="11" t="s">
        <v>2633</v>
      </c>
      <c r="B2798" s="7">
        <v>50600</v>
      </c>
      <c r="C2798" s="7">
        <v>3.58</v>
      </c>
      <c r="D2798" s="2">
        <f t="shared" si="689"/>
        <v>9.9999999999988987E-4</v>
      </c>
      <c r="E2798" s="8">
        <f t="shared" si="694"/>
        <v>3.6750940213530603</v>
      </c>
      <c r="F2798" s="6">
        <f t="shared" si="692"/>
        <v>1.9999999999999999E-7</v>
      </c>
      <c r="G2798" s="12">
        <f t="shared" si="695"/>
        <v>-9.5094021353060221E-2</v>
      </c>
    </row>
    <row r="2799" spans="1:7" x14ac:dyDescent="0.3">
      <c r="A2799" s="11" t="s">
        <v>2634</v>
      </c>
      <c r="B2799" s="7">
        <v>50620</v>
      </c>
      <c r="C2799" s="7">
        <v>3.5960000000000001</v>
      </c>
      <c r="D2799" s="2">
        <f t="shared" si="689"/>
        <v>1.6000000000000014E-2</v>
      </c>
      <c r="E2799" s="8">
        <f t="shared" si="694"/>
        <v>3.6750938213530602</v>
      </c>
      <c r="F2799" s="6">
        <f t="shared" si="692"/>
        <v>1.9999999999999999E-7</v>
      </c>
      <c r="G2799" s="12">
        <f t="shared" si="695"/>
        <v>-7.909382135306009E-2</v>
      </c>
    </row>
    <row r="2800" spans="1:7" x14ac:dyDescent="0.3">
      <c r="A2800" s="11" t="s">
        <v>2635</v>
      </c>
      <c r="B2800" s="7">
        <v>50640</v>
      </c>
      <c r="C2800" s="7">
        <v>3.5910000000000002</v>
      </c>
      <c r="D2800" s="2">
        <f t="shared" si="689"/>
        <v>-4.9999999999998934E-3</v>
      </c>
      <c r="E2800" s="8">
        <f t="shared" si="694"/>
        <v>3.6750936213530601</v>
      </c>
      <c r="F2800" s="6">
        <f t="shared" si="692"/>
        <v>1.9999999999999999E-7</v>
      </c>
      <c r="G2800" s="12">
        <f t="shared" si="695"/>
        <v>-8.4093621353059866E-2</v>
      </c>
    </row>
    <row r="2801" spans="1:7" x14ac:dyDescent="0.3">
      <c r="A2801" s="11" t="s">
        <v>2636</v>
      </c>
      <c r="B2801" s="7">
        <v>50660</v>
      </c>
      <c r="C2801" s="7">
        <v>3.5840000000000001</v>
      </c>
      <c r="D2801" s="2">
        <f t="shared" si="689"/>
        <v>-7.0000000000001172E-3</v>
      </c>
      <c r="E2801" s="8">
        <f t="shared" si="694"/>
        <v>3.6750934213530599</v>
      </c>
      <c r="F2801" s="6">
        <f t="shared" si="692"/>
        <v>1.9999999999999999E-7</v>
      </c>
      <c r="G2801" s="12">
        <f t="shared" si="695"/>
        <v>-9.1093421353059867E-2</v>
      </c>
    </row>
    <row r="2802" spans="1:7" x14ac:dyDescent="0.3">
      <c r="A2802" s="11" t="s">
        <v>2637</v>
      </c>
      <c r="B2802" s="7">
        <v>50680</v>
      </c>
      <c r="C2802" s="7">
        <v>3.581</v>
      </c>
      <c r="D2802" s="2">
        <f t="shared" si="689"/>
        <v>-3.0000000000001137E-3</v>
      </c>
      <c r="E2802" s="8">
        <f t="shared" si="694"/>
        <v>3.6750932213530598</v>
      </c>
      <c r="F2802" s="6">
        <f t="shared" si="692"/>
        <v>1.9999999999999999E-7</v>
      </c>
      <c r="G2802" s="12">
        <f t="shared" si="695"/>
        <v>-9.4093221353059864E-2</v>
      </c>
    </row>
    <row r="2803" spans="1:7" x14ac:dyDescent="0.3">
      <c r="A2803" s="11" t="s">
        <v>2638</v>
      </c>
      <c r="B2803" s="7">
        <v>50700</v>
      </c>
      <c r="C2803" s="7">
        <v>3.589</v>
      </c>
      <c r="D2803" s="2">
        <f t="shared" si="689"/>
        <v>8.0000000000000071E-3</v>
      </c>
      <c r="E2803" s="8">
        <f t="shared" si="694"/>
        <v>3.6750930213530597</v>
      </c>
      <c r="F2803" s="6">
        <f t="shared" si="692"/>
        <v>1.9999999999999999E-7</v>
      </c>
      <c r="G2803" s="12">
        <f t="shared" si="695"/>
        <v>-8.609302135305974E-2</v>
      </c>
    </row>
    <row r="2804" spans="1:7" x14ac:dyDescent="0.3">
      <c r="A2804" s="11" t="s">
        <v>2639</v>
      </c>
      <c r="B2804" s="7">
        <v>50720</v>
      </c>
      <c r="C2804" s="7">
        <v>3.5960000000000001</v>
      </c>
      <c r="D2804" s="2">
        <f t="shared" si="689"/>
        <v>7.0000000000001172E-3</v>
      </c>
      <c r="E2804" s="8">
        <f t="shared" si="694"/>
        <v>3.6750928213530596</v>
      </c>
      <c r="F2804" s="6">
        <f t="shared" si="692"/>
        <v>1.9999999999999999E-7</v>
      </c>
      <c r="G2804" s="12">
        <f t="shared" si="695"/>
        <v>-7.9092821353059506E-2</v>
      </c>
    </row>
    <row r="2805" spans="1:7" x14ac:dyDescent="0.3">
      <c r="A2805" s="11" t="s">
        <v>2640</v>
      </c>
      <c r="B2805" s="7">
        <v>50740</v>
      </c>
      <c r="C2805" s="7">
        <v>3.593</v>
      </c>
      <c r="D2805" s="2">
        <f t="shared" si="689"/>
        <v>-3.0000000000001137E-3</v>
      </c>
      <c r="E2805" s="8">
        <f t="shared" si="694"/>
        <v>3.6750926213530595</v>
      </c>
      <c r="F2805" s="6">
        <f t="shared" si="692"/>
        <v>1.9999999999999999E-7</v>
      </c>
      <c r="G2805" s="12">
        <f t="shared" si="695"/>
        <v>-8.2092621353059503E-2</v>
      </c>
    </row>
    <row r="2806" spans="1:7" x14ac:dyDescent="0.3">
      <c r="A2806" s="11" t="s">
        <v>2641</v>
      </c>
      <c r="B2806" s="7">
        <v>50760</v>
      </c>
      <c r="C2806" s="7">
        <v>3.5739999999999998</v>
      </c>
      <c r="D2806" s="2">
        <f t="shared" si="689"/>
        <v>-1.9000000000000128E-2</v>
      </c>
      <c r="E2806" s="8">
        <f t="shared" si="694"/>
        <v>3.6750924213530594</v>
      </c>
      <c r="F2806" s="6">
        <f t="shared" si="692"/>
        <v>1.9999999999999999E-7</v>
      </c>
      <c r="G2806" s="12">
        <f t="shared" si="695"/>
        <v>-0.10109242135305951</v>
      </c>
    </row>
    <row r="2807" spans="1:7" x14ac:dyDescent="0.3">
      <c r="A2807" s="11" t="s">
        <v>2642</v>
      </c>
      <c r="B2807" s="7">
        <v>50780</v>
      </c>
      <c r="C2807" s="7">
        <v>3.548</v>
      </c>
      <c r="D2807" s="2">
        <f t="shared" si="689"/>
        <v>-2.5999999999999801E-2</v>
      </c>
      <c r="E2807" s="8">
        <f t="shared" si="694"/>
        <v>3.6750922213530592</v>
      </c>
      <c r="F2807" s="6">
        <f t="shared" si="692"/>
        <v>1.9999999999999999E-7</v>
      </c>
      <c r="G2807" s="12">
        <f t="shared" si="695"/>
        <v>-0.1270922213530592</v>
      </c>
    </row>
    <row r="2808" spans="1:7" x14ac:dyDescent="0.3">
      <c r="A2808" s="11" t="s">
        <v>2643</v>
      </c>
      <c r="B2808" s="7">
        <v>50800</v>
      </c>
      <c r="C2808" s="7">
        <v>3.5459999999999998</v>
      </c>
      <c r="D2808" s="2">
        <f t="shared" si="689"/>
        <v>-2.0000000000002238E-3</v>
      </c>
      <c r="E2808" s="8">
        <f t="shared" si="694"/>
        <v>3.6750920213530591</v>
      </c>
      <c r="F2808" s="6">
        <f t="shared" si="692"/>
        <v>1.9999999999999999E-7</v>
      </c>
      <c r="G2808" s="12">
        <f t="shared" si="695"/>
        <v>-0.12909202135305931</v>
      </c>
    </row>
    <row r="2809" spans="1:7" x14ac:dyDescent="0.3">
      <c r="A2809" s="11" t="s">
        <v>2644</v>
      </c>
      <c r="B2809" s="7">
        <v>50820</v>
      </c>
      <c r="C2809" s="7">
        <v>3.5459999999999998</v>
      </c>
      <c r="D2809" s="2">
        <f t="shared" si="689"/>
        <v>0</v>
      </c>
      <c r="E2809" s="8">
        <f t="shared" si="694"/>
        <v>3.675091821353059</v>
      </c>
      <c r="F2809" s="6">
        <f t="shared" si="692"/>
        <v>1.9999999999999999E-7</v>
      </c>
      <c r="G2809" s="12">
        <f t="shared" si="695"/>
        <v>-0.12909182135305919</v>
      </c>
    </row>
    <row r="2810" spans="1:7" x14ac:dyDescent="0.3">
      <c r="A2810" s="11" t="s">
        <v>2645</v>
      </c>
      <c r="B2810" s="7">
        <v>50840</v>
      </c>
      <c r="C2810" s="7">
        <v>3.5459999999999998</v>
      </c>
      <c r="D2810" s="2">
        <f t="shared" si="689"/>
        <v>0</v>
      </c>
      <c r="E2810" s="8">
        <f t="shared" si="694"/>
        <v>3.6750916213530589</v>
      </c>
      <c r="F2810" s="6">
        <f t="shared" si="692"/>
        <v>1.9999999999999999E-7</v>
      </c>
      <c r="G2810" s="12">
        <f t="shared" si="695"/>
        <v>-0.12909162135305907</v>
      </c>
    </row>
    <row r="2811" spans="1:7" x14ac:dyDescent="0.3">
      <c r="A2811" s="11" t="s">
        <v>2646</v>
      </c>
      <c r="B2811" s="7">
        <v>50860</v>
      </c>
      <c r="C2811" s="7">
        <v>3.5750000000000002</v>
      </c>
      <c r="D2811" s="2">
        <f t="shared" si="689"/>
        <v>2.9000000000000359E-2</v>
      </c>
      <c r="E2811" s="8">
        <f t="shared" si="694"/>
        <v>3.6750914213530588</v>
      </c>
      <c r="F2811" s="6">
        <f t="shared" si="692"/>
        <v>1.9999999999999999E-7</v>
      </c>
      <c r="G2811" s="12">
        <f t="shared" ref="G2811:G2826" si="696">C2811-E2811</f>
        <v>-0.1000914213530586</v>
      </c>
    </row>
    <row r="2812" spans="1:7" x14ac:dyDescent="0.3">
      <c r="A2812" s="11" t="s">
        <v>2647</v>
      </c>
      <c r="B2812" s="7">
        <v>50880</v>
      </c>
      <c r="C2812" s="7">
        <v>3.5910000000000002</v>
      </c>
      <c r="D2812" s="2">
        <f t="shared" si="689"/>
        <v>1.6000000000000014E-2</v>
      </c>
      <c r="E2812" s="8">
        <f t="shared" si="694"/>
        <v>3.6750912213530587</v>
      </c>
      <c r="F2812" s="6">
        <f t="shared" si="692"/>
        <v>1.9999999999999999E-7</v>
      </c>
      <c r="G2812" s="12">
        <f t="shared" si="696"/>
        <v>-8.4091221353058465E-2</v>
      </c>
    </row>
    <row r="2813" spans="1:7" x14ac:dyDescent="0.3">
      <c r="A2813" s="11" t="s">
        <v>2648</v>
      </c>
      <c r="B2813" s="7">
        <v>50900</v>
      </c>
      <c r="C2813" s="7">
        <v>3.577</v>
      </c>
      <c r="D2813" s="2">
        <f t="shared" si="689"/>
        <v>-1.4000000000000234E-2</v>
      </c>
      <c r="E2813" s="8">
        <f t="shared" si="694"/>
        <v>3.6750910213530585</v>
      </c>
      <c r="F2813" s="6">
        <f t="shared" si="692"/>
        <v>1.9999999999999999E-7</v>
      </c>
      <c r="G2813" s="12">
        <f t="shared" si="696"/>
        <v>-9.8091021353058583E-2</v>
      </c>
    </row>
    <row r="2814" spans="1:7" x14ac:dyDescent="0.3">
      <c r="A2814" s="11" t="s">
        <v>2649</v>
      </c>
      <c r="B2814" s="7">
        <v>50920</v>
      </c>
      <c r="C2814" s="7">
        <v>3.593</v>
      </c>
      <c r="D2814" s="2">
        <f t="shared" si="689"/>
        <v>1.6000000000000014E-2</v>
      </c>
      <c r="E2814" s="8">
        <f t="shared" si="694"/>
        <v>3.6750908213530584</v>
      </c>
      <c r="F2814" s="6">
        <f t="shared" si="692"/>
        <v>1.9999999999999999E-7</v>
      </c>
      <c r="G2814" s="12">
        <f t="shared" si="696"/>
        <v>-8.2090821353058452E-2</v>
      </c>
    </row>
    <row r="2815" spans="1:7" x14ac:dyDescent="0.3">
      <c r="A2815" s="11" t="s">
        <v>2650</v>
      </c>
      <c r="B2815" s="7">
        <v>50940</v>
      </c>
      <c r="C2815" s="7">
        <v>3.4279999999999999</v>
      </c>
      <c r="D2815" s="2">
        <f t="shared" si="689"/>
        <v>-0.16500000000000004</v>
      </c>
      <c r="E2815" s="8">
        <f t="shared" si="694"/>
        <v>3.6750906213530583</v>
      </c>
      <c r="F2815" s="6">
        <f t="shared" si="692"/>
        <v>1.9999999999999999E-7</v>
      </c>
      <c r="G2815" s="12">
        <f t="shared" si="696"/>
        <v>-0.24709062135305837</v>
      </c>
    </row>
    <row r="2816" spans="1:7" x14ac:dyDescent="0.3">
      <c r="A2816" s="11" t="s">
        <v>2651</v>
      </c>
      <c r="B2816" s="7">
        <v>50960</v>
      </c>
      <c r="C2816" s="7">
        <v>3.4889999999999999</v>
      </c>
      <c r="D2816" s="2">
        <f t="shared" si="689"/>
        <v>6.0999999999999943E-2</v>
      </c>
      <c r="E2816" s="8">
        <f t="shared" si="694"/>
        <v>3.6750904213530582</v>
      </c>
      <c r="F2816" s="6">
        <f t="shared" si="692"/>
        <v>1.9999999999999999E-7</v>
      </c>
      <c r="G2816" s="12">
        <f t="shared" si="696"/>
        <v>-0.18609042135305831</v>
      </c>
    </row>
    <row r="2817" spans="1:18" x14ac:dyDescent="0.3">
      <c r="A2817" s="13" t="s">
        <v>2652</v>
      </c>
      <c r="B2817" s="24"/>
      <c r="C2817" s="25"/>
      <c r="D2817" s="25"/>
      <c r="E2817" s="25"/>
      <c r="F2817" s="25"/>
      <c r="G2817" s="26"/>
    </row>
    <row r="2818" spans="1:18" x14ac:dyDescent="0.3">
      <c r="A2818" s="11" t="s">
        <v>2653</v>
      </c>
      <c r="B2818" s="7">
        <v>50980</v>
      </c>
      <c r="C2818" s="7">
        <v>3.5139999999999998</v>
      </c>
      <c r="D2818" s="2">
        <f>C2818-C2816</f>
        <v>2.4999999999999911E-2</v>
      </c>
      <c r="E2818" s="8">
        <f>E2816-F2816</f>
        <v>3.6750902213530581</v>
      </c>
      <c r="F2818" s="6">
        <f>F2816</f>
        <v>1.9999999999999999E-7</v>
      </c>
      <c r="G2818" s="12">
        <f t="shared" si="696"/>
        <v>-0.16109022135305828</v>
      </c>
    </row>
    <row r="2819" spans="1:18" x14ac:dyDescent="0.3">
      <c r="A2819" s="11" t="s">
        <v>2654</v>
      </c>
      <c r="B2819" s="7">
        <v>51000</v>
      </c>
      <c r="C2819" s="7">
        <v>3.4940000000000002</v>
      </c>
      <c r="D2819" s="2">
        <f t="shared" si="689"/>
        <v>-1.9999999999999574E-2</v>
      </c>
      <c r="E2819" s="8">
        <f>E2818-F2818</f>
        <v>3.675090021353058</v>
      </c>
      <c r="F2819" s="6">
        <f t="shared" ref="F2819:F2848" si="697">F2818</f>
        <v>1.9999999999999999E-7</v>
      </c>
      <c r="G2819" s="12">
        <f t="shared" si="696"/>
        <v>-0.18109002135305774</v>
      </c>
    </row>
    <row r="2820" spans="1:18" x14ac:dyDescent="0.3">
      <c r="A2820" s="11" t="s">
        <v>2655</v>
      </c>
      <c r="B2820" s="7">
        <v>51020</v>
      </c>
      <c r="C2820" s="7">
        <v>3.5</v>
      </c>
      <c r="D2820" s="2">
        <f t="shared" si="689"/>
        <v>5.9999999999997833E-3</v>
      </c>
      <c r="E2820" s="8">
        <f t="shared" ref="E2820:E2827" si="698">E2819-F2819</f>
        <v>3.6750898213530578</v>
      </c>
      <c r="F2820" s="6">
        <f t="shared" si="697"/>
        <v>1.9999999999999999E-7</v>
      </c>
      <c r="G2820" s="12">
        <f t="shared" si="696"/>
        <v>-0.17508982135305784</v>
      </c>
    </row>
    <row r="2821" spans="1:18" x14ac:dyDescent="0.3">
      <c r="A2821" s="11" t="s">
        <v>2656</v>
      </c>
      <c r="B2821" s="7">
        <v>51040</v>
      </c>
      <c r="C2821" s="7">
        <v>3.5209999999999999</v>
      </c>
      <c r="D2821" s="2">
        <f t="shared" si="689"/>
        <v>2.0999999999999908E-2</v>
      </c>
      <c r="E2821" s="8">
        <f t="shared" si="698"/>
        <v>3.6750896213530577</v>
      </c>
      <c r="F2821" s="6">
        <f t="shared" si="697"/>
        <v>1.9999999999999999E-7</v>
      </c>
      <c r="G2821" s="12">
        <f t="shared" si="696"/>
        <v>-0.15408962135305782</v>
      </c>
    </row>
    <row r="2822" spans="1:18" x14ac:dyDescent="0.3">
      <c r="A2822" s="11" t="s">
        <v>2657</v>
      </c>
      <c r="B2822" s="7">
        <v>51060</v>
      </c>
      <c r="C2822" s="7">
        <v>3.55</v>
      </c>
      <c r="D2822" s="2">
        <f t="shared" si="689"/>
        <v>2.8999999999999915E-2</v>
      </c>
      <c r="E2822" s="8">
        <f t="shared" si="698"/>
        <v>3.6750894213530576</v>
      </c>
      <c r="F2822" s="6">
        <f t="shared" si="697"/>
        <v>1.9999999999999999E-7</v>
      </c>
      <c r="G2822" s="12">
        <f t="shared" si="696"/>
        <v>-0.12508942135305778</v>
      </c>
    </row>
    <row r="2823" spans="1:18" x14ac:dyDescent="0.3">
      <c r="A2823" s="11" t="s">
        <v>2658</v>
      </c>
      <c r="B2823" s="7">
        <v>51080</v>
      </c>
      <c r="C2823" s="7">
        <v>3.5609999999999999</v>
      </c>
      <c r="D2823" s="2">
        <f t="shared" si="689"/>
        <v>1.1000000000000121E-2</v>
      </c>
      <c r="E2823" s="8">
        <f t="shared" si="698"/>
        <v>3.6750892213530575</v>
      </c>
      <c r="F2823" s="6">
        <f t="shared" si="697"/>
        <v>1.9999999999999999E-7</v>
      </c>
      <c r="G2823" s="12">
        <f t="shared" si="696"/>
        <v>-0.11408922135305755</v>
      </c>
    </row>
    <row r="2824" spans="1:18" x14ac:dyDescent="0.3">
      <c r="A2824" s="11" t="s">
        <v>2659</v>
      </c>
      <c r="B2824" s="7">
        <v>51100</v>
      </c>
      <c r="C2824" s="7">
        <v>3.5750000000000002</v>
      </c>
      <c r="D2824" s="2">
        <f t="shared" si="689"/>
        <v>1.4000000000000234E-2</v>
      </c>
      <c r="E2824" s="8">
        <f t="shared" si="698"/>
        <v>3.6750890213530574</v>
      </c>
      <c r="F2824" s="6">
        <f t="shared" si="697"/>
        <v>1.9999999999999999E-7</v>
      </c>
      <c r="G2824" s="12">
        <f t="shared" si="696"/>
        <v>-0.10008902135305719</v>
      </c>
    </row>
    <row r="2825" spans="1:18" x14ac:dyDescent="0.3">
      <c r="A2825" s="11" t="s">
        <v>2660</v>
      </c>
      <c r="B2825" s="7">
        <v>51120</v>
      </c>
      <c r="C2825" s="7">
        <v>3.58</v>
      </c>
      <c r="D2825" s="2">
        <f t="shared" si="689"/>
        <v>4.9999999999998934E-3</v>
      </c>
      <c r="E2825" s="8">
        <f t="shared" si="698"/>
        <v>3.6750888213530573</v>
      </c>
      <c r="F2825" s="6">
        <f t="shared" si="697"/>
        <v>1.9999999999999999E-7</v>
      </c>
      <c r="G2825" s="12">
        <f t="shared" si="696"/>
        <v>-9.5088821353057185E-2</v>
      </c>
    </row>
    <row r="2826" spans="1:18" x14ac:dyDescent="0.3">
      <c r="A2826" s="11" t="s">
        <v>2661</v>
      </c>
      <c r="B2826" s="7">
        <v>51140</v>
      </c>
      <c r="C2826" s="7">
        <v>3.5880000000000001</v>
      </c>
      <c r="D2826" s="2">
        <f t="shared" si="689"/>
        <v>8.0000000000000071E-3</v>
      </c>
      <c r="E2826" s="8">
        <f t="shared" si="698"/>
        <v>3.6750886213530571</v>
      </c>
      <c r="F2826" s="6">
        <f t="shared" si="697"/>
        <v>1.9999999999999999E-7</v>
      </c>
      <c r="G2826" s="12">
        <f t="shared" si="696"/>
        <v>-8.7088621353057061E-2</v>
      </c>
    </row>
    <row r="2827" spans="1:18" x14ac:dyDescent="0.3">
      <c r="A2827" s="11" t="s">
        <v>2662</v>
      </c>
      <c r="B2827" s="7">
        <v>51160</v>
      </c>
      <c r="C2827" s="7">
        <v>3.6160000000000001</v>
      </c>
      <c r="D2827" s="2">
        <f t="shared" si="689"/>
        <v>2.8000000000000025E-2</v>
      </c>
      <c r="E2827" s="8">
        <f t="shared" si="698"/>
        <v>3.675088421353057</v>
      </c>
      <c r="F2827" s="6">
        <f t="shared" si="697"/>
        <v>1.9999999999999999E-7</v>
      </c>
      <c r="G2827" s="12">
        <f t="shared" ref="G2827:G2847" si="699">C2827-E2827</f>
        <v>-5.9088421353056919E-2</v>
      </c>
    </row>
    <row r="2828" spans="1:18" x14ac:dyDescent="0.3">
      <c r="A2828" s="21"/>
      <c r="B2828" s="22"/>
      <c r="C2828" s="22"/>
      <c r="D2828" s="22"/>
      <c r="E2828" s="22"/>
      <c r="F2828" s="22"/>
      <c r="G2828" s="23"/>
      <c r="H2828" s="4" t="s">
        <v>3505</v>
      </c>
      <c r="J2828" s="4"/>
      <c r="O2828" s="3">
        <f>1/O2829</f>
        <v>2.4154589371980675E-3</v>
      </c>
      <c r="P2828" s="3">
        <f>O2828*20</f>
        <v>4.8309178743961352E-2</v>
      </c>
      <c r="Q2828" s="3" t="s">
        <v>3202</v>
      </c>
      <c r="R2828" s="3">
        <v>414</v>
      </c>
    </row>
    <row r="2829" spans="1:18" x14ac:dyDescent="0.3">
      <c r="A2829" s="11" t="s">
        <v>2663</v>
      </c>
      <c r="B2829" s="7">
        <v>51180</v>
      </c>
      <c r="C2829" s="7">
        <v>3.6469999999999998</v>
      </c>
      <c r="D2829" s="2">
        <f>C2829-C2827</f>
        <v>3.0999999999999694E-2</v>
      </c>
      <c r="E2829" s="8">
        <f>E2827+F2829</f>
        <v>3.7233976000970186</v>
      </c>
      <c r="F2829" s="6">
        <f>P2828</f>
        <v>4.8309178743961352E-2</v>
      </c>
      <c r="G2829" s="12">
        <f>C2829-E2829</f>
        <v>-7.6397600097018792E-2</v>
      </c>
      <c r="H2829" s="3">
        <f>B2827</f>
        <v>51160</v>
      </c>
      <c r="I2829" s="3">
        <f>B2844</f>
        <v>51480</v>
      </c>
      <c r="J2829" s="3">
        <f>I2829-H2829</f>
        <v>320</v>
      </c>
      <c r="K2829" s="5">
        <f>E2827</f>
        <v>3.675088421353057</v>
      </c>
      <c r="L2829" s="3">
        <f>C2844</f>
        <v>4.4480000000000004</v>
      </c>
      <c r="M2829" s="5">
        <f>L2829-K2829</f>
        <v>0.77291157864694338</v>
      </c>
      <c r="N2829" s="3">
        <f>J2829/M2829</f>
        <v>414.01889794456309</v>
      </c>
      <c r="O2829" s="3">
        <v>414</v>
      </c>
    </row>
    <row r="2830" spans="1:18" x14ac:dyDescent="0.3">
      <c r="A2830" s="11" t="s">
        <v>2664</v>
      </c>
      <c r="B2830" s="7">
        <v>51200</v>
      </c>
      <c r="C2830" s="7">
        <v>3.6720000000000002</v>
      </c>
      <c r="D2830" s="2">
        <f t="shared" si="689"/>
        <v>2.5000000000000355E-2</v>
      </c>
      <c r="E2830" s="8">
        <f>E2829+F2829</f>
        <v>3.7717067788409802</v>
      </c>
      <c r="F2830" s="6">
        <f t="shared" ref="F2830" si="700">F2829</f>
        <v>4.8309178743961352E-2</v>
      </c>
      <c r="G2830" s="12">
        <f t="shared" ref="G2830" si="701">C2830-E2830</f>
        <v>-9.9706778840980004E-2</v>
      </c>
    </row>
    <row r="2831" spans="1:18" x14ac:dyDescent="0.3">
      <c r="A2831" s="11" t="s">
        <v>2665</v>
      </c>
      <c r="B2831" s="7">
        <v>51220</v>
      </c>
      <c r="C2831" s="7">
        <v>3.7090000000000001</v>
      </c>
      <c r="D2831" s="2">
        <f t="shared" si="689"/>
        <v>3.6999999999999922E-2</v>
      </c>
      <c r="E2831" s="8">
        <f t="shared" ref="E2831:E2844" si="702">E2830+F2830</f>
        <v>3.8200159575849417</v>
      </c>
      <c r="F2831" s="6">
        <f t="shared" si="697"/>
        <v>4.8309178743961352E-2</v>
      </c>
      <c r="G2831" s="12">
        <f t="shared" si="699"/>
        <v>-0.11101595758494165</v>
      </c>
    </row>
    <row r="2832" spans="1:18" x14ac:dyDescent="0.3">
      <c r="A2832" s="11" t="s">
        <v>2666</v>
      </c>
      <c r="B2832" s="7">
        <v>51240</v>
      </c>
      <c r="C2832" s="7">
        <v>3.7480000000000002</v>
      </c>
      <c r="D2832" s="2">
        <f t="shared" ref="D2832:D2904" si="703">C2832-C2831</f>
        <v>3.9000000000000146E-2</v>
      </c>
      <c r="E2832" s="8">
        <f t="shared" si="702"/>
        <v>3.8683251363289033</v>
      </c>
      <c r="F2832" s="6">
        <f t="shared" si="697"/>
        <v>4.8309178743961352E-2</v>
      </c>
      <c r="G2832" s="12">
        <f t="shared" si="699"/>
        <v>-0.12032513632890307</v>
      </c>
    </row>
    <row r="2833" spans="1:18" x14ac:dyDescent="0.3">
      <c r="A2833" s="11" t="s">
        <v>2667</v>
      </c>
      <c r="B2833" s="7">
        <v>51260</v>
      </c>
      <c r="C2833" s="7">
        <v>3.7759999999999998</v>
      </c>
      <c r="D2833" s="2">
        <f t="shared" si="703"/>
        <v>2.7999999999999581E-2</v>
      </c>
      <c r="E2833" s="8">
        <f t="shared" si="702"/>
        <v>3.9166343150728649</v>
      </c>
      <c r="F2833" s="6">
        <f t="shared" si="697"/>
        <v>4.8309178743961352E-2</v>
      </c>
      <c r="G2833" s="12">
        <f t="shared" si="699"/>
        <v>-0.14063431507286506</v>
      </c>
    </row>
    <row r="2834" spans="1:18" x14ac:dyDescent="0.3">
      <c r="A2834" s="11" t="s">
        <v>2668</v>
      </c>
      <c r="B2834" s="7">
        <v>51280</v>
      </c>
      <c r="C2834" s="7">
        <v>3.8159999999999998</v>
      </c>
      <c r="D2834" s="2">
        <f t="shared" si="703"/>
        <v>4.0000000000000036E-2</v>
      </c>
      <c r="E2834" s="8">
        <f t="shared" si="702"/>
        <v>3.9649434938168264</v>
      </c>
      <c r="F2834" s="6">
        <f t="shared" si="697"/>
        <v>4.8309178743961352E-2</v>
      </c>
      <c r="G2834" s="12">
        <f t="shared" si="699"/>
        <v>-0.14894349381682659</v>
      </c>
    </row>
    <row r="2835" spans="1:18" x14ac:dyDescent="0.3">
      <c r="A2835" s="11" t="s">
        <v>2669</v>
      </c>
      <c r="B2835" s="7">
        <v>51300</v>
      </c>
      <c r="C2835" s="7">
        <v>3.8769999999999998</v>
      </c>
      <c r="D2835" s="2">
        <f t="shared" si="703"/>
        <v>6.0999999999999943E-2</v>
      </c>
      <c r="E2835" s="8">
        <f t="shared" si="702"/>
        <v>4.013252672560788</v>
      </c>
      <c r="F2835" s="6">
        <f t="shared" si="697"/>
        <v>4.8309178743961352E-2</v>
      </c>
      <c r="G2835" s="12">
        <f t="shared" si="699"/>
        <v>-0.13625267256078821</v>
      </c>
    </row>
    <row r="2836" spans="1:18" x14ac:dyDescent="0.3">
      <c r="A2836" s="11" t="s">
        <v>2670</v>
      </c>
      <c r="B2836" s="7">
        <v>51320</v>
      </c>
      <c r="C2836" s="7">
        <v>3.9350000000000001</v>
      </c>
      <c r="D2836" s="2">
        <f t="shared" si="703"/>
        <v>5.8000000000000274E-2</v>
      </c>
      <c r="E2836" s="8">
        <f t="shared" si="702"/>
        <v>4.0615618513047496</v>
      </c>
      <c r="F2836" s="6">
        <f t="shared" si="697"/>
        <v>4.8309178743961352E-2</v>
      </c>
      <c r="G2836" s="12">
        <f t="shared" si="699"/>
        <v>-0.12656185130474951</v>
      </c>
    </row>
    <row r="2837" spans="1:18" x14ac:dyDescent="0.3">
      <c r="A2837" s="11" t="s">
        <v>2671</v>
      </c>
      <c r="B2837" s="7">
        <v>51340</v>
      </c>
      <c r="C2837" s="7">
        <v>3.9940000000000002</v>
      </c>
      <c r="D2837" s="2">
        <f t="shared" si="703"/>
        <v>5.9000000000000163E-2</v>
      </c>
      <c r="E2837" s="8">
        <f t="shared" si="702"/>
        <v>4.1098710300487111</v>
      </c>
      <c r="F2837" s="6">
        <f t="shared" si="697"/>
        <v>4.8309178743961352E-2</v>
      </c>
      <c r="G2837" s="12">
        <f t="shared" si="699"/>
        <v>-0.11587103004871091</v>
      </c>
    </row>
    <row r="2838" spans="1:18" x14ac:dyDescent="0.3">
      <c r="A2838" s="11" t="s">
        <v>2672</v>
      </c>
      <c r="B2838" s="7">
        <v>51360</v>
      </c>
      <c r="C2838" s="7">
        <v>4.0789999999999997</v>
      </c>
      <c r="D2838" s="2">
        <f t="shared" si="703"/>
        <v>8.499999999999952E-2</v>
      </c>
      <c r="E2838" s="8">
        <f t="shared" si="702"/>
        <v>4.1581802087926727</v>
      </c>
      <c r="F2838" s="6">
        <f t="shared" si="697"/>
        <v>4.8309178743961352E-2</v>
      </c>
      <c r="G2838" s="12">
        <f t="shared" si="699"/>
        <v>-7.9180208792672957E-2</v>
      </c>
    </row>
    <row r="2839" spans="1:18" x14ac:dyDescent="0.3">
      <c r="A2839" s="11" t="s">
        <v>2673</v>
      </c>
      <c r="B2839" s="7">
        <v>51380</v>
      </c>
      <c r="C2839" s="7">
        <v>4.1719999999999997</v>
      </c>
      <c r="D2839" s="2">
        <f t="shared" si="703"/>
        <v>9.2999999999999972E-2</v>
      </c>
      <c r="E2839" s="8">
        <f t="shared" si="702"/>
        <v>4.2064893875366343</v>
      </c>
      <c r="F2839" s="6">
        <f t="shared" si="697"/>
        <v>4.8309178743961352E-2</v>
      </c>
      <c r="G2839" s="12">
        <f t="shared" si="699"/>
        <v>-3.4489387536634553E-2</v>
      </c>
    </row>
    <row r="2840" spans="1:18" x14ac:dyDescent="0.3">
      <c r="A2840" s="11" t="s">
        <v>2674</v>
      </c>
      <c r="B2840" s="7">
        <v>51400</v>
      </c>
      <c r="C2840" s="7">
        <v>4.242</v>
      </c>
      <c r="D2840" s="2">
        <f t="shared" si="703"/>
        <v>7.0000000000000284E-2</v>
      </c>
      <c r="E2840" s="8">
        <f t="shared" si="702"/>
        <v>4.2547985662805958</v>
      </c>
      <c r="F2840" s="6">
        <f t="shared" si="697"/>
        <v>4.8309178743961352E-2</v>
      </c>
      <c r="G2840" s="12">
        <f t="shared" si="699"/>
        <v>-1.2798566280595836E-2</v>
      </c>
    </row>
    <row r="2841" spans="1:18" x14ac:dyDescent="0.3">
      <c r="A2841" s="11" t="s">
        <v>2675</v>
      </c>
      <c r="B2841" s="7">
        <v>51420</v>
      </c>
      <c r="C2841" s="7">
        <v>4.3070000000000004</v>
      </c>
      <c r="D2841" s="2">
        <f t="shared" si="703"/>
        <v>6.5000000000000391E-2</v>
      </c>
      <c r="E2841" s="8">
        <f t="shared" si="702"/>
        <v>4.3031077450245574</v>
      </c>
      <c r="F2841" s="6">
        <f t="shared" si="697"/>
        <v>4.8309178743961352E-2</v>
      </c>
      <c r="G2841" s="12">
        <f t="shared" si="699"/>
        <v>3.892254975442988E-3</v>
      </c>
    </row>
    <row r="2842" spans="1:18" x14ac:dyDescent="0.3">
      <c r="A2842" s="11" t="s">
        <v>2676</v>
      </c>
      <c r="B2842" s="7">
        <v>51440</v>
      </c>
      <c r="C2842" s="7">
        <v>4.3559999999999999</v>
      </c>
      <c r="D2842" s="2">
        <f t="shared" si="703"/>
        <v>4.8999999999999488E-2</v>
      </c>
      <c r="E2842" s="8">
        <f t="shared" si="702"/>
        <v>4.351416923768519</v>
      </c>
      <c r="F2842" s="6">
        <f t="shared" si="697"/>
        <v>4.8309178743961352E-2</v>
      </c>
      <c r="G2842" s="12">
        <f t="shared" si="699"/>
        <v>4.5830762314809093E-3</v>
      </c>
    </row>
    <row r="2843" spans="1:18" x14ac:dyDescent="0.3">
      <c r="A2843" s="11" t="s">
        <v>2677</v>
      </c>
      <c r="B2843" s="7">
        <v>51460</v>
      </c>
      <c r="C2843" s="7">
        <v>4.4169999999999998</v>
      </c>
      <c r="D2843" s="2">
        <f t="shared" si="703"/>
        <v>6.0999999999999943E-2</v>
      </c>
      <c r="E2843" s="8">
        <f t="shared" si="702"/>
        <v>4.3997261025124805</v>
      </c>
      <c r="F2843" s="6">
        <f t="shared" si="697"/>
        <v>4.8309178743961352E-2</v>
      </c>
      <c r="G2843" s="12">
        <f t="shared" si="699"/>
        <v>1.7273897487519285E-2</v>
      </c>
    </row>
    <row r="2844" spans="1:18" x14ac:dyDescent="0.3">
      <c r="A2844" s="11" t="s">
        <v>2678</v>
      </c>
      <c r="B2844" s="7">
        <v>51480</v>
      </c>
      <c r="C2844" s="7">
        <v>4.4480000000000004</v>
      </c>
      <c r="D2844" s="2">
        <f t="shared" si="703"/>
        <v>3.1000000000000583E-2</v>
      </c>
      <c r="E2844" s="8">
        <f t="shared" si="702"/>
        <v>4.4480352812564421</v>
      </c>
      <c r="F2844" s="6">
        <f t="shared" si="697"/>
        <v>4.8309178743961352E-2</v>
      </c>
      <c r="G2844" s="12">
        <f t="shared" si="699"/>
        <v>-3.5281256441699327E-5</v>
      </c>
    </row>
    <row r="2845" spans="1:18" s="29" customFormat="1" x14ac:dyDescent="0.3">
      <c r="A2845" s="28" t="s">
        <v>3250</v>
      </c>
      <c r="B2845" s="67" t="s">
        <v>3194</v>
      </c>
      <c r="C2845" s="68"/>
      <c r="D2845" s="68"/>
      <c r="E2845" s="68"/>
      <c r="F2845" s="68"/>
      <c r="G2845" s="69"/>
      <c r="H2845" s="4" t="s">
        <v>3506</v>
      </c>
      <c r="I2845" s="3"/>
      <c r="J2845" s="4"/>
      <c r="K2845" s="3"/>
      <c r="L2845" s="3"/>
      <c r="M2845" s="3"/>
      <c r="N2845" s="3"/>
      <c r="O2845" s="3">
        <f>1/O2846</f>
        <v>2.5987525987525989E-4</v>
      </c>
      <c r="P2845" s="3">
        <f>O2845*20</f>
        <v>5.1975051975051978E-3</v>
      </c>
      <c r="Q2845" s="29" t="s">
        <v>3200</v>
      </c>
      <c r="R2845" s="29">
        <v>3848</v>
      </c>
    </row>
    <row r="2846" spans="1:18" x14ac:dyDescent="0.3">
      <c r="A2846" s="11" t="s">
        <v>2679</v>
      </c>
      <c r="B2846" s="7">
        <v>51500</v>
      </c>
      <c r="C2846" s="7">
        <v>4.4829999999999997</v>
      </c>
      <c r="D2846" s="2">
        <f>C2846-C2844</f>
        <v>3.4999999999999254E-2</v>
      </c>
      <c r="E2846" s="8">
        <f>E2844-F2846</f>
        <v>4.442837776058937</v>
      </c>
      <c r="F2846" s="6">
        <f>P2845</f>
        <v>5.1975051975051978E-3</v>
      </c>
      <c r="G2846" s="12">
        <f t="shared" si="699"/>
        <v>4.0162223941062614E-2</v>
      </c>
      <c r="H2846" s="3">
        <f>B2844</f>
        <v>51480</v>
      </c>
      <c r="I2846" s="3">
        <f>B2929</f>
        <v>52900</v>
      </c>
      <c r="J2846" s="3">
        <f>I2846-H2846</f>
        <v>1420</v>
      </c>
      <c r="K2846" s="5">
        <f>E2844</f>
        <v>4.4480352812564421</v>
      </c>
      <c r="L2846" s="3">
        <f>C2929</f>
        <v>4.0789999999999997</v>
      </c>
      <c r="M2846" s="5">
        <f>L2846-K2846</f>
        <v>-0.36903528125644236</v>
      </c>
      <c r="N2846" s="3">
        <f>J2846/M2846</f>
        <v>-3847.870575315651</v>
      </c>
      <c r="O2846" s="3">
        <v>3848</v>
      </c>
    </row>
    <row r="2847" spans="1:18" x14ac:dyDescent="0.3">
      <c r="A2847" s="11" t="s">
        <v>2680</v>
      </c>
      <c r="B2847" s="7">
        <v>51520</v>
      </c>
      <c r="C2847" s="7">
        <v>4.5339999999999998</v>
      </c>
      <c r="D2847" s="2">
        <f t="shared" si="703"/>
        <v>5.1000000000000156E-2</v>
      </c>
      <c r="E2847" s="8">
        <f>E2846-F2846</f>
        <v>4.437640270861432</v>
      </c>
      <c r="F2847" s="6">
        <f t="shared" si="697"/>
        <v>5.1975051975051978E-3</v>
      </c>
      <c r="G2847" s="12">
        <f t="shared" si="699"/>
        <v>9.6359729138567829E-2</v>
      </c>
    </row>
    <row r="2848" spans="1:18" x14ac:dyDescent="0.3">
      <c r="A2848" s="11" t="s">
        <v>2681</v>
      </c>
      <c r="B2848" s="7">
        <v>51540</v>
      </c>
      <c r="C2848" s="7">
        <v>4.5229999999999997</v>
      </c>
      <c r="D2848" s="2">
        <f t="shared" si="703"/>
        <v>-1.1000000000000121E-2</v>
      </c>
      <c r="E2848" s="8">
        <f>E2847-F2847</f>
        <v>4.4324427656639269</v>
      </c>
      <c r="F2848" s="6">
        <f t="shared" si="697"/>
        <v>5.1975051975051978E-3</v>
      </c>
      <c r="G2848" s="12">
        <f t="shared" ref="G2848:G2881" si="704">C2848-E2848</f>
        <v>9.0557234336072767E-2</v>
      </c>
    </row>
    <row r="2849" spans="1:7" x14ac:dyDescent="0.3">
      <c r="A2849" s="11" t="s">
        <v>3252</v>
      </c>
      <c r="B2849" s="62" t="s">
        <v>3251</v>
      </c>
      <c r="C2849" s="63"/>
      <c r="D2849" s="63"/>
      <c r="E2849" s="63"/>
      <c r="F2849" s="63"/>
      <c r="G2849" s="64"/>
    </row>
    <row r="2850" spans="1:7" x14ac:dyDescent="0.3">
      <c r="A2850" s="11" t="s">
        <v>2682</v>
      </c>
      <c r="B2850" s="7">
        <v>51560</v>
      </c>
      <c r="C2850" s="7">
        <v>4.5309999999999997</v>
      </c>
      <c r="D2850" s="2">
        <f>C2850-C2848</f>
        <v>8.0000000000000071E-3</v>
      </c>
      <c r="E2850" s="8">
        <f>E2848-F2848</f>
        <v>4.4272452604664219</v>
      </c>
      <c r="F2850" s="6">
        <f>F2848</f>
        <v>5.1975051975051978E-3</v>
      </c>
      <c r="G2850" s="12">
        <f t="shared" si="704"/>
        <v>0.10375473953357783</v>
      </c>
    </row>
    <row r="2851" spans="1:7" x14ac:dyDescent="0.3">
      <c r="A2851" s="21"/>
      <c r="B2851" s="22"/>
      <c r="C2851" s="22"/>
      <c r="D2851" s="22"/>
      <c r="E2851" s="22"/>
      <c r="F2851" s="22"/>
      <c r="G2851" s="23"/>
    </row>
    <row r="2852" spans="1:7" x14ac:dyDescent="0.3">
      <c r="A2852" s="11" t="s">
        <v>2683</v>
      </c>
      <c r="B2852" s="7">
        <v>51580</v>
      </c>
      <c r="C2852" s="7">
        <v>4.5090000000000003</v>
      </c>
      <c r="D2852" s="2">
        <f>C2852-C2850</f>
        <v>-2.1999999999999353E-2</v>
      </c>
      <c r="E2852" s="8">
        <f>E2850-F2852</f>
        <v>4.4220477552689168</v>
      </c>
      <c r="F2852" s="6">
        <f>P2845</f>
        <v>5.1975051975051978E-3</v>
      </c>
      <c r="G2852" s="12">
        <f>C2852-E2852</f>
        <v>8.6952244731083539E-2</v>
      </c>
    </row>
    <row r="2853" spans="1:7" x14ac:dyDescent="0.3">
      <c r="A2853" s="11" t="s">
        <v>2684</v>
      </c>
      <c r="B2853" s="7">
        <v>51600</v>
      </c>
      <c r="C2853" s="7">
        <v>4.4950000000000001</v>
      </c>
      <c r="D2853" s="2">
        <f t="shared" si="703"/>
        <v>-1.4000000000000234E-2</v>
      </c>
      <c r="E2853" s="8">
        <f>E2852-F2852</f>
        <v>4.4168502500714117</v>
      </c>
      <c r="F2853" s="6">
        <f t="shared" ref="F2853" si="705">F2852</f>
        <v>5.1975051975051978E-3</v>
      </c>
      <c r="G2853" s="12">
        <f t="shared" ref="G2853" si="706">C2853-E2853</f>
        <v>7.8149749928588363E-2</v>
      </c>
    </row>
    <row r="2854" spans="1:7" x14ac:dyDescent="0.3">
      <c r="A2854" s="11" t="s">
        <v>2685</v>
      </c>
      <c r="B2854" s="7">
        <v>51620</v>
      </c>
      <c r="C2854" s="7">
        <v>4.4770000000000003</v>
      </c>
      <c r="D2854" s="2">
        <f t="shared" si="703"/>
        <v>-1.7999999999999794E-2</v>
      </c>
      <c r="E2854" s="8">
        <f t="shared" ref="E2854:E2881" si="707">E2853-F2853</f>
        <v>4.4116527448739067</v>
      </c>
      <c r="F2854" s="6">
        <f t="shared" ref="F2854:F2926" si="708">F2853</f>
        <v>5.1975051975051978E-3</v>
      </c>
      <c r="G2854" s="12">
        <f t="shared" si="704"/>
        <v>6.5347255126093629E-2</v>
      </c>
    </row>
    <row r="2855" spans="1:7" x14ac:dyDescent="0.3">
      <c r="A2855" s="11" t="s">
        <v>3253</v>
      </c>
      <c r="B2855" s="62" t="s">
        <v>3222</v>
      </c>
      <c r="C2855" s="63"/>
      <c r="D2855" s="63"/>
      <c r="E2855" s="63"/>
      <c r="F2855" s="63"/>
      <c r="G2855" s="64"/>
    </row>
    <row r="2856" spans="1:7" x14ac:dyDescent="0.3">
      <c r="A2856" s="11" t="s">
        <v>2686</v>
      </c>
      <c r="B2856" s="7">
        <v>51640</v>
      </c>
      <c r="C2856" s="7">
        <v>4.46</v>
      </c>
      <c r="D2856" s="2">
        <f>C2856-C2854</f>
        <v>-1.7000000000000348E-2</v>
      </c>
      <c r="E2856" s="8">
        <f>E2854-F2854</f>
        <v>4.4064552396764016</v>
      </c>
      <c r="F2856" s="6">
        <f>F2854</f>
        <v>5.1975051975051978E-3</v>
      </c>
      <c r="G2856" s="12">
        <f t="shared" si="704"/>
        <v>5.3544760323598339E-2</v>
      </c>
    </row>
    <row r="2857" spans="1:7" x14ac:dyDescent="0.3">
      <c r="A2857" s="11" t="s">
        <v>2687</v>
      </c>
      <c r="B2857" s="7">
        <v>51660</v>
      </c>
      <c r="C2857" s="7">
        <v>4.4210000000000003</v>
      </c>
      <c r="D2857" s="2">
        <f t="shared" si="703"/>
        <v>-3.8999999999999702E-2</v>
      </c>
      <c r="E2857" s="8">
        <f t="shared" si="707"/>
        <v>4.4012577344788966</v>
      </c>
      <c r="F2857" s="6">
        <f t="shared" si="708"/>
        <v>5.1975051975051978E-3</v>
      </c>
      <c r="G2857" s="12">
        <f t="shared" si="704"/>
        <v>1.9742265521103697E-2</v>
      </c>
    </row>
    <row r="2858" spans="1:7" x14ac:dyDescent="0.3">
      <c r="A2858" s="11" t="s">
        <v>3254</v>
      </c>
      <c r="B2858" s="62" t="s">
        <v>3255</v>
      </c>
      <c r="C2858" s="63"/>
      <c r="D2858" s="63"/>
      <c r="E2858" s="63"/>
      <c r="F2858" s="63"/>
      <c r="G2858" s="64"/>
    </row>
    <row r="2859" spans="1:7" x14ac:dyDescent="0.3">
      <c r="A2859" s="11" t="s">
        <v>2688</v>
      </c>
      <c r="B2859" s="7">
        <v>51680</v>
      </c>
      <c r="C2859" s="7">
        <v>4.41</v>
      </c>
      <c r="D2859" s="2">
        <f>C2859-C2857</f>
        <v>-1.1000000000000121E-2</v>
      </c>
      <c r="E2859" s="8">
        <f>E2857-F2857</f>
        <v>4.3960602292813915</v>
      </c>
      <c r="F2859" s="6">
        <f>F2857</f>
        <v>5.1975051975051978E-3</v>
      </c>
      <c r="G2859" s="12">
        <f t="shared" si="704"/>
        <v>1.3939770718608635E-2</v>
      </c>
    </row>
    <row r="2860" spans="1:7" x14ac:dyDescent="0.3">
      <c r="A2860" s="11" t="s">
        <v>2689</v>
      </c>
      <c r="B2860" s="7">
        <v>51700</v>
      </c>
      <c r="C2860" s="7">
        <v>4.375</v>
      </c>
      <c r="D2860" s="2">
        <f t="shared" si="703"/>
        <v>-3.5000000000000142E-2</v>
      </c>
      <c r="E2860" s="8">
        <f t="shared" si="707"/>
        <v>4.3908627240838864</v>
      </c>
      <c r="F2860" s="6">
        <f t="shared" si="708"/>
        <v>5.1975051975051978E-3</v>
      </c>
      <c r="G2860" s="12">
        <f t="shared" si="704"/>
        <v>-1.5862724083886448E-2</v>
      </c>
    </row>
    <row r="2861" spans="1:7" x14ac:dyDescent="0.3">
      <c r="A2861" s="11" t="s">
        <v>2690</v>
      </c>
      <c r="B2861" s="7">
        <v>51720</v>
      </c>
      <c r="C2861" s="7">
        <v>4.3330000000000002</v>
      </c>
      <c r="D2861" s="2">
        <f t="shared" si="703"/>
        <v>-4.1999999999999815E-2</v>
      </c>
      <c r="E2861" s="8">
        <f t="shared" si="707"/>
        <v>4.3856652188863814</v>
      </c>
      <c r="F2861" s="6">
        <f t="shared" si="708"/>
        <v>5.1975051975051978E-3</v>
      </c>
      <c r="G2861" s="12">
        <f t="shared" si="704"/>
        <v>-5.2665218886381204E-2</v>
      </c>
    </row>
    <row r="2862" spans="1:7" x14ac:dyDescent="0.3">
      <c r="A2862" s="11" t="s">
        <v>2691</v>
      </c>
      <c r="B2862" s="7">
        <v>51740</v>
      </c>
      <c r="C2862" s="7">
        <v>4.3209999999999997</v>
      </c>
      <c r="D2862" s="2">
        <f t="shared" si="703"/>
        <v>-1.2000000000000455E-2</v>
      </c>
      <c r="E2862" s="8">
        <f t="shared" si="707"/>
        <v>4.3804677136888763</v>
      </c>
      <c r="F2862" s="6">
        <f t="shared" si="708"/>
        <v>5.1975051975051978E-3</v>
      </c>
      <c r="G2862" s="12">
        <f t="shared" si="704"/>
        <v>-5.94677136888766E-2</v>
      </c>
    </row>
    <row r="2863" spans="1:7" x14ac:dyDescent="0.3">
      <c r="A2863" s="11" t="s">
        <v>2692</v>
      </c>
      <c r="B2863" s="7">
        <v>51760</v>
      </c>
      <c r="C2863" s="7">
        <v>4.3150000000000004</v>
      </c>
      <c r="D2863" s="2">
        <f t="shared" si="703"/>
        <v>-5.9999999999993392E-3</v>
      </c>
      <c r="E2863" s="8">
        <f t="shared" si="707"/>
        <v>4.3752702084913713</v>
      </c>
      <c r="F2863" s="6">
        <f t="shared" si="708"/>
        <v>5.1975051975051978E-3</v>
      </c>
      <c r="G2863" s="12">
        <f t="shared" si="704"/>
        <v>-6.027020849137088E-2</v>
      </c>
    </row>
    <row r="2864" spans="1:7" x14ac:dyDescent="0.3">
      <c r="A2864" s="11" t="s">
        <v>2693</v>
      </c>
      <c r="B2864" s="7">
        <v>51780</v>
      </c>
      <c r="C2864" s="7">
        <v>4.3330000000000002</v>
      </c>
      <c r="D2864" s="2">
        <f t="shared" si="703"/>
        <v>1.7999999999999794E-2</v>
      </c>
      <c r="E2864" s="8">
        <f t="shared" si="707"/>
        <v>4.3700727032938662</v>
      </c>
      <c r="F2864" s="6">
        <f t="shared" si="708"/>
        <v>5.1975051975051978E-3</v>
      </c>
      <c r="G2864" s="12">
        <f t="shared" si="704"/>
        <v>-3.7072703293866027E-2</v>
      </c>
    </row>
    <row r="2865" spans="1:7" x14ac:dyDescent="0.3">
      <c r="A2865" s="11" t="s">
        <v>2694</v>
      </c>
      <c r="B2865" s="7">
        <v>51800</v>
      </c>
      <c r="C2865" s="7">
        <v>4.3330000000000002</v>
      </c>
      <c r="D2865" s="2">
        <f t="shared" si="703"/>
        <v>0</v>
      </c>
      <c r="E2865" s="8">
        <f t="shared" si="707"/>
        <v>4.3648751980963612</v>
      </c>
      <c r="F2865" s="6">
        <f t="shared" si="708"/>
        <v>5.1975051975051978E-3</v>
      </c>
      <c r="G2865" s="12">
        <f t="shared" si="704"/>
        <v>-3.1875198096360968E-2</v>
      </c>
    </row>
    <row r="2866" spans="1:7" x14ac:dyDescent="0.3">
      <c r="A2866" s="11" t="s">
        <v>2695</v>
      </c>
      <c r="B2866" s="7">
        <v>51820</v>
      </c>
      <c r="C2866" s="7">
        <v>4.3239999999999998</v>
      </c>
      <c r="D2866" s="2">
        <f t="shared" si="703"/>
        <v>-9.0000000000003411E-3</v>
      </c>
      <c r="E2866" s="8">
        <f t="shared" si="707"/>
        <v>4.3596776928988561</v>
      </c>
      <c r="F2866" s="6">
        <f t="shared" si="708"/>
        <v>5.1975051975051978E-3</v>
      </c>
      <c r="G2866" s="12">
        <f t="shared" si="704"/>
        <v>-3.567769289885625E-2</v>
      </c>
    </row>
    <row r="2867" spans="1:7" x14ac:dyDescent="0.3">
      <c r="A2867" s="11" t="s">
        <v>2696</v>
      </c>
      <c r="B2867" s="7">
        <v>51840</v>
      </c>
      <c r="C2867" s="7">
        <v>4.3529999999999998</v>
      </c>
      <c r="D2867" s="2">
        <f t="shared" si="703"/>
        <v>2.8999999999999915E-2</v>
      </c>
      <c r="E2867" s="8">
        <f t="shared" si="707"/>
        <v>4.354480187701351</v>
      </c>
      <c r="F2867" s="6">
        <f t="shared" si="708"/>
        <v>5.1975051975051978E-3</v>
      </c>
      <c r="G2867" s="12">
        <f t="shared" si="704"/>
        <v>-1.4801877013512765E-3</v>
      </c>
    </row>
    <row r="2868" spans="1:7" x14ac:dyDescent="0.3">
      <c r="A2868" s="11" t="s">
        <v>2697</v>
      </c>
      <c r="B2868" s="7">
        <v>51860</v>
      </c>
      <c r="C2868" s="7">
        <v>4.3559999999999999</v>
      </c>
      <c r="D2868" s="2">
        <f t="shared" si="703"/>
        <v>3.0000000000001137E-3</v>
      </c>
      <c r="E2868" s="8">
        <f t="shared" si="707"/>
        <v>4.349282682503846</v>
      </c>
      <c r="F2868" s="6">
        <f t="shared" si="708"/>
        <v>5.1975051975051978E-3</v>
      </c>
      <c r="G2868" s="12">
        <f t="shared" si="704"/>
        <v>6.7173174961538962E-3</v>
      </c>
    </row>
    <row r="2869" spans="1:7" x14ac:dyDescent="0.3">
      <c r="A2869" s="11" t="s">
        <v>2698</v>
      </c>
      <c r="B2869" s="7">
        <v>51880</v>
      </c>
      <c r="C2869" s="7">
        <v>4.3760000000000003</v>
      </c>
      <c r="D2869" s="2">
        <f t="shared" si="703"/>
        <v>2.0000000000000462E-2</v>
      </c>
      <c r="E2869" s="8">
        <f t="shared" si="707"/>
        <v>4.3440851773063409</v>
      </c>
      <c r="F2869" s="6">
        <f t="shared" si="708"/>
        <v>5.1975051975051978E-3</v>
      </c>
      <c r="G2869" s="12">
        <f t="shared" si="704"/>
        <v>3.1914822693659417E-2</v>
      </c>
    </row>
    <row r="2870" spans="1:7" x14ac:dyDescent="0.3">
      <c r="A2870" s="11" t="s">
        <v>2699</v>
      </c>
      <c r="B2870" s="7">
        <v>51900</v>
      </c>
      <c r="C2870" s="7">
        <v>4.3920000000000003</v>
      </c>
      <c r="D2870" s="2">
        <f t="shared" si="703"/>
        <v>1.6000000000000014E-2</v>
      </c>
      <c r="E2870" s="8">
        <f t="shared" si="707"/>
        <v>4.3388876721088359</v>
      </c>
      <c r="F2870" s="6">
        <f t="shared" si="708"/>
        <v>5.1975051975051978E-3</v>
      </c>
      <c r="G2870" s="12">
        <f t="shared" si="704"/>
        <v>5.311232789116449E-2</v>
      </c>
    </row>
    <row r="2871" spans="1:7" x14ac:dyDescent="0.3">
      <c r="A2871" s="11" t="s">
        <v>2700</v>
      </c>
      <c r="B2871" s="7">
        <v>51920</v>
      </c>
      <c r="C2871" s="7">
        <v>4.4130000000000003</v>
      </c>
      <c r="D2871" s="2">
        <f t="shared" si="703"/>
        <v>2.0999999999999908E-2</v>
      </c>
      <c r="E2871" s="8">
        <f t="shared" si="707"/>
        <v>4.3336901669113308</v>
      </c>
      <c r="F2871" s="6">
        <f t="shared" si="708"/>
        <v>5.1975051975051978E-3</v>
      </c>
      <c r="G2871" s="12">
        <f t="shared" si="704"/>
        <v>7.9309833088669457E-2</v>
      </c>
    </row>
    <row r="2872" spans="1:7" x14ac:dyDescent="0.3">
      <c r="A2872" s="11" t="s">
        <v>2701</v>
      </c>
      <c r="B2872" s="7">
        <v>51940</v>
      </c>
      <c r="C2872" s="7">
        <v>4.4009999999999998</v>
      </c>
      <c r="D2872" s="2">
        <f t="shared" si="703"/>
        <v>-1.2000000000000455E-2</v>
      </c>
      <c r="E2872" s="8">
        <f t="shared" si="707"/>
        <v>4.3284926617138257</v>
      </c>
      <c r="F2872" s="6">
        <f t="shared" si="708"/>
        <v>5.1975051975051978E-3</v>
      </c>
      <c r="G2872" s="12">
        <f t="shared" si="704"/>
        <v>7.2507338286174061E-2</v>
      </c>
    </row>
    <row r="2873" spans="1:7" x14ac:dyDescent="0.3">
      <c r="A2873" s="11" t="s">
        <v>2702</v>
      </c>
      <c r="B2873" s="7">
        <v>51960</v>
      </c>
      <c r="C2873" s="7">
        <v>4.4089999999999998</v>
      </c>
      <c r="D2873" s="2">
        <f t="shared" si="703"/>
        <v>8.0000000000000071E-3</v>
      </c>
      <c r="E2873" s="8">
        <f t="shared" si="707"/>
        <v>4.3232951565163207</v>
      </c>
      <c r="F2873" s="6">
        <f t="shared" si="708"/>
        <v>5.1975051975051978E-3</v>
      </c>
      <c r="G2873" s="12">
        <f t="shared" si="704"/>
        <v>8.5704843483679127E-2</v>
      </c>
    </row>
    <row r="2874" spans="1:7" x14ac:dyDescent="0.3">
      <c r="A2874" s="13" t="s">
        <v>2703</v>
      </c>
      <c r="B2874" s="24"/>
      <c r="C2874" s="25"/>
      <c r="D2874" s="25"/>
      <c r="E2874" s="25"/>
      <c r="F2874" s="20"/>
      <c r="G2874" s="26"/>
    </row>
    <row r="2875" spans="1:7" x14ac:dyDescent="0.3">
      <c r="A2875" s="11" t="s">
        <v>2704</v>
      </c>
      <c r="B2875" s="7">
        <v>51980</v>
      </c>
      <c r="C2875" s="7">
        <v>4.383</v>
      </c>
      <c r="D2875" s="2">
        <f>C2875-C2873</f>
        <v>-2.5999999999999801E-2</v>
      </c>
      <c r="E2875" s="8">
        <f>E2873-F2873</f>
        <v>4.3180976513188156</v>
      </c>
      <c r="F2875" s="6">
        <f>F2873</f>
        <v>5.1975051975051978E-3</v>
      </c>
      <c r="G2875" s="12">
        <f t="shared" si="704"/>
        <v>6.4902348681184385E-2</v>
      </c>
    </row>
    <row r="2876" spans="1:7" x14ac:dyDescent="0.3">
      <c r="A2876" s="11" t="s">
        <v>2705</v>
      </c>
      <c r="B2876" s="7">
        <v>52000</v>
      </c>
      <c r="C2876" s="7">
        <v>4.4219999999999997</v>
      </c>
      <c r="D2876" s="2">
        <f t="shared" si="703"/>
        <v>3.8999999999999702E-2</v>
      </c>
      <c r="E2876" s="8">
        <f t="shared" si="707"/>
        <v>4.3129001461213106</v>
      </c>
      <c r="F2876" s="6">
        <f t="shared" si="708"/>
        <v>5.1975051975051978E-3</v>
      </c>
      <c r="G2876" s="12">
        <f t="shared" si="704"/>
        <v>0.10909985387868915</v>
      </c>
    </row>
    <row r="2877" spans="1:7" x14ac:dyDescent="0.3">
      <c r="A2877" s="11" t="s">
        <v>2706</v>
      </c>
      <c r="B2877" s="7">
        <v>52020</v>
      </c>
      <c r="C2877" s="7">
        <v>4.4119999999999999</v>
      </c>
      <c r="D2877" s="2">
        <f t="shared" si="703"/>
        <v>-9.9999999999997868E-3</v>
      </c>
      <c r="E2877" s="8">
        <f t="shared" si="707"/>
        <v>4.3077026409238055</v>
      </c>
      <c r="F2877" s="6">
        <f t="shared" si="708"/>
        <v>5.1975051975051978E-3</v>
      </c>
      <c r="G2877" s="12">
        <f t="shared" si="704"/>
        <v>0.10429735907619442</v>
      </c>
    </row>
    <row r="2878" spans="1:7" x14ac:dyDescent="0.3">
      <c r="A2878" s="11" t="s">
        <v>3262</v>
      </c>
      <c r="B2878" s="62" t="s">
        <v>3261</v>
      </c>
      <c r="C2878" s="63"/>
      <c r="D2878" s="63"/>
      <c r="E2878" s="63"/>
      <c r="F2878" s="63"/>
      <c r="G2878" s="64"/>
    </row>
    <row r="2879" spans="1:7" x14ac:dyDescent="0.3">
      <c r="A2879" s="11" t="s">
        <v>2707</v>
      </c>
      <c r="B2879" s="7">
        <v>52040</v>
      </c>
      <c r="C2879" s="7">
        <v>4.399</v>
      </c>
      <c r="D2879" s="2">
        <f>C2879-C2877</f>
        <v>-1.2999999999999901E-2</v>
      </c>
      <c r="E2879" s="8">
        <f>E2877-F2877</f>
        <v>4.3025051357263004</v>
      </c>
      <c r="F2879" s="6">
        <f>F2877</f>
        <v>5.1975051975051978E-3</v>
      </c>
      <c r="G2879" s="12">
        <f t="shared" si="704"/>
        <v>9.6494864273699577E-2</v>
      </c>
    </row>
    <row r="2880" spans="1:7" x14ac:dyDescent="0.3">
      <c r="A2880" s="11" t="s">
        <v>2708</v>
      </c>
      <c r="B2880" s="7">
        <v>52060</v>
      </c>
      <c r="C2880" s="7">
        <v>4.3739999999999997</v>
      </c>
      <c r="D2880" s="2">
        <f t="shared" si="703"/>
        <v>-2.5000000000000355E-2</v>
      </c>
      <c r="E2880" s="8">
        <f t="shared" si="707"/>
        <v>4.2973076305287954</v>
      </c>
      <c r="F2880" s="6">
        <f t="shared" si="708"/>
        <v>5.1975051975051978E-3</v>
      </c>
      <c r="G2880" s="12">
        <f t="shared" si="704"/>
        <v>7.669236947120428E-2</v>
      </c>
    </row>
    <row r="2881" spans="1:7" x14ac:dyDescent="0.3">
      <c r="A2881" s="11" t="s">
        <v>2709</v>
      </c>
      <c r="B2881" s="7">
        <v>52080</v>
      </c>
      <c r="C2881" s="7">
        <v>4.351</v>
      </c>
      <c r="D2881" s="2">
        <f t="shared" si="703"/>
        <v>-2.2999999999999687E-2</v>
      </c>
      <c r="E2881" s="8">
        <f t="shared" si="707"/>
        <v>4.2921101253312903</v>
      </c>
      <c r="F2881" s="6">
        <f t="shared" si="708"/>
        <v>5.1975051975051978E-3</v>
      </c>
      <c r="G2881" s="12">
        <f t="shared" si="704"/>
        <v>5.8889874668709652E-2</v>
      </c>
    </row>
    <row r="2882" spans="1:7" x14ac:dyDescent="0.3">
      <c r="A2882" s="11" t="s">
        <v>2710</v>
      </c>
      <c r="B2882" s="7">
        <v>52100</v>
      </c>
      <c r="C2882" s="7">
        <v>4.3330000000000002</v>
      </c>
      <c r="D2882" s="2">
        <f t="shared" si="703"/>
        <v>-1.7999999999999794E-2</v>
      </c>
      <c r="E2882" s="8">
        <f t="shared" ref="E2882:E2910" si="709">E2881-F2881</f>
        <v>4.2869126201337853</v>
      </c>
      <c r="F2882" s="6">
        <f t="shared" si="708"/>
        <v>5.1975051975051978E-3</v>
      </c>
      <c r="G2882" s="12">
        <f t="shared" ref="G2882:G2910" si="710">C2882-E2882</f>
        <v>4.6087379866214917E-2</v>
      </c>
    </row>
    <row r="2883" spans="1:7" x14ac:dyDescent="0.3">
      <c r="A2883" s="11" t="s">
        <v>2711</v>
      </c>
      <c r="B2883" s="7">
        <v>52120</v>
      </c>
      <c r="C2883" s="7">
        <v>4.3250000000000002</v>
      </c>
      <c r="D2883" s="2">
        <f t="shared" si="703"/>
        <v>-8.0000000000000071E-3</v>
      </c>
      <c r="E2883" s="8">
        <f t="shared" si="709"/>
        <v>4.2817151149362802</v>
      </c>
      <c r="F2883" s="6">
        <f t="shared" si="708"/>
        <v>5.1975051975051978E-3</v>
      </c>
      <c r="G2883" s="12">
        <f t="shared" si="710"/>
        <v>4.3284885063719969E-2</v>
      </c>
    </row>
    <row r="2884" spans="1:7" x14ac:dyDescent="0.3">
      <c r="A2884" s="11" t="s">
        <v>2712</v>
      </c>
      <c r="B2884" s="7">
        <v>52140</v>
      </c>
      <c r="C2884" s="7">
        <v>4.3159999999999998</v>
      </c>
      <c r="D2884" s="2">
        <f t="shared" si="703"/>
        <v>-9.0000000000003411E-3</v>
      </c>
      <c r="E2884" s="8">
        <f t="shared" si="709"/>
        <v>4.2765176097387751</v>
      </c>
      <c r="F2884" s="6">
        <f t="shared" si="708"/>
        <v>5.1975051975051978E-3</v>
      </c>
      <c r="G2884" s="12">
        <f t="shared" si="710"/>
        <v>3.9482390261224687E-2</v>
      </c>
    </row>
    <row r="2885" spans="1:7" x14ac:dyDescent="0.3">
      <c r="A2885" s="11" t="s">
        <v>2713</v>
      </c>
      <c r="B2885" s="7">
        <v>52160</v>
      </c>
      <c r="C2885" s="7">
        <v>4.3090000000000002</v>
      </c>
      <c r="D2885" s="2">
        <f t="shared" si="703"/>
        <v>-6.9999999999996732E-3</v>
      </c>
      <c r="E2885" s="8">
        <f t="shared" si="709"/>
        <v>4.2713201045412701</v>
      </c>
      <c r="F2885" s="6">
        <f t="shared" si="708"/>
        <v>5.1975051975051978E-3</v>
      </c>
      <c r="G2885" s="12">
        <f t="shared" si="710"/>
        <v>3.7679895458730073E-2</v>
      </c>
    </row>
    <row r="2886" spans="1:7" x14ac:dyDescent="0.3">
      <c r="A2886" s="11" t="s">
        <v>2714</v>
      </c>
      <c r="B2886" s="7">
        <v>52180</v>
      </c>
      <c r="C2886" s="7">
        <v>4.319</v>
      </c>
      <c r="D2886" s="2">
        <f t="shared" si="703"/>
        <v>9.9999999999997868E-3</v>
      </c>
      <c r="E2886" s="8">
        <f t="shared" si="709"/>
        <v>4.266122599343765</v>
      </c>
      <c r="F2886" s="6">
        <f t="shared" si="708"/>
        <v>5.1975051975051978E-3</v>
      </c>
      <c r="G2886" s="12">
        <f t="shared" si="710"/>
        <v>5.2877400656234919E-2</v>
      </c>
    </row>
    <row r="2887" spans="1:7" x14ac:dyDescent="0.3">
      <c r="A2887" s="11" t="s">
        <v>2715</v>
      </c>
      <c r="B2887" s="7">
        <v>52200</v>
      </c>
      <c r="C2887" s="7">
        <v>4.3570000000000002</v>
      </c>
      <c r="D2887" s="2">
        <f t="shared" si="703"/>
        <v>3.8000000000000256E-2</v>
      </c>
      <c r="E2887" s="8">
        <f t="shared" si="709"/>
        <v>4.26092509414626</v>
      </c>
      <c r="F2887" s="6">
        <f t="shared" si="708"/>
        <v>5.1975051975051978E-3</v>
      </c>
      <c r="G2887" s="12">
        <f t="shared" si="710"/>
        <v>9.6074905853740233E-2</v>
      </c>
    </row>
    <row r="2888" spans="1:7" x14ac:dyDescent="0.3">
      <c r="A2888" s="11" t="s">
        <v>2716</v>
      </c>
      <c r="B2888" s="7">
        <v>52220</v>
      </c>
      <c r="C2888" s="7">
        <v>4.38</v>
      </c>
      <c r="D2888" s="2">
        <f t="shared" si="703"/>
        <v>2.2999999999999687E-2</v>
      </c>
      <c r="E2888" s="8">
        <f t="shared" si="709"/>
        <v>4.2557275889487549</v>
      </c>
      <c r="F2888" s="6">
        <f t="shared" si="708"/>
        <v>5.1975051975051978E-3</v>
      </c>
      <c r="G2888" s="12">
        <f t="shared" si="710"/>
        <v>0.12427241105124498</v>
      </c>
    </row>
    <row r="2889" spans="1:7" x14ac:dyDescent="0.3">
      <c r="A2889" s="11" t="s">
        <v>2717</v>
      </c>
      <c r="B2889" s="7">
        <v>52240</v>
      </c>
      <c r="C2889" s="7">
        <v>4.3949999999999996</v>
      </c>
      <c r="D2889" s="2">
        <f t="shared" si="703"/>
        <v>1.499999999999968E-2</v>
      </c>
      <c r="E2889" s="8">
        <f t="shared" si="709"/>
        <v>4.2505300837512499</v>
      </c>
      <c r="F2889" s="6">
        <f t="shared" si="708"/>
        <v>5.1975051975051978E-3</v>
      </c>
      <c r="G2889" s="12">
        <f t="shared" si="710"/>
        <v>0.14446991624874972</v>
      </c>
    </row>
    <row r="2890" spans="1:7" x14ac:dyDescent="0.3">
      <c r="A2890" s="11" t="s">
        <v>2718</v>
      </c>
      <c r="B2890" s="7">
        <v>52260</v>
      </c>
      <c r="C2890" s="7">
        <v>4.4169999999999998</v>
      </c>
      <c r="D2890" s="2">
        <f t="shared" si="703"/>
        <v>2.2000000000000242E-2</v>
      </c>
      <c r="E2890" s="8">
        <f t="shared" si="709"/>
        <v>4.2453325785537448</v>
      </c>
      <c r="F2890" s="6">
        <f t="shared" si="708"/>
        <v>5.1975051975051978E-3</v>
      </c>
      <c r="G2890" s="12">
        <f t="shared" si="710"/>
        <v>0.17166742144625502</v>
      </c>
    </row>
    <row r="2891" spans="1:7" x14ac:dyDescent="0.3">
      <c r="A2891" s="11" t="s">
        <v>3464</v>
      </c>
      <c r="B2891" s="70" t="s">
        <v>3465</v>
      </c>
      <c r="C2891" s="7"/>
      <c r="D2891" s="2"/>
      <c r="E2891" s="8"/>
      <c r="F2891" s="6"/>
      <c r="G2891" s="12"/>
    </row>
    <row r="2892" spans="1:7" x14ac:dyDescent="0.3">
      <c r="A2892" s="11" t="s">
        <v>2719</v>
      </c>
      <c r="B2892" s="7">
        <v>52280</v>
      </c>
      <c r="C2892" s="7">
        <v>4.4249999999999998</v>
      </c>
      <c r="D2892" s="2">
        <f>C2892-C2890</f>
        <v>8.0000000000000071E-3</v>
      </c>
      <c r="E2892" s="8">
        <f>E2890-F2890</f>
        <v>4.2401350733562397</v>
      </c>
      <c r="F2892" s="6">
        <f>F2890</f>
        <v>5.1975051975051978E-3</v>
      </c>
      <c r="G2892" s="12">
        <f t="shared" si="710"/>
        <v>0.18486492664376009</v>
      </c>
    </row>
    <row r="2893" spans="1:7" x14ac:dyDescent="0.3">
      <c r="A2893" s="11" t="s">
        <v>2720</v>
      </c>
      <c r="B2893" s="7">
        <v>52300</v>
      </c>
      <c r="C2893" s="7">
        <v>4.41</v>
      </c>
      <c r="D2893" s="2">
        <f t="shared" si="703"/>
        <v>-1.499999999999968E-2</v>
      </c>
      <c r="E2893" s="8">
        <f t="shared" si="709"/>
        <v>4.2349375681587347</v>
      </c>
      <c r="F2893" s="6">
        <f t="shared" si="708"/>
        <v>5.1975051975051978E-3</v>
      </c>
      <c r="G2893" s="12">
        <f t="shared" si="710"/>
        <v>0.17506243184126546</v>
      </c>
    </row>
    <row r="2894" spans="1:7" x14ac:dyDescent="0.3">
      <c r="A2894" s="11" t="s">
        <v>2721</v>
      </c>
      <c r="B2894" s="7">
        <v>52320</v>
      </c>
      <c r="C2894" s="7">
        <v>4.3869999999999996</v>
      </c>
      <c r="D2894" s="2">
        <f t="shared" si="703"/>
        <v>-2.3000000000000576E-2</v>
      </c>
      <c r="E2894" s="8">
        <f t="shared" si="709"/>
        <v>4.2297400629612296</v>
      </c>
      <c r="F2894" s="6">
        <f t="shared" si="708"/>
        <v>5.1975051975051978E-3</v>
      </c>
      <c r="G2894" s="12">
        <f t="shared" si="710"/>
        <v>0.15725993703876995</v>
      </c>
    </row>
    <row r="2895" spans="1:7" x14ac:dyDescent="0.3">
      <c r="A2895" s="11" t="s">
        <v>3466</v>
      </c>
      <c r="B2895" s="70" t="s">
        <v>3467</v>
      </c>
      <c r="C2895" s="7"/>
      <c r="D2895" s="2"/>
      <c r="E2895" s="8"/>
      <c r="F2895" s="6"/>
      <c r="G2895" s="12"/>
    </row>
    <row r="2896" spans="1:7" x14ac:dyDescent="0.3">
      <c r="A2896" s="11" t="s">
        <v>2722</v>
      </c>
      <c r="B2896" s="7">
        <v>52340</v>
      </c>
      <c r="C2896" s="7">
        <v>4.34</v>
      </c>
      <c r="D2896" s="2">
        <f>C2896-C2894</f>
        <v>-4.6999999999999709E-2</v>
      </c>
      <c r="E2896" s="8">
        <f>E2894-F2894</f>
        <v>4.2245425577637246</v>
      </c>
      <c r="F2896" s="6">
        <f>F2894</f>
        <v>5.1975051975051978E-3</v>
      </c>
      <c r="G2896" s="12">
        <f t="shared" si="710"/>
        <v>0.1154574422362753</v>
      </c>
    </row>
    <row r="2897" spans="1:7" x14ac:dyDescent="0.3">
      <c r="A2897" s="11" t="s">
        <v>2723</v>
      </c>
      <c r="B2897" s="7">
        <v>52360</v>
      </c>
      <c r="C2897" s="7">
        <v>4.3170000000000002</v>
      </c>
      <c r="D2897" s="2">
        <f t="shared" si="703"/>
        <v>-2.2999999999999687E-2</v>
      </c>
      <c r="E2897" s="8">
        <f t="shared" si="709"/>
        <v>4.2193450525662195</v>
      </c>
      <c r="F2897" s="6">
        <f t="shared" si="708"/>
        <v>5.1975051975051978E-3</v>
      </c>
      <c r="G2897" s="12">
        <f t="shared" si="710"/>
        <v>9.765494743378067E-2</v>
      </c>
    </row>
    <row r="2898" spans="1:7" x14ac:dyDescent="0.3">
      <c r="A2898" s="11" t="s">
        <v>2724</v>
      </c>
      <c r="B2898" s="7">
        <v>52380</v>
      </c>
      <c r="C2898" s="7">
        <v>4.2709999999999999</v>
      </c>
      <c r="D2898" s="2">
        <f t="shared" si="703"/>
        <v>-4.6000000000000263E-2</v>
      </c>
      <c r="E2898" s="8">
        <f t="shared" si="709"/>
        <v>4.2141475473687144</v>
      </c>
      <c r="F2898" s="6">
        <f t="shared" si="708"/>
        <v>5.1975051975051978E-3</v>
      </c>
      <c r="G2898" s="12">
        <f t="shared" si="710"/>
        <v>5.6852452631285466E-2</v>
      </c>
    </row>
    <row r="2899" spans="1:7" x14ac:dyDescent="0.3">
      <c r="A2899" s="11" t="s">
        <v>2725</v>
      </c>
      <c r="B2899" s="7">
        <v>52400</v>
      </c>
      <c r="C2899" s="7">
        <v>4.2329999999999997</v>
      </c>
      <c r="D2899" s="2">
        <f t="shared" si="703"/>
        <v>-3.8000000000000256E-2</v>
      </c>
      <c r="E2899" s="8">
        <f t="shared" si="709"/>
        <v>4.2089500421712094</v>
      </c>
      <c r="F2899" s="6">
        <f t="shared" si="708"/>
        <v>5.1975051975051978E-3</v>
      </c>
      <c r="G2899" s="12">
        <f t="shared" si="710"/>
        <v>2.4049957828790269E-2</v>
      </c>
    </row>
    <row r="2900" spans="1:7" x14ac:dyDescent="0.3">
      <c r="A2900" s="11" t="s">
        <v>2726</v>
      </c>
      <c r="B2900" s="7">
        <v>52420</v>
      </c>
      <c r="C2900" s="7">
        <v>4.22</v>
      </c>
      <c r="D2900" s="2">
        <f t="shared" si="703"/>
        <v>-1.2999999999999901E-2</v>
      </c>
      <c r="E2900" s="8">
        <f t="shared" si="709"/>
        <v>4.2037525369737043</v>
      </c>
      <c r="F2900" s="6">
        <f t="shared" si="708"/>
        <v>5.1975051975051978E-3</v>
      </c>
      <c r="G2900" s="12">
        <f t="shared" si="710"/>
        <v>1.6247463026295428E-2</v>
      </c>
    </row>
    <row r="2901" spans="1:7" x14ac:dyDescent="0.3">
      <c r="A2901" s="11" t="s">
        <v>2727</v>
      </c>
      <c r="B2901" s="7">
        <v>52440</v>
      </c>
      <c r="C2901" s="7">
        <v>4.1989999999999998</v>
      </c>
      <c r="D2901" s="2">
        <f t="shared" si="703"/>
        <v>-2.0999999999999908E-2</v>
      </c>
      <c r="E2901" s="8">
        <f t="shared" si="709"/>
        <v>4.1985550317761993</v>
      </c>
      <c r="F2901" s="6">
        <f t="shared" si="708"/>
        <v>5.1975051975051978E-3</v>
      </c>
      <c r="G2901" s="12">
        <f t="shared" si="710"/>
        <v>4.4496822380057921E-4</v>
      </c>
    </row>
    <row r="2902" spans="1:7" x14ac:dyDescent="0.3">
      <c r="A2902" s="11" t="s">
        <v>2728</v>
      </c>
      <c r="B2902" s="7">
        <v>52460</v>
      </c>
      <c r="C2902" s="7">
        <v>4.2030000000000003</v>
      </c>
      <c r="D2902" s="2">
        <f t="shared" si="703"/>
        <v>4.0000000000004476E-3</v>
      </c>
      <c r="E2902" s="8">
        <f t="shared" si="709"/>
        <v>4.1933575265786942</v>
      </c>
      <c r="F2902" s="6">
        <f t="shared" si="708"/>
        <v>5.1975051975051978E-3</v>
      </c>
      <c r="G2902" s="12">
        <f t="shared" si="710"/>
        <v>9.6424734213060859E-3</v>
      </c>
    </row>
    <row r="2903" spans="1:7" x14ac:dyDescent="0.3">
      <c r="A2903" s="11" t="s">
        <v>2729</v>
      </c>
      <c r="B2903" s="7">
        <v>52480</v>
      </c>
      <c r="C2903" s="7">
        <v>4.194</v>
      </c>
      <c r="D2903" s="2">
        <f t="shared" si="703"/>
        <v>-9.0000000000003411E-3</v>
      </c>
      <c r="E2903" s="8">
        <f t="shared" si="709"/>
        <v>4.1881600213811891</v>
      </c>
      <c r="F2903" s="6">
        <f t="shared" si="708"/>
        <v>5.1975051975051978E-3</v>
      </c>
      <c r="G2903" s="12">
        <f t="shared" si="710"/>
        <v>5.8399786188108038E-3</v>
      </c>
    </row>
    <row r="2904" spans="1:7" x14ac:dyDescent="0.3">
      <c r="A2904" s="11" t="s">
        <v>2730</v>
      </c>
      <c r="B2904" s="7">
        <v>52500</v>
      </c>
      <c r="C2904" s="7">
        <v>4.1909999999999998</v>
      </c>
      <c r="D2904" s="2">
        <f t="shared" si="703"/>
        <v>-3.0000000000001137E-3</v>
      </c>
      <c r="E2904" s="8">
        <f t="shared" si="709"/>
        <v>4.1829625161836841</v>
      </c>
      <c r="F2904" s="6">
        <f t="shared" si="708"/>
        <v>5.1975051975051978E-3</v>
      </c>
      <c r="G2904" s="12">
        <f t="shared" si="710"/>
        <v>8.0374838163157492E-3</v>
      </c>
    </row>
    <row r="2905" spans="1:7" x14ac:dyDescent="0.3">
      <c r="A2905" s="11" t="s">
        <v>2731</v>
      </c>
      <c r="B2905" s="7">
        <v>52520</v>
      </c>
      <c r="C2905" s="7">
        <v>4.1840000000000002</v>
      </c>
      <c r="D2905" s="2">
        <f t="shared" ref="D2905:D2975" si="711">C2905-C2904</f>
        <v>-6.9999999999996732E-3</v>
      </c>
      <c r="E2905" s="8">
        <f t="shared" si="709"/>
        <v>4.177765010986179</v>
      </c>
      <c r="F2905" s="6">
        <f t="shared" si="708"/>
        <v>5.1975051975051978E-3</v>
      </c>
      <c r="G2905" s="12">
        <f t="shared" si="710"/>
        <v>6.234989013821135E-3</v>
      </c>
    </row>
    <row r="2906" spans="1:7" x14ac:dyDescent="0.3">
      <c r="A2906" s="11" t="s">
        <v>2732</v>
      </c>
      <c r="B2906" s="7">
        <v>52540</v>
      </c>
      <c r="C2906" s="7">
        <v>4.1760000000000002</v>
      </c>
      <c r="D2906" s="2">
        <f t="shared" si="711"/>
        <v>-8.0000000000000071E-3</v>
      </c>
      <c r="E2906" s="8">
        <f t="shared" si="709"/>
        <v>4.172567505788674</v>
      </c>
      <c r="F2906" s="6">
        <f t="shared" si="708"/>
        <v>5.1975051975051978E-3</v>
      </c>
      <c r="G2906" s="12">
        <f t="shared" si="710"/>
        <v>3.4324942113261869E-3</v>
      </c>
    </row>
    <row r="2907" spans="1:7" x14ac:dyDescent="0.3">
      <c r="A2907" s="11" t="s">
        <v>2733</v>
      </c>
      <c r="B2907" s="7">
        <v>52560</v>
      </c>
      <c r="C2907" s="7">
        <v>4.1820000000000004</v>
      </c>
      <c r="D2907" s="2">
        <f t="shared" si="711"/>
        <v>6.0000000000002274E-3</v>
      </c>
      <c r="E2907" s="8">
        <f t="shared" si="709"/>
        <v>4.1673700005911689</v>
      </c>
      <c r="F2907" s="6">
        <f t="shared" si="708"/>
        <v>5.1975051975051978E-3</v>
      </c>
      <c r="G2907" s="12">
        <f t="shared" si="710"/>
        <v>1.4629999408831473E-2</v>
      </c>
    </row>
    <row r="2908" spans="1:7" x14ac:dyDescent="0.3">
      <c r="A2908" s="11" t="s">
        <v>3259</v>
      </c>
      <c r="B2908" s="62" t="s">
        <v>3260</v>
      </c>
      <c r="C2908" s="63"/>
      <c r="D2908" s="63"/>
      <c r="E2908" s="63"/>
      <c r="F2908" s="63"/>
      <c r="G2908" s="64"/>
    </row>
    <row r="2909" spans="1:7" x14ac:dyDescent="0.3">
      <c r="A2909" s="11" t="s">
        <v>2734</v>
      </c>
      <c r="B2909" s="7">
        <v>52580</v>
      </c>
      <c r="C2909" s="7">
        <v>4.1900000000000004</v>
      </c>
      <c r="D2909" s="2">
        <f>C2909-C2907</f>
        <v>8.0000000000000071E-3</v>
      </c>
      <c r="E2909" s="8">
        <f>E2907-F2907</f>
        <v>4.1621724953936639</v>
      </c>
      <c r="F2909" s="6">
        <f>F2907</f>
        <v>5.1975051975051978E-3</v>
      </c>
      <c r="G2909" s="12">
        <f t="shared" si="710"/>
        <v>2.7827504606336539E-2</v>
      </c>
    </row>
    <row r="2910" spans="1:7" x14ac:dyDescent="0.3">
      <c r="A2910" s="11" t="s">
        <v>2735</v>
      </c>
      <c r="B2910" s="7">
        <v>52600</v>
      </c>
      <c r="C2910" s="7">
        <v>4.2060000000000004</v>
      </c>
      <c r="D2910" s="2">
        <f t="shared" si="711"/>
        <v>1.6000000000000014E-2</v>
      </c>
      <c r="E2910" s="8">
        <f t="shared" si="709"/>
        <v>4.1569749901961588</v>
      </c>
      <c r="F2910" s="6">
        <f t="shared" si="708"/>
        <v>5.1975051975051978E-3</v>
      </c>
      <c r="G2910" s="12">
        <f t="shared" si="710"/>
        <v>4.9025009803841613E-2</v>
      </c>
    </row>
    <row r="2911" spans="1:7" x14ac:dyDescent="0.3">
      <c r="A2911" s="11" t="s">
        <v>2736</v>
      </c>
      <c r="B2911" s="7">
        <v>52620</v>
      </c>
      <c r="C2911" s="7">
        <v>4.2149999999999999</v>
      </c>
      <c r="D2911" s="2">
        <f t="shared" si="711"/>
        <v>8.9999999999994529E-3</v>
      </c>
      <c r="E2911" s="8">
        <f t="shared" ref="E2911:E2927" si="712">E2910-F2910</f>
        <v>4.1517774849986537</v>
      </c>
      <c r="F2911" s="6">
        <f t="shared" si="708"/>
        <v>5.1975051975051978E-3</v>
      </c>
      <c r="G2911" s="12">
        <f t="shared" ref="G2911:G2935" si="713">C2911-E2911</f>
        <v>6.3222515001346125E-2</v>
      </c>
    </row>
    <row r="2912" spans="1:7" x14ac:dyDescent="0.3">
      <c r="A2912" s="11" t="s">
        <v>2737</v>
      </c>
      <c r="B2912" s="7">
        <v>52640</v>
      </c>
      <c r="C2912" s="7">
        <v>4.1890000000000001</v>
      </c>
      <c r="D2912" s="2">
        <f t="shared" si="711"/>
        <v>-2.5999999999999801E-2</v>
      </c>
      <c r="E2912" s="8">
        <f t="shared" si="712"/>
        <v>4.1465799798011487</v>
      </c>
      <c r="F2912" s="6">
        <f t="shared" si="708"/>
        <v>5.1975051975051978E-3</v>
      </c>
      <c r="G2912" s="12">
        <f t="shared" si="713"/>
        <v>4.2420020198851383E-2</v>
      </c>
    </row>
    <row r="2913" spans="1:7" x14ac:dyDescent="0.3">
      <c r="A2913" s="11" t="s">
        <v>2738</v>
      </c>
      <c r="B2913" s="7">
        <v>52660</v>
      </c>
      <c r="C2913" s="7">
        <v>4.157</v>
      </c>
      <c r="D2913" s="2">
        <f t="shared" si="711"/>
        <v>-3.2000000000000028E-2</v>
      </c>
      <c r="E2913" s="8">
        <f t="shared" si="712"/>
        <v>4.1413824746036436</v>
      </c>
      <c r="F2913" s="6">
        <f t="shared" si="708"/>
        <v>5.1975051975051978E-3</v>
      </c>
      <c r="G2913" s="12">
        <f t="shared" si="713"/>
        <v>1.5617525396356413E-2</v>
      </c>
    </row>
    <row r="2914" spans="1:7" x14ac:dyDescent="0.3">
      <c r="A2914" s="11" t="s">
        <v>2739</v>
      </c>
      <c r="B2914" s="7">
        <v>52680</v>
      </c>
      <c r="C2914" s="7">
        <v>4.12</v>
      </c>
      <c r="D2914" s="2">
        <f t="shared" si="711"/>
        <v>-3.6999999999999922E-2</v>
      </c>
      <c r="E2914" s="8">
        <f t="shared" si="712"/>
        <v>4.1361849694061386</v>
      </c>
      <c r="F2914" s="6">
        <f t="shared" si="708"/>
        <v>5.1975051975051978E-3</v>
      </c>
      <c r="G2914" s="12">
        <f t="shared" si="713"/>
        <v>-1.618496940613845E-2</v>
      </c>
    </row>
    <row r="2915" spans="1:7" x14ac:dyDescent="0.3">
      <c r="A2915" s="11" t="s">
        <v>3258</v>
      </c>
      <c r="B2915" s="62" t="s">
        <v>3257</v>
      </c>
      <c r="C2915" s="63"/>
      <c r="D2915" s="63"/>
      <c r="E2915" s="63"/>
      <c r="F2915" s="63"/>
      <c r="G2915" s="64"/>
    </row>
    <row r="2916" spans="1:7" x14ac:dyDescent="0.3">
      <c r="A2916" s="11" t="s">
        <v>2740</v>
      </c>
      <c r="B2916" s="7">
        <v>52700</v>
      </c>
      <c r="C2916" s="7">
        <v>4.0810000000000004</v>
      </c>
      <c r="D2916" s="2">
        <f>C2916-C2914</f>
        <v>-3.8999999999999702E-2</v>
      </c>
      <c r="E2916" s="8">
        <f>E2914-F2914</f>
        <v>4.1309874642086335</v>
      </c>
      <c r="F2916" s="6">
        <f>F2914</f>
        <v>5.1975051975051978E-3</v>
      </c>
      <c r="G2916" s="12">
        <f t="shared" si="713"/>
        <v>-4.9987464208633092E-2</v>
      </c>
    </row>
    <row r="2917" spans="1:7" x14ac:dyDescent="0.3">
      <c r="A2917" s="11" t="s">
        <v>2741</v>
      </c>
      <c r="B2917" s="7">
        <v>52720</v>
      </c>
      <c r="C2917" s="7">
        <v>4.069</v>
      </c>
      <c r="D2917" s="2">
        <f t="shared" si="711"/>
        <v>-1.2000000000000455E-2</v>
      </c>
      <c r="E2917" s="8">
        <f t="shared" si="712"/>
        <v>4.1257899590111284</v>
      </c>
      <c r="F2917" s="6">
        <f t="shared" si="708"/>
        <v>5.1975051975051978E-3</v>
      </c>
      <c r="G2917" s="12">
        <f t="shared" si="713"/>
        <v>-5.6789959011128488E-2</v>
      </c>
    </row>
    <row r="2918" spans="1:7" s="29" customFormat="1" x14ac:dyDescent="0.3">
      <c r="A2918" s="28" t="s">
        <v>3256</v>
      </c>
      <c r="B2918" s="67" t="s">
        <v>3194</v>
      </c>
      <c r="C2918" s="68"/>
      <c r="D2918" s="68"/>
      <c r="E2918" s="68"/>
      <c r="F2918" s="68"/>
      <c r="G2918" s="69"/>
    </row>
    <row r="2919" spans="1:7" x14ac:dyDescent="0.3">
      <c r="A2919" s="11" t="s">
        <v>2742</v>
      </c>
      <c r="B2919" s="7">
        <v>52740</v>
      </c>
      <c r="C2919" s="7">
        <v>4.0650000000000004</v>
      </c>
      <c r="D2919" s="2">
        <f>C2919-C2917</f>
        <v>-3.9999999999995595E-3</v>
      </c>
      <c r="E2919" s="8">
        <f>E2917-F2917</f>
        <v>4.1205924538136234</v>
      </c>
      <c r="F2919" s="6">
        <f>F2917</f>
        <v>5.1975051975051978E-3</v>
      </c>
      <c r="G2919" s="12">
        <f t="shared" si="713"/>
        <v>-5.5592453813622988E-2</v>
      </c>
    </row>
    <row r="2920" spans="1:7" x14ac:dyDescent="0.3">
      <c r="A2920" s="11" t="s">
        <v>2743</v>
      </c>
      <c r="B2920" s="7">
        <v>52760</v>
      </c>
      <c r="C2920" s="7">
        <v>4.056</v>
      </c>
      <c r="D2920" s="2">
        <f t="shared" si="711"/>
        <v>-9.0000000000003411E-3</v>
      </c>
      <c r="E2920" s="8">
        <f t="shared" si="712"/>
        <v>4.1153949486161183</v>
      </c>
      <c r="F2920" s="6">
        <f t="shared" si="708"/>
        <v>5.1975051975051978E-3</v>
      </c>
      <c r="G2920" s="12">
        <f t="shared" si="713"/>
        <v>-5.939494861611827E-2</v>
      </c>
    </row>
    <row r="2921" spans="1:7" x14ac:dyDescent="0.3">
      <c r="A2921" s="11" t="s">
        <v>2744</v>
      </c>
      <c r="B2921" s="7">
        <v>52780</v>
      </c>
      <c r="C2921" s="7">
        <v>4.048</v>
      </c>
      <c r="D2921" s="2">
        <f t="shared" si="711"/>
        <v>-8.0000000000000071E-3</v>
      </c>
      <c r="E2921" s="8">
        <f t="shared" si="712"/>
        <v>4.1101974434186133</v>
      </c>
      <c r="F2921" s="6">
        <f t="shared" si="708"/>
        <v>5.1975051975051978E-3</v>
      </c>
      <c r="G2921" s="12">
        <f t="shared" si="713"/>
        <v>-6.2197443418613219E-2</v>
      </c>
    </row>
    <row r="2922" spans="1:7" x14ac:dyDescent="0.3">
      <c r="A2922" s="11" t="s">
        <v>2745</v>
      </c>
      <c r="B2922" s="7">
        <v>52800</v>
      </c>
      <c r="C2922" s="7">
        <v>4.0449999999999999</v>
      </c>
      <c r="D2922" s="2">
        <f t="shared" si="711"/>
        <v>-3.0000000000001137E-3</v>
      </c>
      <c r="E2922" s="8">
        <f t="shared" si="712"/>
        <v>4.1049999382211082</v>
      </c>
      <c r="F2922" s="6">
        <f t="shared" si="708"/>
        <v>5.1975051975051978E-3</v>
      </c>
      <c r="G2922" s="12">
        <f t="shared" si="713"/>
        <v>-5.9999938221108273E-2</v>
      </c>
    </row>
    <row r="2923" spans="1:7" x14ac:dyDescent="0.3">
      <c r="A2923" s="11" t="s">
        <v>2746</v>
      </c>
      <c r="B2923" s="7">
        <v>52820</v>
      </c>
      <c r="C2923" s="7">
        <v>4.0410000000000004</v>
      </c>
      <c r="D2923" s="2">
        <f t="shared" si="711"/>
        <v>-3.9999999999995595E-3</v>
      </c>
      <c r="E2923" s="8">
        <f t="shared" si="712"/>
        <v>4.0998024330236031</v>
      </c>
      <c r="F2923" s="6">
        <f t="shared" si="708"/>
        <v>5.1975051975051978E-3</v>
      </c>
      <c r="G2923" s="12">
        <f t="shared" si="713"/>
        <v>-5.8802433023602774E-2</v>
      </c>
    </row>
    <row r="2924" spans="1:7" x14ac:dyDescent="0.3">
      <c r="A2924" s="11" t="s">
        <v>3469</v>
      </c>
      <c r="B2924" s="70" t="s">
        <v>3470</v>
      </c>
      <c r="C2924" s="7"/>
      <c r="D2924" s="2"/>
      <c r="E2924" s="8"/>
      <c r="F2924" s="6"/>
      <c r="G2924" s="12"/>
    </row>
    <row r="2925" spans="1:7" x14ac:dyDescent="0.3">
      <c r="A2925" s="11" t="s">
        <v>2747</v>
      </c>
      <c r="B2925" s="7">
        <v>52840</v>
      </c>
      <c r="C2925" s="7">
        <v>4.0389999999999997</v>
      </c>
      <c r="D2925" s="2">
        <f>C2925-C2923</f>
        <v>-2.0000000000006679E-3</v>
      </c>
      <c r="E2925" s="8">
        <f>E2923-F2923</f>
        <v>4.0946049278260981</v>
      </c>
      <c r="F2925" s="6">
        <f>F2923</f>
        <v>5.1975051975051978E-3</v>
      </c>
      <c r="G2925" s="12">
        <f t="shared" si="713"/>
        <v>-5.5604927826098383E-2</v>
      </c>
    </row>
    <row r="2926" spans="1:7" x14ac:dyDescent="0.3">
      <c r="A2926" s="11" t="s">
        <v>2748</v>
      </c>
      <c r="B2926" s="7">
        <v>52860</v>
      </c>
      <c r="C2926" s="7">
        <v>4.0380000000000003</v>
      </c>
      <c r="D2926" s="2">
        <f t="shared" si="711"/>
        <v>-9.9999999999944578E-4</v>
      </c>
      <c r="E2926" s="8">
        <f t="shared" si="712"/>
        <v>4.089407422628593</v>
      </c>
      <c r="F2926" s="6">
        <f t="shared" si="708"/>
        <v>5.1975051975051978E-3</v>
      </c>
      <c r="G2926" s="12">
        <f t="shared" si="713"/>
        <v>-5.1407422628592769E-2</v>
      </c>
    </row>
    <row r="2927" spans="1:7" x14ac:dyDescent="0.3">
      <c r="A2927" s="11" t="s">
        <v>2749</v>
      </c>
      <c r="B2927" s="7">
        <v>52880</v>
      </c>
      <c r="C2927" s="7">
        <v>4.0449999999999999</v>
      </c>
      <c r="D2927" s="2">
        <f t="shared" si="711"/>
        <v>6.9999999999996732E-3</v>
      </c>
      <c r="E2927" s="8">
        <f t="shared" si="712"/>
        <v>4.084209917431088</v>
      </c>
      <c r="F2927" s="6">
        <f t="shared" ref="F2927:F2994" si="714">F2926</f>
        <v>5.1975051975051978E-3</v>
      </c>
      <c r="G2927" s="12">
        <f t="shared" si="713"/>
        <v>-3.9209917431088037E-2</v>
      </c>
    </row>
    <row r="2928" spans="1:7" x14ac:dyDescent="0.3">
      <c r="A2928" s="11" t="s">
        <v>3468</v>
      </c>
      <c r="B2928" s="70" t="s">
        <v>3471</v>
      </c>
      <c r="C2928" s="7"/>
      <c r="D2928" s="2"/>
      <c r="E2928" s="8"/>
      <c r="F2928" s="6"/>
      <c r="G2928" s="12"/>
    </row>
    <row r="2929" spans="1:18" x14ac:dyDescent="0.3">
      <c r="A2929" s="11" t="s">
        <v>2750</v>
      </c>
      <c r="B2929" s="7">
        <v>52900</v>
      </c>
      <c r="C2929" s="7">
        <v>4.0789999999999997</v>
      </c>
      <c r="D2929" s="2">
        <f>C2929-C2927</f>
        <v>3.3999999999999808E-2</v>
      </c>
      <c r="E2929" s="8">
        <f>E2927-F2927</f>
        <v>4.0790124122335829</v>
      </c>
      <c r="F2929" s="6">
        <f>F2927</f>
        <v>5.1975051975051978E-3</v>
      </c>
      <c r="G2929" s="12">
        <f t="shared" si="713"/>
        <v>-1.2412233583170007E-5</v>
      </c>
    </row>
    <row r="2930" spans="1:18" x14ac:dyDescent="0.3">
      <c r="A2930" s="21"/>
      <c r="B2930" s="22"/>
      <c r="C2930" s="22"/>
      <c r="D2930" s="22"/>
      <c r="E2930" s="22"/>
      <c r="F2930" s="22"/>
      <c r="G2930" s="23"/>
      <c r="H2930" s="4" t="s">
        <v>3507</v>
      </c>
      <c r="J2930" s="4"/>
      <c r="O2930" s="3">
        <f>1/O2931</f>
        <v>2.1724961981316532E-4</v>
      </c>
      <c r="P2930" s="3">
        <f>O2930*20</f>
        <v>4.3449923962633067E-3</v>
      </c>
      <c r="Q2930" s="3" t="s">
        <v>3202</v>
      </c>
      <c r="R2930" s="3">
        <v>4603</v>
      </c>
    </row>
    <row r="2931" spans="1:18" x14ac:dyDescent="0.3">
      <c r="A2931" s="11" t="s">
        <v>2751</v>
      </c>
      <c r="B2931" s="7">
        <v>52920</v>
      </c>
      <c r="C2931" s="7">
        <v>4.1150000000000002</v>
      </c>
      <c r="D2931" s="2">
        <f>C2931-C2929</f>
        <v>3.6000000000000476E-2</v>
      </c>
      <c r="E2931" s="8">
        <f>E2929+F2931</f>
        <v>4.0833574046298464</v>
      </c>
      <c r="F2931" s="6">
        <f>P2930</f>
        <v>4.3449923962633067E-3</v>
      </c>
      <c r="G2931" s="12">
        <f>C2931-E2931</f>
        <v>3.1642595370153792E-2</v>
      </c>
      <c r="H2931" s="3">
        <f>B2929</f>
        <v>52900</v>
      </c>
      <c r="I2931" s="3">
        <f>B2987</f>
        <v>54000</v>
      </c>
      <c r="J2931" s="3">
        <f>I2931-H2931</f>
        <v>1100</v>
      </c>
      <c r="K2931" s="5">
        <f>E2929</f>
        <v>4.0790124122335829</v>
      </c>
      <c r="L2931" s="3">
        <f>C2987</f>
        <v>4.3179999999999996</v>
      </c>
      <c r="M2931" s="5">
        <f>L2931-K2931</f>
        <v>0.23898758776641671</v>
      </c>
      <c r="N2931" s="3">
        <f>J2931/M2931</f>
        <v>4602.7494995895995</v>
      </c>
      <c r="O2931" s="3">
        <v>4603</v>
      </c>
    </row>
    <row r="2932" spans="1:18" x14ac:dyDescent="0.3">
      <c r="A2932" s="11" t="s">
        <v>2752</v>
      </c>
      <c r="B2932" s="7">
        <v>52940</v>
      </c>
      <c r="C2932" s="7">
        <v>4.1429999999999998</v>
      </c>
      <c r="D2932" s="2">
        <f t="shared" si="711"/>
        <v>2.7999999999999581E-2</v>
      </c>
      <c r="E2932" s="8">
        <f>E2931+F2931</f>
        <v>4.0877023970261099</v>
      </c>
      <c r="F2932" s="6">
        <f t="shared" ref="F2932" si="715">F2931</f>
        <v>4.3449923962633067E-3</v>
      </c>
      <c r="G2932" s="12">
        <f t="shared" ref="G2932" si="716">C2932-E2932</f>
        <v>5.5297602973889859E-2</v>
      </c>
    </row>
    <row r="2933" spans="1:18" x14ac:dyDescent="0.3">
      <c r="A2933" s="11" t="s">
        <v>2753</v>
      </c>
      <c r="B2933" s="7">
        <v>52960</v>
      </c>
      <c r="C2933" s="7">
        <v>4.1680000000000001</v>
      </c>
      <c r="D2933" s="2">
        <f t="shared" si="711"/>
        <v>2.5000000000000355E-2</v>
      </c>
      <c r="E2933" s="8">
        <f t="shared" ref="E2933:E2987" si="717">E2932+F2932</f>
        <v>4.0920473894223734</v>
      </c>
      <c r="F2933" s="6">
        <f t="shared" si="714"/>
        <v>4.3449923962633067E-3</v>
      </c>
      <c r="G2933" s="12">
        <f t="shared" si="713"/>
        <v>7.59526105776267E-2</v>
      </c>
    </row>
    <row r="2934" spans="1:18" x14ac:dyDescent="0.3">
      <c r="A2934" s="11" t="s">
        <v>2754</v>
      </c>
      <c r="B2934" s="7">
        <v>52980</v>
      </c>
      <c r="C2934" s="7">
        <v>4.1920000000000002</v>
      </c>
      <c r="D2934" s="2">
        <f t="shared" si="711"/>
        <v>2.4000000000000021E-2</v>
      </c>
      <c r="E2934" s="8">
        <f t="shared" si="717"/>
        <v>4.096392381818637</v>
      </c>
      <c r="F2934" s="6">
        <f t="shared" si="714"/>
        <v>4.3449923962633067E-3</v>
      </c>
      <c r="G2934" s="12">
        <f t="shared" si="713"/>
        <v>9.5607618181363208E-2</v>
      </c>
    </row>
    <row r="2935" spans="1:18" x14ac:dyDescent="0.3">
      <c r="A2935" s="11" t="s">
        <v>2755</v>
      </c>
      <c r="B2935" s="7">
        <v>53000</v>
      </c>
      <c r="C2935" s="7">
        <v>4.2169999999999996</v>
      </c>
      <c r="D2935" s="2">
        <f t="shared" si="711"/>
        <v>2.4999999999999467E-2</v>
      </c>
      <c r="E2935" s="8">
        <f t="shared" si="717"/>
        <v>4.1007373742149005</v>
      </c>
      <c r="F2935" s="6">
        <f t="shared" si="714"/>
        <v>4.3449923962633067E-3</v>
      </c>
      <c r="G2935" s="12">
        <f t="shared" si="713"/>
        <v>0.11626262578509916</v>
      </c>
    </row>
    <row r="2936" spans="1:18" x14ac:dyDescent="0.3">
      <c r="A2936" s="13" t="s">
        <v>2756</v>
      </c>
      <c r="B2936" s="24"/>
      <c r="C2936" s="25"/>
      <c r="D2936" s="25"/>
      <c r="E2936" s="25"/>
      <c r="F2936" s="25"/>
      <c r="G2936" s="26"/>
    </row>
    <row r="2937" spans="1:18" x14ac:dyDescent="0.3">
      <c r="A2937" s="11" t="s">
        <v>2757</v>
      </c>
      <c r="B2937" s="7">
        <v>53020</v>
      </c>
      <c r="C2937" s="7">
        <v>4.2089999999999996</v>
      </c>
      <c r="D2937" s="2">
        <f>C2937-C2935</f>
        <v>-8.0000000000000071E-3</v>
      </c>
      <c r="E2937" s="8">
        <f>E2935+F2935</f>
        <v>4.105082366611164</v>
      </c>
      <c r="F2937" s="6">
        <f>F2935</f>
        <v>4.3449923962633067E-3</v>
      </c>
      <c r="G2937" s="12">
        <f t="shared" ref="G2937:G2949" si="718">C2937-E2937</f>
        <v>0.10391763338883564</v>
      </c>
    </row>
    <row r="2938" spans="1:18" x14ac:dyDescent="0.3">
      <c r="A2938" s="11" t="s">
        <v>2758</v>
      </c>
      <c r="B2938" s="7">
        <v>53040</v>
      </c>
      <c r="C2938" s="7">
        <v>4.1909999999999998</v>
      </c>
      <c r="D2938" s="2">
        <f t="shared" si="711"/>
        <v>-1.7999999999999794E-2</v>
      </c>
      <c r="E2938" s="8">
        <f t="shared" si="717"/>
        <v>4.1094273590074275</v>
      </c>
      <c r="F2938" s="6">
        <f t="shared" si="714"/>
        <v>4.3449923962633067E-3</v>
      </c>
      <c r="G2938" s="12">
        <f t="shared" si="718"/>
        <v>8.1572640992572332E-2</v>
      </c>
    </row>
    <row r="2939" spans="1:18" x14ac:dyDescent="0.3">
      <c r="A2939" s="11" t="s">
        <v>2759</v>
      </c>
      <c r="B2939" s="7">
        <v>53060</v>
      </c>
      <c r="C2939" s="7">
        <v>4.1740000000000004</v>
      </c>
      <c r="D2939" s="2">
        <f t="shared" si="711"/>
        <v>-1.699999999999946E-2</v>
      </c>
      <c r="E2939" s="8">
        <f t="shared" si="717"/>
        <v>4.113772351403691</v>
      </c>
      <c r="F2939" s="6">
        <f t="shared" si="714"/>
        <v>4.3449923962633067E-3</v>
      </c>
      <c r="G2939" s="12">
        <f t="shared" si="718"/>
        <v>6.0227648596309358E-2</v>
      </c>
    </row>
    <row r="2940" spans="1:18" x14ac:dyDescent="0.3">
      <c r="A2940" s="11" t="s">
        <v>2760</v>
      </c>
      <c r="B2940" s="7">
        <v>53080</v>
      </c>
      <c r="C2940" s="7">
        <v>4.1529999999999996</v>
      </c>
      <c r="D2940" s="2">
        <f t="shared" si="711"/>
        <v>-2.1000000000000796E-2</v>
      </c>
      <c r="E2940" s="8">
        <f t="shared" si="717"/>
        <v>4.1181173437999545</v>
      </c>
      <c r="F2940" s="6">
        <f t="shared" si="714"/>
        <v>4.3449923962633067E-3</v>
      </c>
      <c r="G2940" s="12">
        <f t="shared" si="718"/>
        <v>3.4882656200045048E-2</v>
      </c>
    </row>
    <row r="2941" spans="1:18" x14ac:dyDescent="0.3">
      <c r="A2941" s="11" t="s">
        <v>2761</v>
      </c>
      <c r="B2941" s="7">
        <v>53100</v>
      </c>
      <c r="C2941" s="7">
        <v>4.1580000000000004</v>
      </c>
      <c r="D2941" s="2">
        <f t="shared" si="711"/>
        <v>5.0000000000007816E-3</v>
      </c>
      <c r="E2941" s="8">
        <f t="shared" si="717"/>
        <v>4.122462336196218</v>
      </c>
      <c r="F2941" s="6">
        <f t="shared" si="714"/>
        <v>4.3449923962633067E-3</v>
      </c>
      <c r="G2941" s="12">
        <f t="shared" si="718"/>
        <v>3.5537663803782316E-2</v>
      </c>
    </row>
    <row r="2942" spans="1:18" x14ac:dyDescent="0.3">
      <c r="A2942" s="11" t="s">
        <v>2762</v>
      </c>
      <c r="B2942" s="7">
        <v>53120</v>
      </c>
      <c r="C2942" s="7">
        <v>4.149</v>
      </c>
      <c r="D2942" s="2">
        <f t="shared" si="711"/>
        <v>-9.0000000000003411E-3</v>
      </c>
      <c r="E2942" s="8">
        <f t="shared" si="717"/>
        <v>4.1268073285924816</v>
      </c>
      <c r="F2942" s="6">
        <f t="shared" si="714"/>
        <v>4.3449923962633067E-3</v>
      </c>
      <c r="G2942" s="12">
        <f t="shared" si="718"/>
        <v>2.2192671407518461E-2</v>
      </c>
    </row>
    <row r="2943" spans="1:18" x14ac:dyDescent="0.3">
      <c r="A2943" s="11" t="s">
        <v>2763</v>
      </c>
      <c r="B2943" s="7">
        <v>53140</v>
      </c>
      <c r="C2943" s="7">
        <v>4.1219999999999999</v>
      </c>
      <c r="D2943" s="2">
        <f t="shared" si="711"/>
        <v>-2.7000000000000135E-2</v>
      </c>
      <c r="E2943" s="8">
        <f t="shared" si="717"/>
        <v>4.1311523209887451</v>
      </c>
      <c r="F2943" s="6">
        <f t="shared" si="714"/>
        <v>4.3449923962633067E-3</v>
      </c>
      <c r="G2943" s="12">
        <f t="shared" si="718"/>
        <v>-9.1523209887451884E-3</v>
      </c>
    </row>
    <row r="2944" spans="1:18" x14ac:dyDescent="0.3">
      <c r="A2944" s="11" t="s">
        <v>2764</v>
      </c>
      <c r="B2944" s="7">
        <v>53160</v>
      </c>
      <c r="C2944" s="7">
        <v>4.1379999999999999</v>
      </c>
      <c r="D2944" s="2">
        <f t="shared" si="711"/>
        <v>1.6000000000000014E-2</v>
      </c>
      <c r="E2944" s="8">
        <f t="shared" si="717"/>
        <v>4.1354973133850086</v>
      </c>
      <c r="F2944" s="6">
        <f t="shared" si="714"/>
        <v>4.3449923962633067E-3</v>
      </c>
      <c r="G2944" s="12">
        <f t="shared" si="718"/>
        <v>2.5026866149913118E-3</v>
      </c>
    </row>
    <row r="2945" spans="1:7" x14ac:dyDescent="0.3">
      <c r="A2945" s="11" t="s">
        <v>2765</v>
      </c>
      <c r="B2945" s="7">
        <v>53180</v>
      </c>
      <c r="C2945" s="7">
        <v>4.1520000000000001</v>
      </c>
      <c r="D2945" s="2">
        <f t="shared" si="711"/>
        <v>1.4000000000000234E-2</v>
      </c>
      <c r="E2945" s="8">
        <f t="shared" si="717"/>
        <v>4.1398423057812721</v>
      </c>
      <c r="F2945" s="6">
        <f t="shared" si="714"/>
        <v>4.3449923962633067E-3</v>
      </c>
      <c r="G2945" s="12">
        <f t="shared" si="718"/>
        <v>1.2157694218728032E-2</v>
      </c>
    </row>
    <row r="2946" spans="1:7" x14ac:dyDescent="0.3">
      <c r="A2946" s="11" t="s">
        <v>2766</v>
      </c>
      <c r="B2946" s="7">
        <v>53200</v>
      </c>
      <c r="C2946" s="7">
        <v>4.141</v>
      </c>
      <c r="D2946" s="2">
        <f t="shared" si="711"/>
        <v>-1.1000000000000121E-2</v>
      </c>
      <c r="E2946" s="8">
        <f t="shared" si="717"/>
        <v>4.1441872981775356</v>
      </c>
      <c r="F2946" s="6">
        <f t="shared" si="714"/>
        <v>4.3449923962633067E-3</v>
      </c>
      <c r="G2946" s="12">
        <f t="shared" si="718"/>
        <v>-3.1872981775356024E-3</v>
      </c>
    </row>
    <row r="2947" spans="1:7" x14ac:dyDescent="0.3">
      <c r="A2947" s="11" t="s">
        <v>2767</v>
      </c>
      <c r="B2947" s="7">
        <v>53220</v>
      </c>
      <c r="C2947" s="7">
        <v>4.149</v>
      </c>
      <c r="D2947" s="2">
        <f t="shared" si="711"/>
        <v>8.0000000000000071E-3</v>
      </c>
      <c r="E2947" s="8">
        <f t="shared" si="717"/>
        <v>4.1485322905737991</v>
      </c>
      <c r="F2947" s="6">
        <f t="shared" si="714"/>
        <v>4.3449923962633067E-3</v>
      </c>
      <c r="G2947" s="12">
        <f t="shared" si="718"/>
        <v>4.6770942620089073E-4</v>
      </c>
    </row>
    <row r="2948" spans="1:7" x14ac:dyDescent="0.3">
      <c r="A2948" s="11" t="s">
        <v>2768</v>
      </c>
      <c r="B2948" s="7">
        <v>53240</v>
      </c>
      <c r="C2948" s="7">
        <v>4.1609999999999996</v>
      </c>
      <c r="D2948" s="2">
        <f t="shared" si="711"/>
        <v>1.1999999999999567E-2</v>
      </c>
      <c r="E2948" s="8">
        <f t="shared" si="717"/>
        <v>4.1528772829700626</v>
      </c>
      <c r="F2948" s="6">
        <f t="shared" si="714"/>
        <v>4.3449923962633067E-3</v>
      </c>
      <c r="G2948" s="12">
        <f t="shared" si="718"/>
        <v>8.1227170299369433E-3</v>
      </c>
    </row>
    <row r="2949" spans="1:7" x14ac:dyDescent="0.3">
      <c r="A2949" s="11" t="s">
        <v>2769</v>
      </c>
      <c r="B2949" s="7">
        <v>53260</v>
      </c>
      <c r="C2949" s="7">
        <v>4.1760000000000002</v>
      </c>
      <c r="D2949" s="2">
        <f t="shared" si="711"/>
        <v>1.5000000000000568E-2</v>
      </c>
      <c r="E2949" s="8">
        <f t="shared" si="717"/>
        <v>4.1572222753663262</v>
      </c>
      <c r="F2949" s="6">
        <f t="shared" si="714"/>
        <v>4.3449923962633067E-3</v>
      </c>
      <c r="G2949" s="12">
        <f t="shared" si="718"/>
        <v>1.8777724633673998E-2</v>
      </c>
    </row>
    <row r="2950" spans="1:7" x14ac:dyDescent="0.3">
      <c r="A2950" s="11" t="s">
        <v>2770</v>
      </c>
      <c r="B2950" s="7">
        <v>53280</v>
      </c>
      <c r="C2950" s="7">
        <v>4.2080000000000002</v>
      </c>
      <c r="D2950" s="2">
        <f t="shared" si="711"/>
        <v>3.2000000000000028E-2</v>
      </c>
      <c r="E2950" s="8">
        <f t="shared" si="717"/>
        <v>4.1615672677625897</v>
      </c>
      <c r="F2950" s="6">
        <f t="shared" si="714"/>
        <v>4.3449923962633067E-3</v>
      </c>
      <c r="G2950" s="12">
        <f t="shared" ref="G2950:G2987" si="719">C2950-E2950</f>
        <v>4.6432732237410512E-2</v>
      </c>
    </row>
    <row r="2951" spans="1:7" x14ac:dyDescent="0.3">
      <c r="A2951" s="11" t="s">
        <v>2771</v>
      </c>
      <c r="B2951" s="7">
        <v>53300</v>
      </c>
      <c r="C2951" s="7">
        <v>4.24</v>
      </c>
      <c r="D2951" s="2">
        <f t="shared" si="711"/>
        <v>3.2000000000000028E-2</v>
      </c>
      <c r="E2951" s="8">
        <f t="shared" si="717"/>
        <v>4.1659122601588532</v>
      </c>
      <c r="F2951" s="6">
        <f t="shared" si="714"/>
        <v>4.3449923962633067E-3</v>
      </c>
      <c r="G2951" s="12">
        <f t="shared" si="719"/>
        <v>7.4087739841147027E-2</v>
      </c>
    </row>
    <row r="2952" spans="1:7" x14ac:dyDescent="0.3">
      <c r="A2952" s="11" t="s">
        <v>2772</v>
      </c>
      <c r="B2952" s="7">
        <v>53320</v>
      </c>
      <c r="C2952" s="7">
        <v>4.2519999999999998</v>
      </c>
      <c r="D2952" s="2">
        <f t="shared" si="711"/>
        <v>1.1999999999999567E-2</v>
      </c>
      <c r="E2952" s="8">
        <f t="shared" si="717"/>
        <v>4.1702572525551167</v>
      </c>
      <c r="F2952" s="6">
        <f t="shared" si="714"/>
        <v>4.3449923962633067E-3</v>
      </c>
      <c r="G2952" s="12">
        <f t="shared" si="719"/>
        <v>8.1742747444883079E-2</v>
      </c>
    </row>
    <row r="2953" spans="1:7" x14ac:dyDescent="0.3">
      <c r="A2953" s="11" t="s">
        <v>2773</v>
      </c>
      <c r="B2953" s="7">
        <v>53340</v>
      </c>
      <c r="C2953" s="7">
        <v>4.2450000000000001</v>
      </c>
      <c r="D2953" s="2">
        <f t="shared" si="711"/>
        <v>-6.9999999999996732E-3</v>
      </c>
      <c r="E2953" s="8">
        <f t="shared" si="717"/>
        <v>4.1746022449513802</v>
      </c>
      <c r="F2953" s="6">
        <f t="shared" si="714"/>
        <v>4.3449923962633067E-3</v>
      </c>
      <c r="G2953" s="12">
        <f t="shared" si="719"/>
        <v>7.0397755048619892E-2</v>
      </c>
    </row>
    <row r="2954" spans="1:7" x14ac:dyDescent="0.3">
      <c r="A2954" s="11" t="s">
        <v>2774</v>
      </c>
      <c r="B2954" s="7">
        <v>53360</v>
      </c>
      <c r="C2954" s="7">
        <v>4.2089999999999996</v>
      </c>
      <c r="D2954" s="2">
        <f t="shared" si="711"/>
        <v>-3.6000000000000476E-2</v>
      </c>
      <c r="E2954" s="8">
        <f t="shared" si="717"/>
        <v>4.1789472373476437</v>
      </c>
      <c r="F2954" s="6">
        <f t="shared" si="714"/>
        <v>4.3449923962633067E-3</v>
      </c>
      <c r="G2954" s="12">
        <f t="shared" si="719"/>
        <v>3.0052762652355902E-2</v>
      </c>
    </row>
    <row r="2955" spans="1:7" x14ac:dyDescent="0.3">
      <c r="A2955" s="11" t="s">
        <v>2775</v>
      </c>
      <c r="B2955" s="7">
        <v>53380</v>
      </c>
      <c r="C2955" s="7">
        <v>4.1909999999999998</v>
      </c>
      <c r="D2955" s="2">
        <f t="shared" si="711"/>
        <v>-1.7999999999999794E-2</v>
      </c>
      <c r="E2955" s="8">
        <f t="shared" si="717"/>
        <v>4.1832922297439072</v>
      </c>
      <c r="F2955" s="6">
        <f t="shared" si="714"/>
        <v>4.3449923962633067E-3</v>
      </c>
      <c r="G2955" s="12">
        <f t="shared" si="719"/>
        <v>7.7077702560925943E-3</v>
      </c>
    </row>
    <row r="2956" spans="1:7" x14ac:dyDescent="0.3">
      <c r="A2956" s="11" t="s">
        <v>2776</v>
      </c>
      <c r="B2956" s="7">
        <v>53400</v>
      </c>
      <c r="C2956" s="7">
        <v>4.1820000000000004</v>
      </c>
      <c r="D2956" s="2">
        <f t="shared" si="711"/>
        <v>-8.9999999999994529E-3</v>
      </c>
      <c r="E2956" s="8">
        <f t="shared" si="717"/>
        <v>4.1876372221401708</v>
      </c>
      <c r="F2956" s="6">
        <f t="shared" si="714"/>
        <v>4.3449923962633067E-3</v>
      </c>
      <c r="G2956" s="12">
        <f t="shared" si="719"/>
        <v>-5.6372221401703726E-3</v>
      </c>
    </row>
    <row r="2957" spans="1:7" x14ac:dyDescent="0.3">
      <c r="A2957" s="11" t="s">
        <v>2777</v>
      </c>
      <c r="B2957" s="7">
        <v>53420</v>
      </c>
      <c r="C2957" s="7">
        <v>4.1829999999999998</v>
      </c>
      <c r="D2957" s="2">
        <f t="shared" si="711"/>
        <v>9.9999999999944578E-4</v>
      </c>
      <c r="E2957" s="8">
        <f t="shared" si="717"/>
        <v>4.1919822145364343</v>
      </c>
      <c r="F2957" s="6">
        <f t="shared" si="714"/>
        <v>4.3449923962633067E-3</v>
      </c>
      <c r="G2957" s="12">
        <f t="shared" si="719"/>
        <v>-8.9822145364344408E-3</v>
      </c>
    </row>
    <row r="2958" spans="1:7" x14ac:dyDescent="0.3">
      <c r="A2958" s="11" t="s">
        <v>2778</v>
      </c>
      <c r="B2958" s="7">
        <v>53440</v>
      </c>
      <c r="C2958" s="7">
        <v>4.1639999999999997</v>
      </c>
      <c r="D2958" s="2">
        <f t="shared" si="711"/>
        <v>-1.9000000000000128E-2</v>
      </c>
      <c r="E2958" s="8">
        <f t="shared" si="717"/>
        <v>4.1963272069326978</v>
      </c>
      <c r="F2958" s="6">
        <f t="shared" si="714"/>
        <v>4.3449923962633067E-3</v>
      </c>
      <c r="G2958" s="12">
        <f t="shared" si="719"/>
        <v>-3.2327206932698083E-2</v>
      </c>
    </row>
    <row r="2959" spans="1:7" x14ac:dyDescent="0.3">
      <c r="A2959" s="11" t="s">
        <v>2779</v>
      </c>
      <c r="B2959" s="7">
        <v>53460</v>
      </c>
      <c r="C2959" s="7">
        <v>4.1479999999999997</v>
      </c>
      <c r="D2959" s="2">
        <f t="shared" si="711"/>
        <v>-1.6000000000000014E-2</v>
      </c>
      <c r="E2959" s="8">
        <f t="shared" si="717"/>
        <v>4.2006721993289613</v>
      </c>
      <c r="F2959" s="6">
        <f t="shared" si="714"/>
        <v>4.3449923962633067E-3</v>
      </c>
      <c r="G2959" s="12">
        <f t="shared" si="719"/>
        <v>-5.2672199328961611E-2</v>
      </c>
    </row>
    <row r="2960" spans="1:7" x14ac:dyDescent="0.3">
      <c r="A2960" s="11" t="s">
        <v>2780</v>
      </c>
      <c r="B2960" s="7">
        <v>53480</v>
      </c>
      <c r="C2960" s="7">
        <v>4.1349999999999998</v>
      </c>
      <c r="D2960" s="2">
        <f t="shared" si="711"/>
        <v>-1.2999999999999901E-2</v>
      </c>
      <c r="E2960" s="8">
        <f t="shared" si="717"/>
        <v>4.2050171917252248</v>
      </c>
      <c r="F2960" s="6">
        <f t="shared" si="714"/>
        <v>4.3449923962633067E-3</v>
      </c>
      <c r="G2960" s="12">
        <f t="shared" si="719"/>
        <v>-7.0017191725225025E-2</v>
      </c>
    </row>
    <row r="2961" spans="1:7" x14ac:dyDescent="0.3">
      <c r="A2961" s="11" t="s">
        <v>2781</v>
      </c>
      <c r="B2961" s="7">
        <v>53500</v>
      </c>
      <c r="C2961" s="7">
        <v>4.1120000000000001</v>
      </c>
      <c r="D2961" s="2">
        <f t="shared" si="711"/>
        <v>-2.2999999999999687E-2</v>
      </c>
      <c r="E2961" s="8">
        <f t="shared" si="717"/>
        <v>4.2093621841214883</v>
      </c>
      <c r="F2961" s="6">
        <f t="shared" si="714"/>
        <v>4.3449923962633067E-3</v>
      </c>
      <c r="G2961" s="12">
        <f t="shared" si="719"/>
        <v>-9.7362184121488227E-2</v>
      </c>
    </row>
    <row r="2962" spans="1:7" x14ac:dyDescent="0.3">
      <c r="A2962" s="11" t="s">
        <v>2782</v>
      </c>
      <c r="B2962" s="7">
        <v>53520</v>
      </c>
      <c r="C2962" s="7">
        <v>4.0750000000000002</v>
      </c>
      <c r="D2962" s="2">
        <f t="shared" si="711"/>
        <v>-3.6999999999999922E-2</v>
      </c>
      <c r="E2962" s="8">
        <f t="shared" si="717"/>
        <v>4.2137071765177518</v>
      </c>
      <c r="F2962" s="6">
        <f t="shared" si="714"/>
        <v>4.3449923962633067E-3</v>
      </c>
      <c r="G2962" s="12">
        <f t="shared" si="719"/>
        <v>-0.13870717651775166</v>
      </c>
    </row>
    <row r="2963" spans="1:7" x14ac:dyDescent="0.3">
      <c r="A2963" s="11" t="s">
        <v>2783</v>
      </c>
      <c r="B2963" s="7">
        <v>53540</v>
      </c>
      <c r="C2963" s="7">
        <v>4.0869999999999997</v>
      </c>
      <c r="D2963" s="2">
        <f t="shared" si="711"/>
        <v>1.1999999999999567E-2</v>
      </c>
      <c r="E2963" s="8">
        <f t="shared" si="717"/>
        <v>4.2180521689140154</v>
      </c>
      <c r="F2963" s="6">
        <f t="shared" si="714"/>
        <v>4.3449923962633067E-3</v>
      </c>
      <c r="G2963" s="12">
        <f t="shared" si="719"/>
        <v>-0.13105216891401561</v>
      </c>
    </row>
    <row r="2964" spans="1:7" x14ac:dyDescent="0.3">
      <c r="A2964" s="11" t="s">
        <v>2784</v>
      </c>
      <c r="B2964" s="7">
        <v>53560</v>
      </c>
      <c r="C2964" s="7">
        <v>4.1150000000000002</v>
      </c>
      <c r="D2964" s="2">
        <f t="shared" si="711"/>
        <v>2.8000000000000469E-2</v>
      </c>
      <c r="E2964" s="8">
        <f t="shared" si="717"/>
        <v>4.2223971613102789</v>
      </c>
      <c r="F2964" s="6">
        <f t="shared" si="714"/>
        <v>4.3449923962633067E-3</v>
      </c>
      <c r="G2964" s="12">
        <f t="shared" si="719"/>
        <v>-0.10739716131027865</v>
      </c>
    </row>
    <row r="2965" spans="1:7" x14ac:dyDescent="0.3">
      <c r="A2965" s="11" t="s">
        <v>2785</v>
      </c>
      <c r="B2965" s="7">
        <v>53580</v>
      </c>
      <c r="C2965" s="7">
        <v>4.1120000000000001</v>
      </c>
      <c r="D2965" s="2">
        <f t="shared" si="711"/>
        <v>-3.0000000000001137E-3</v>
      </c>
      <c r="E2965" s="8">
        <f t="shared" si="717"/>
        <v>4.2267421537065424</v>
      </c>
      <c r="F2965" s="6">
        <f t="shared" si="714"/>
        <v>4.3449923962633067E-3</v>
      </c>
      <c r="G2965" s="12">
        <f t="shared" si="719"/>
        <v>-0.11474215370654228</v>
      </c>
    </row>
    <row r="2966" spans="1:7" x14ac:dyDescent="0.3">
      <c r="A2966" s="11" t="s">
        <v>2786</v>
      </c>
      <c r="B2966" s="7">
        <v>53600</v>
      </c>
      <c r="C2966" s="7">
        <v>4.1210000000000004</v>
      </c>
      <c r="D2966" s="2">
        <f t="shared" si="711"/>
        <v>9.0000000000003411E-3</v>
      </c>
      <c r="E2966" s="8">
        <f t="shared" si="717"/>
        <v>4.2310871461028059</v>
      </c>
      <c r="F2966" s="6">
        <f t="shared" si="714"/>
        <v>4.3449923962633067E-3</v>
      </c>
      <c r="G2966" s="12">
        <f t="shared" si="719"/>
        <v>-0.11008714610280546</v>
      </c>
    </row>
    <row r="2967" spans="1:7" x14ac:dyDescent="0.3">
      <c r="A2967" s="11" t="s">
        <v>2787</v>
      </c>
      <c r="B2967" s="7">
        <v>53620</v>
      </c>
      <c r="C2967" s="7">
        <v>4.1319999999999997</v>
      </c>
      <c r="D2967" s="2">
        <f t="shared" si="711"/>
        <v>1.0999999999999233E-2</v>
      </c>
      <c r="E2967" s="8">
        <f t="shared" si="717"/>
        <v>4.2354321384990694</v>
      </c>
      <c r="F2967" s="6">
        <f t="shared" si="714"/>
        <v>4.3449923962633067E-3</v>
      </c>
      <c r="G2967" s="12">
        <f t="shared" si="719"/>
        <v>-0.10343213849906974</v>
      </c>
    </row>
    <row r="2968" spans="1:7" x14ac:dyDescent="0.3">
      <c r="A2968" s="11" t="s">
        <v>2788</v>
      </c>
      <c r="B2968" s="7">
        <v>53640</v>
      </c>
      <c r="C2968" s="7">
        <v>4.1420000000000003</v>
      </c>
      <c r="D2968" s="2">
        <f t="shared" si="711"/>
        <v>1.0000000000000675E-2</v>
      </c>
      <c r="E2968" s="8">
        <f t="shared" si="717"/>
        <v>4.2397771308953329</v>
      </c>
      <c r="F2968" s="6">
        <f t="shared" si="714"/>
        <v>4.3449923962633067E-3</v>
      </c>
      <c r="G2968" s="12">
        <f t="shared" si="719"/>
        <v>-9.7777130895332576E-2</v>
      </c>
    </row>
    <row r="2969" spans="1:7" x14ac:dyDescent="0.3">
      <c r="A2969" s="11" t="s">
        <v>2789</v>
      </c>
      <c r="B2969" s="7">
        <v>53660</v>
      </c>
      <c r="C2969" s="7">
        <v>4.0830000000000002</v>
      </c>
      <c r="D2969" s="2">
        <f t="shared" si="711"/>
        <v>-5.9000000000000163E-2</v>
      </c>
      <c r="E2969" s="8">
        <f t="shared" si="717"/>
        <v>4.2441221232915964</v>
      </c>
      <c r="F2969" s="6">
        <f t="shared" si="714"/>
        <v>4.3449923962633067E-3</v>
      </c>
      <c r="G2969" s="12">
        <f t="shared" si="719"/>
        <v>-0.16112212329159625</v>
      </c>
    </row>
    <row r="2970" spans="1:7" x14ac:dyDescent="0.3">
      <c r="A2970" s="11" t="s">
        <v>2790</v>
      </c>
      <c r="B2970" s="7">
        <v>53680</v>
      </c>
      <c r="C2970" s="7">
        <v>4.1239999999999997</v>
      </c>
      <c r="D2970" s="2">
        <f t="shared" si="711"/>
        <v>4.0999999999999481E-2</v>
      </c>
      <c r="E2970" s="8">
        <f t="shared" si="717"/>
        <v>4.24846711568786</v>
      </c>
      <c r="F2970" s="6">
        <f t="shared" si="714"/>
        <v>4.3449923962633067E-3</v>
      </c>
      <c r="G2970" s="12">
        <f t="shared" si="719"/>
        <v>-0.12446711568786029</v>
      </c>
    </row>
    <row r="2971" spans="1:7" x14ac:dyDescent="0.3">
      <c r="A2971" s="11" t="s">
        <v>2791</v>
      </c>
      <c r="B2971" s="7">
        <v>53700</v>
      </c>
      <c r="C2971" s="7">
        <v>4.1580000000000004</v>
      </c>
      <c r="D2971" s="2">
        <f t="shared" si="711"/>
        <v>3.4000000000000696E-2</v>
      </c>
      <c r="E2971" s="8">
        <f t="shared" si="717"/>
        <v>4.2528121080841235</v>
      </c>
      <c r="F2971" s="6">
        <f t="shared" si="714"/>
        <v>4.3449923962633067E-3</v>
      </c>
      <c r="G2971" s="12">
        <f t="shared" si="719"/>
        <v>-9.4812108084123103E-2</v>
      </c>
    </row>
    <row r="2972" spans="1:7" x14ac:dyDescent="0.3">
      <c r="A2972" s="11" t="s">
        <v>2792</v>
      </c>
      <c r="B2972" s="7">
        <v>53720</v>
      </c>
      <c r="C2972" s="7">
        <v>4.18</v>
      </c>
      <c r="D2972" s="2">
        <f t="shared" si="711"/>
        <v>2.1999999999999353E-2</v>
      </c>
      <c r="E2972" s="8">
        <f t="shared" si="717"/>
        <v>4.257157100480387</v>
      </c>
      <c r="F2972" s="6">
        <f t="shared" si="714"/>
        <v>4.3449923962633067E-3</v>
      </c>
      <c r="G2972" s="12">
        <f t="shared" si="719"/>
        <v>-7.7157100480387264E-2</v>
      </c>
    </row>
    <row r="2973" spans="1:7" x14ac:dyDescent="0.3">
      <c r="A2973" s="11" t="s">
        <v>2793</v>
      </c>
      <c r="B2973" s="7">
        <v>53740</v>
      </c>
      <c r="C2973" s="7">
        <v>4.1929999999999996</v>
      </c>
      <c r="D2973" s="2">
        <f t="shared" si="711"/>
        <v>1.2999999999999901E-2</v>
      </c>
      <c r="E2973" s="8">
        <f t="shared" si="717"/>
        <v>4.2615020928766505</v>
      </c>
      <c r="F2973" s="6">
        <f t="shared" si="714"/>
        <v>4.3449923962633067E-3</v>
      </c>
      <c r="G2973" s="12">
        <f t="shared" si="719"/>
        <v>-6.8502092876650877E-2</v>
      </c>
    </row>
    <row r="2974" spans="1:7" x14ac:dyDescent="0.3">
      <c r="A2974" s="11" t="s">
        <v>2794</v>
      </c>
      <c r="B2974" s="7">
        <v>53760</v>
      </c>
      <c r="C2974" s="7">
        <v>4.2110000000000003</v>
      </c>
      <c r="D2974" s="2">
        <f t="shared" si="711"/>
        <v>1.8000000000000682E-2</v>
      </c>
      <c r="E2974" s="8">
        <f t="shared" si="717"/>
        <v>4.265847085272914</v>
      </c>
      <c r="F2974" s="6">
        <f t="shared" si="714"/>
        <v>4.3449923962633067E-3</v>
      </c>
      <c r="G2974" s="12">
        <f t="shared" si="719"/>
        <v>-5.4847085272913709E-2</v>
      </c>
    </row>
    <row r="2975" spans="1:7" x14ac:dyDescent="0.3">
      <c r="A2975" s="11" t="s">
        <v>2795</v>
      </c>
      <c r="B2975" s="7">
        <v>53780</v>
      </c>
      <c r="C2975" s="7">
        <v>4.2320000000000002</v>
      </c>
      <c r="D2975" s="2">
        <f t="shared" si="711"/>
        <v>2.0999999999999908E-2</v>
      </c>
      <c r="E2975" s="8">
        <f t="shared" si="717"/>
        <v>4.2701920776691775</v>
      </c>
      <c r="F2975" s="6">
        <f t="shared" si="714"/>
        <v>4.3449923962633067E-3</v>
      </c>
      <c r="G2975" s="12">
        <f t="shared" si="719"/>
        <v>-3.8192077669177316E-2</v>
      </c>
    </row>
    <row r="2976" spans="1:7" x14ac:dyDescent="0.3">
      <c r="A2976" s="11" t="s">
        <v>2796</v>
      </c>
      <c r="B2976" s="7">
        <v>53800</v>
      </c>
      <c r="C2976" s="7">
        <v>4.2469999999999999</v>
      </c>
      <c r="D2976" s="2">
        <f t="shared" ref="D2976:D3042" si="720">C2976-C2975</f>
        <v>1.499999999999968E-2</v>
      </c>
      <c r="E2976" s="8">
        <f t="shared" si="717"/>
        <v>4.274537070065441</v>
      </c>
      <c r="F2976" s="6">
        <f t="shared" si="714"/>
        <v>4.3449923962633067E-3</v>
      </c>
      <c r="G2976" s="12">
        <f t="shared" si="719"/>
        <v>-2.7537070065441149E-2</v>
      </c>
    </row>
    <row r="2977" spans="1:18" x14ac:dyDescent="0.3">
      <c r="A2977" s="11" t="s">
        <v>2797</v>
      </c>
      <c r="B2977" s="7">
        <v>53820</v>
      </c>
      <c r="C2977" s="7">
        <v>4.2480000000000002</v>
      </c>
      <c r="D2977" s="2">
        <f t="shared" si="720"/>
        <v>1.000000000000334E-3</v>
      </c>
      <c r="E2977" s="8">
        <f t="shared" si="717"/>
        <v>4.2788820624617045</v>
      </c>
      <c r="F2977" s="6">
        <f t="shared" si="714"/>
        <v>4.3449923962633067E-3</v>
      </c>
      <c r="G2977" s="12">
        <f t="shared" si="719"/>
        <v>-3.0882062461704329E-2</v>
      </c>
    </row>
    <row r="2978" spans="1:18" x14ac:dyDescent="0.3">
      <c r="A2978" s="11" t="s">
        <v>2798</v>
      </c>
      <c r="B2978" s="7">
        <v>53840</v>
      </c>
      <c r="C2978" s="7">
        <v>4.26</v>
      </c>
      <c r="D2978" s="2">
        <f t="shared" si="720"/>
        <v>1.1999999999999567E-2</v>
      </c>
      <c r="E2978" s="8">
        <f t="shared" si="717"/>
        <v>4.2832270548579681</v>
      </c>
      <c r="F2978" s="6">
        <f t="shared" si="714"/>
        <v>4.3449923962633067E-3</v>
      </c>
      <c r="G2978" s="12">
        <f t="shared" si="719"/>
        <v>-2.3227054857968277E-2</v>
      </c>
    </row>
    <row r="2979" spans="1:18" x14ac:dyDescent="0.3">
      <c r="A2979" s="11" t="s">
        <v>2799</v>
      </c>
      <c r="B2979" s="7">
        <v>53860</v>
      </c>
      <c r="C2979" s="7">
        <v>4.2709999999999999</v>
      </c>
      <c r="D2979" s="2">
        <f t="shared" si="720"/>
        <v>1.1000000000000121E-2</v>
      </c>
      <c r="E2979" s="8">
        <f t="shared" si="717"/>
        <v>4.2875720472542316</v>
      </c>
      <c r="F2979" s="6">
        <f t="shared" si="714"/>
        <v>4.3449923962633067E-3</v>
      </c>
      <c r="G2979" s="12">
        <f t="shared" si="719"/>
        <v>-1.657204725423167E-2</v>
      </c>
    </row>
    <row r="2980" spans="1:18" x14ac:dyDescent="0.3">
      <c r="A2980" s="11" t="s">
        <v>2800</v>
      </c>
      <c r="B2980" s="7">
        <v>53880</v>
      </c>
      <c r="C2980" s="7">
        <v>4.3</v>
      </c>
      <c r="D2980" s="2">
        <f t="shared" si="720"/>
        <v>2.8999999999999915E-2</v>
      </c>
      <c r="E2980" s="8">
        <f t="shared" si="717"/>
        <v>4.2919170396504951</v>
      </c>
      <c r="F2980" s="6">
        <f t="shared" si="714"/>
        <v>4.3449923962633067E-3</v>
      </c>
      <c r="G2980" s="12">
        <f t="shared" si="719"/>
        <v>8.0829603495047309E-3</v>
      </c>
    </row>
    <row r="2981" spans="1:18" x14ac:dyDescent="0.3">
      <c r="A2981" s="11" t="s">
        <v>2801</v>
      </c>
      <c r="B2981" s="7">
        <v>53900</v>
      </c>
      <c r="C2981" s="7">
        <v>4.3220000000000001</v>
      </c>
      <c r="D2981" s="2">
        <f t="shared" si="720"/>
        <v>2.2000000000000242E-2</v>
      </c>
      <c r="E2981" s="8">
        <f t="shared" si="717"/>
        <v>4.2962620320467586</v>
      </c>
      <c r="F2981" s="6">
        <f t="shared" si="714"/>
        <v>4.3449923962633067E-3</v>
      </c>
      <c r="G2981" s="12">
        <f t="shared" si="719"/>
        <v>2.5737967953241458E-2</v>
      </c>
    </row>
    <row r="2982" spans="1:18" x14ac:dyDescent="0.3">
      <c r="A2982" s="11" t="s">
        <v>2802</v>
      </c>
      <c r="B2982" s="7">
        <v>53920</v>
      </c>
      <c r="C2982" s="7">
        <v>4.3179999999999996</v>
      </c>
      <c r="D2982" s="2">
        <f t="shared" si="720"/>
        <v>-4.0000000000004476E-3</v>
      </c>
      <c r="E2982" s="8">
        <f t="shared" si="717"/>
        <v>4.3006070244430221</v>
      </c>
      <c r="F2982" s="6">
        <f t="shared" si="714"/>
        <v>4.3449923962633067E-3</v>
      </c>
      <c r="G2982" s="12">
        <f t="shared" si="719"/>
        <v>1.7392975556977497E-2</v>
      </c>
    </row>
    <row r="2983" spans="1:18" x14ac:dyDescent="0.3">
      <c r="A2983" s="11" t="s">
        <v>2803</v>
      </c>
      <c r="B2983" s="7">
        <v>53940</v>
      </c>
      <c r="C2983" s="7">
        <v>4.3159999999999998</v>
      </c>
      <c r="D2983" s="2">
        <f t="shared" si="720"/>
        <v>-1.9999999999997797E-3</v>
      </c>
      <c r="E2983" s="8">
        <f t="shared" si="717"/>
        <v>4.3049520168392856</v>
      </c>
      <c r="F2983" s="6">
        <f t="shared" si="714"/>
        <v>4.3449923962633067E-3</v>
      </c>
      <c r="G2983" s="12">
        <f t="shared" si="719"/>
        <v>1.1047983160714203E-2</v>
      </c>
    </row>
    <row r="2984" spans="1:18" x14ac:dyDescent="0.3">
      <c r="A2984" s="11" t="s">
        <v>2804</v>
      </c>
      <c r="B2984" s="7">
        <v>53960</v>
      </c>
      <c r="C2984" s="7">
        <v>4.3460000000000001</v>
      </c>
      <c r="D2984" s="2">
        <f t="shared" si="720"/>
        <v>3.0000000000000249E-2</v>
      </c>
      <c r="E2984" s="8">
        <f t="shared" si="717"/>
        <v>4.3092970092355491</v>
      </c>
      <c r="F2984" s="6">
        <f t="shared" si="714"/>
        <v>4.3449923962633067E-3</v>
      </c>
      <c r="G2984" s="12">
        <f t="shared" si="719"/>
        <v>3.6702990764450938E-2</v>
      </c>
    </row>
    <row r="2985" spans="1:18" x14ac:dyDescent="0.3">
      <c r="A2985" s="13" t="s">
        <v>2805</v>
      </c>
      <c r="B2985" s="24"/>
      <c r="C2985" s="25"/>
      <c r="D2985" s="25"/>
      <c r="E2985" s="25"/>
      <c r="F2985" s="25"/>
      <c r="G2985" s="26"/>
    </row>
    <row r="2986" spans="1:18" x14ac:dyDescent="0.3">
      <c r="A2986" s="11" t="s">
        <v>2806</v>
      </c>
      <c r="B2986" s="7">
        <v>53980</v>
      </c>
      <c r="C2986" s="7">
        <v>4.3310000000000004</v>
      </c>
      <c r="D2986" s="2">
        <f>C2986-C2984</f>
        <v>-1.499999999999968E-2</v>
      </c>
      <c r="E2986" s="8">
        <f>E2984+F2984</f>
        <v>4.3136420016318127</v>
      </c>
      <c r="F2986" s="6">
        <f>F2984</f>
        <v>4.3449923962633067E-3</v>
      </c>
      <c r="G2986" s="12">
        <f t="shared" si="719"/>
        <v>1.7357998368187744E-2</v>
      </c>
    </row>
    <row r="2987" spans="1:18" x14ac:dyDescent="0.3">
      <c r="A2987" s="11" t="s">
        <v>2807</v>
      </c>
      <c r="B2987" s="7">
        <v>54000</v>
      </c>
      <c r="C2987" s="7">
        <v>4.3179999999999996</v>
      </c>
      <c r="D2987" s="2">
        <f t="shared" si="720"/>
        <v>-1.3000000000000789E-2</v>
      </c>
      <c r="E2987" s="8">
        <f t="shared" si="717"/>
        <v>4.3179869940280762</v>
      </c>
      <c r="F2987" s="6">
        <f t="shared" si="714"/>
        <v>4.3449923962633067E-3</v>
      </c>
      <c r="G2987" s="12">
        <f t="shared" si="719"/>
        <v>1.3005971923440995E-5</v>
      </c>
    </row>
    <row r="2988" spans="1:18" x14ac:dyDescent="0.3">
      <c r="A2988" s="21"/>
      <c r="B2988" s="22"/>
      <c r="C2988" s="22"/>
      <c r="D2988" s="22"/>
      <c r="E2988" s="22"/>
      <c r="F2988" s="22"/>
      <c r="G2988" s="23"/>
      <c r="H2988" s="4" t="s">
        <v>3163</v>
      </c>
      <c r="J2988" s="4"/>
      <c r="O2988" s="3">
        <f>1/10000000</f>
        <v>9.9999999999999995E-8</v>
      </c>
      <c r="P2988" s="3">
        <f>O2988*20</f>
        <v>1.9999999999999999E-6</v>
      </c>
      <c r="Q2988" s="3" t="s">
        <v>3163</v>
      </c>
      <c r="R2988" s="3">
        <v>222544</v>
      </c>
    </row>
    <row r="2989" spans="1:18" x14ac:dyDescent="0.3">
      <c r="A2989" s="11" t="s">
        <v>2808</v>
      </c>
      <c r="B2989" s="7">
        <v>54020</v>
      </c>
      <c r="C2989" s="7">
        <v>4.2880000000000003</v>
      </c>
      <c r="D2989" s="2">
        <f>C2989-C2987</f>
        <v>-2.9999999999999361E-2</v>
      </c>
      <c r="E2989" s="8">
        <f>E2987-F2989</f>
        <v>4.3179849940280759</v>
      </c>
      <c r="F2989" s="6">
        <f>P2988</f>
        <v>1.9999999999999999E-6</v>
      </c>
      <c r="G2989" s="12">
        <f>C2989-E2989</f>
        <v>-2.998499402807564E-2</v>
      </c>
      <c r="H2989" s="3">
        <f>B2987</f>
        <v>54000</v>
      </c>
      <c r="I2989" s="3">
        <f>B3090</f>
        <v>56000</v>
      </c>
      <c r="J2989" s="3">
        <f>I2989-H2989</f>
        <v>2000</v>
      </c>
      <c r="K2989" s="5">
        <f>E2987</f>
        <v>4.3179869940280762</v>
      </c>
      <c r="L2989" s="3">
        <f>C3090</f>
        <v>4.3090000000000002</v>
      </c>
      <c r="M2989" s="5">
        <f>L2989-K2989</f>
        <v>-8.9869940280760119E-3</v>
      </c>
      <c r="N2989" s="3">
        <f>J2989/M2989</f>
        <v>-222543.82207797814</v>
      </c>
      <c r="O2989" s="3">
        <v>222544</v>
      </c>
    </row>
    <row r="2990" spans="1:18" x14ac:dyDescent="0.3">
      <c r="A2990" s="11" t="s">
        <v>2809</v>
      </c>
      <c r="B2990" s="7">
        <v>54040</v>
      </c>
      <c r="C2990" s="7">
        <v>4.2539999999999996</v>
      </c>
      <c r="D2990" s="2">
        <f t="shared" si="720"/>
        <v>-3.4000000000000696E-2</v>
      </c>
      <c r="E2990" s="8">
        <f>E2989-F2989</f>
        <v>4.3179829940280756</v>
      </c>
      <c r="F2990" s="6">
        <f t="shared" ref="F2990" si="721">F2989</f>
        <v>1.9999999999999999E-6</v>
      </c>
      <c r="G2990" s="12">
        <f t="shared" ref="G2990" si="722">C2990-E2990</f>
        <v>-6.3982994028076057E-2</v>
      </c>
    </row>
    <row r="2991" spans="1:18" x14ac:dyDescent="0.3">
      <c r="A2991" s="11" t="s">
        <v>2810</v>
      </c>
      <c r="B2991" s="7">
        <v>54060</v>
      </c>
      <c r="C2991" s="7">
        <v>4.2350000000000003</v>
      </c>
      <c r="D2991" s="2">
        <f t="shared" si="720"/>
        <v>-1.899999999999924E-2</v>
      </c>
      <c r="E2991" s="8">
        <f t="shared" ref="E2991:E3039" si="723">E2990-F2990</f>
        <v>4.3179809940280753</v>
      </c>
      <c r="F2991" s="6">
        <f t="shared" si="714"/>
        <v>1.9999999999999999E-6</v>
      </c>
      <c r="G2991" s="12">
        <f t="shared" ref="G2991:G3014" si="724">C2991-E2991</f>
        <v>-8.2980994028075017E-2</v>
      </c>
    </row>
    <row r="2992" spans="1:18" x14ac:dyDescent="0.3">
      <c r="A2992" s="11" t="s">
        <v>2811</v>
      </c>
      <c r="B2992" s="7">
        <v>54080</v>
      </c>
      <c r="C2992" s="7">
        <v>4.218</v>
      </c>
      <c r="D2992" s="2">
        <f t="shared" si="720"/>
        <v>-1.7000000000000348E-2</v>
      </c>
      <c r="E2992" s="8">
        <f t="shared" si="723"/>
        <v>4.3179789940280751</v>
      </c>
      <c r="F2992" s="6">
        <f t="shared" si="714"/>
        <v>1.9999999999999999E-6</v>
      </c>
      <c r="G2992" s="12">
        <f t="shared" si="724"/>
        <v>-9.9978994028075086E-2</v>
      </c>
    </row>
    <row r="2993" spans="1:7" x14ac:dyDescent="0.3">
      <c r="A2993" s="11" t="s">
        <v>2812</v>
      </c>
      <c r="B2993" s="7">
        <v>54100</v>
      </c>
      <c r="C2993" s="7">
        <v>4.2140000000000004</v>
      </c>
      <c r="D2993" s="2">
        <f t="shared" si="720"/>
        <v>-3.9999999999995595E-3</v>
      </c>
      <c r="E2993" s="8">
        <f t="shared" si="723"/>
        <v>4.3179769940280748</v>
      </c>
      <c r="F2993" s="6">
        <f t="shared" si="714"/>
        <v>1.9999999999999999E-6</v>
      </c>
      <c r="G2993" s="12">
        <f t="shared" si="724"/>
        <v>-0.10397699402807437</v>
      </c>
    </row>
    <row r="2994" spans="1:7" x14ac:dyDescent="0.3">
      <c r="A2994" s="11" t="s">
        <v>2813</v>
      </c>
      <c r="B2994" s="7">
        <v>54120</v>
      </c>
      <c r="C2994" s="7">
        <v>4.2160000000000002</v>
      </c>
      <c r="D2994" s="2">
        <f t="shared" si="720"/>
        <v>1.9999999999997797E-3</v>
      </c>
      <c r="E2994" s="8">
        <f t="shared" si="723"/>
        <v>4.3179749940280745</v>
      </c>
      <c r="F2994" s="6">
        <f t="shared" si="714"/>
        <v>1.9999999999999999E-6</v>
      </c>
      <c r="G2994" s="12">
        <f t="shared" si="724"/>
        <v>-0.10197499402807431</v>
      </c>
    </row>
    <row r="2995" spans="1:7" x14ac:dyDescent="0.3">
      <c r="A2995" s="11" t="s">
        <v>2814</v>
      </c>
      <c r="B2995" s="7">
        <v>54140</v>
      </c>
      <c r="C2995" s="7">
        <v>4.21</v>
      </c>
      <c r="D2995" s="2">
        <f t="shared" si="720"/>
        <v>-6.0000000000002274E-3</v>
      </c>
      <c r="E2995" s="8">
        <f t="shared" si="723"/>
        <v>4.3179729940280742</v>
      </c>
      <c r="F2995" s="6">
        <f t="shared" ref="F2995:F3059" si="725">F2994</f>
        <v>1.9999999999999999E-6</v>
      </c>
      <c r="G2995" s="12">
        <f t="shared" si="724"/>
        <v>-0.10797299402807425</v>
      </c>
    </row>
    <row r="2996" spans="1:7" x14ac:dyDescent="0.3">
      <c r="A2996" s="11" t="s">
        <v>2815</v>
      </c>
      <c r="B2996" s="7">
        <v>54160</v>
      </c>
      <c r="C2996" s="7">
        <v>4.1840000000000002</v>
      </c>
      <c r="D2996" s="2">
        <f t="shared" si="720"/>
        <v>-2.5999999999999801E-2</v>
      </c>
      <c r="E2996" s="8">
        <f t="shared" si="723"/>
        <v>4.3179709940280739</v>
      </c>
      <c r="F2996" s="6">
        <f t="shared" si="725"/>
        <v>1.9999999999999999E-6</v>
      </c>
      <c r="G2996" s="12">
        <f t="shared" si="724"/>
        <v>-0.13397099402807378</v>
      </c>
    </row>
    <row r="2997" spans="1:7" x14ac:dyDescent="0.3">
      <c r="A2997" s="11" t="s">
        <v>2816</v>
      </c>
      <c r="B2997" s="7">
        <v>54180</v>
      </c>
      <c r="C2997" s="7">
        <v>4.1970000000000001</v>
      </c>
      <c r="D2997" s="2">
        <f t="shared" si="720"/>
        <v>1.2999999999999901E-2</v>
      </c>
      <c r="E2997" s="8">
        <f t="shared" si="723"/>
        <v>4.3179689940280737</v>
      </c>
      <c r="F2997" s="6">
        <f t="shared" si="725"/>
        <v>1.9999999999999999E-6</v>
      </c>
      <c r="G2997" s="12">
        <f t="shared" si="724"/>
        <v>-0.1209689940280736</v>
      </c>
    </row>
    <row r="2998" spans="1:7" x14ac:dyDescent="0.3">
      <c r="A2998" s="11" t="s">
        <v>2817</v>
      </c>
      <c r="B2998" s="7">
        <v>54200</v>
      </c>
      <c r="C2998" s="7">
        <v>4.2320000000000002</v>
      </c>
      <c r="D2998" s="2">
        <f t="shared" si="720"/>
        <v>3.5000000000000142E-2</v>
      </c>
      <c r="E2998" s="8">
        <f t="shared" si="723"/>
        <v>4.3179669940280734</v>
      </c>
      <c r="F2998" s="6">
        <f t="shared" si="725"/>
        <v>1.9999999999999999E-6</v>
      </c>
      <c r="G2998" s="12">
        <f t="shared" si="724"/>
        <v>-8.5966994028073174E-2</v>
      </c>
    </row>
    <row r="2999" spans="1:7" x14ac:dyDescent="0.3">
      <c r="A2999" s="11" t="s">
        <v>2818</v>
      </c>
      <c r="B2999" s="7">
        <v>54220</v>
      </c>
      <c r="C2999" s="7">
        <v>4.24</v>
      </c>
      <c r="D2999" s="2">
        <f t="shared" si="720"/>
        <v>8.0000000000000071E-3</v>
      </c>
      <c r="E2999" s="8">
        <f t="shared" si="723"/>
        <v>4.3179649940280731</v>
      </c>
      <c r="F2999" s="6">
        <f t="shared" si="725"/>
        <v>1.9999999999999999E-6</v>
      </c>
      <c r="G2999" s="12">
        <f t="shared" si="724"/>
        <v>-7.7964994028072887E-2</v>
      </c>
    </row>
    <row r="3000" spans="1:7" x14ac:dyDescent="0.3">
      <c r="A3000" s="11" t="s">
        <v>2819</v>
      </c>
      <c r="B3000" s="7">
        <v>54240</v>
      </c>
      <c r="C3000" s="7">
        <v>4.2510000000000003</v>
      </c>
      <c r="D3000" s="2">
        <f t="shared" si="720"/>
        <v>1.1000000000000121E-2</v>
      </c>
      <c r="E3000" s="8">
        <f t="shared" si="723"/>
        <v>4.3179629940280728</v>
      </c>
      <c r="F3000" s="6">
        <f t="shared" si="725"/>
        <v>1.9999999999999999E-6</v>
      </c>
      <c r="G3000" s="12">
        <f t="shared" si="724"/>
        <v>-6.6962994028072487E-2</v>
      </c>
    </row>
    <row r="3001" spans="1:7" x14ac:dyDescent="0.3">
      <c r="A3001" s="11" t="s">
        <v>2820</v>
      </c>
      <c r="B3001" s="7">
        <v>54260</v>
      </c>
      <c r="C3001" s="7">
        <v>4.26</v>
      </c>
      <c r="D3001" s="2">
        <f t="shared" si="720"/>
        <v>8.9999999999994529E-3</v>
      </c>
      <c r="E3001" s="8">
        <f t="shared" si="723"/>
        <v>4.3179609940280725</v>
      </c>
      <c r="F3001" s="6">
        <f t="shared" si="725"/>
        <v>1.9999999999999999E-6</v>
      </c>
      <c r="G3001" s="12">
        <f t="shared" si="724"/>
        <v>-5.7960994028072754E-2</v>
      </c>
    </row>
    <row r="3002" spans="1:7" x14ac:dyDescent="0.3">
      <c r="A3002" s="11" t="s">
        <v>2821</v>
      </c>
      <c r="B3002" s="7">
        <v>54280</v>
      </c>
      <c r="C3002" s="7">
        <v>4.2629999999999999</v>
      </c>
      <c r="D3002" s="2">
        <f t="shared" si="720"/>
        <v>3.0000000000001137E-3</v>
      </c>
      <c r="E3002" s="8">
        <f t="shared" si="723"/>
        <v>4.3179589940280723</v>
      </c>
      <c r="F3002" s="6">
        <f t="shared" si="725"/>
        <v>1.9999999999999999E-6</v>
      </c>
      <c r="G3002" s="12">
        <f t="shared" si="724"/>
        <v>-5.4958994028072361E-2</v>
      </c>
    </row>
    <row r="3003" spans="1:7" x14ac:dyDescent="0.3">
      <c r="A3003" s="11" t="s">
        <v>2822</v>
      </c>
      <c r="B3003" s="7">
        <v>54300</v>
      </c>
      <c r="C3003" s="7">
        <v>4.2709999999999999</v>
      </c>
      <c r="D3003" s="2">
        <f t="shared" si="720"/>
        <v>8.0000000000000071E-3</v>
      </c>
      <c r="E3003" s="8">
        <f t="shared" si="723"/>
        <v>4.317956994028072</v>
      </c>
      <c r="F3003" s="6">
        <f t="shared" si="725"/>
        <v>1.9999999999999999E-6</v>
      </c>
      <c r="G3003" s="12">
        <f t="shared" si="724"/>
        <v>-4.6956994028072074E-2</v>
      </c>
    </row>
    <row r="3004" spans="1:7" x14ac:dyDescent="0.3">
      <c r="A3004" s="11" t="s">
        <v>2823</v>
      </c>
      <c r="B3004" s="7">
        <v>54320</v>
      </c>
      <c r="C3004" s="7">
        <v>4.274</v>
      </c>
      <c r="D3004" s="2">
        <f t="shared" si="720"/>
        <v>3.0000000000001137E-3</v>
      </c>
      <c r="E3004" s="8">
        <f t="shared" si="723"/>
        <v>4.3179549940280717</v>
      </c>
      <c r="F3004" s="6">
        <f t="shared" si="725"/>
        <v>1.9999999999999999E-6</v>
      </c>
      <c r="G3004" s="12">
        <f t="shared" si="724"/>
        <v>-4.3954994028071681E-2</v>
      </c>
    </row>
    <row r="3005" spans="1:7" x14ac:dyDescent="0.3">
      <c r="A3005" s="11" t="s">
        <v>2824</v>
      </c>
      <c r="B3005" s="7">
        <v>54340</v>
      </c>
      <c r="C3005" s="7">
        <v>4.2759999999999998</v>
      </c>
      <c r="D3005" s="2">
        <f t="shared" si="720"/>
        <v>1.9999999999997797E-3</v>
      </c>
      <c r="E3005" s="8">
        <f t="shared" si="723"/>
        <v>4.3179529940280714</v>
      </c>
      <c r="F3005" s="6">
        <f t="shared" si="725"/>
        <v>1.9999999999999999E-6</v>
      </c>
      <c r="G3005" s="12">
        <f t="shared" si="724"/>
        <v>-4.1952994028071622E-2</v>
      </c>
    </row>
    <row r="3006" spans="1:7" x14ac:dyDescent="0.3">
      <c r="A3006" s="11" t="s">
        <v>2825</v>
      </c>
      <c r="B3006" s="7">
        <v>54360</v>
      </c>
      <c r="C3006" s="7">
        <v>4.2670000000000003</v>
      </c>
      <c r="D3006" s="2">
        <f t="shared" si="720"/>
        <v>-8.9999999999994529E-3</v>
      </c>
      <c r="E3006" s="8">
        <f t="shared" si="723"/>
        <v>4.3179509940280711</v>
      </c>
      <c r="F3006" s="6">
        <f t="shared" si="725"/>
        <v>1.9999999999999999E-6</v>
      </c>
      <c r="G3006" s="12">
        <f t="shared" si="724"/>
        <v>-5.0950994028070795E-2</v>
      </c>
    </row>
    <row r="3007" spans="1:7" x14ac:dyDescent="0.3">
      <c r="A3007" s="11" t="s">
        <v>2826</v>
      </c>
      <c r="B3007" s="7">
        <v>54380</v>
      </c>
      <c r="C3007" s="7">
        <v>4.242</v>
      </c>
      <c r="D3007" s="2">
        <f t="shared" si="720"/>
        <v>-2.5000000000000355E-2</v>
      </c>
      <c r="E3007" s="8">
        <f t="shared" si="723"/>
        <v>4.3179489940280709</v>
      </c>
      <c r="F3007" s="6">
        <f t="shared" si="725"/>
        <v>1.9999999999999999E-6</v>
      </c>
      <c r="G3007" s="12">
        <f t="shared" si="724"/>
        <v>-7.5948994028070871E-2</v>
      </c>
    </row>
    <row r="3008" spans="1:7" x14ac:dyDescent="0.3">
      <c r="A3008" s="11" t="s">
        <v>2827</v>
      </c>
      <c r="B3008" s="7">
        <v>54400</v>
      </c>
      <c r="C3008" s="7">
        <v>4.2439999999999998</v>
      </c>
      <c r="D3008" s="2">
        <f t="shared" si="720"/>
        <v>1.9999999999997797E-3</v>
      </c>
      <c r="E3008" s="8">
        <f t="shared" si="723"/>
        <v>4.3179469940280706</v>
      </c>
      <c r="F3008" s="6">
        <f t="shared" si="725"/>
        <v>1.9999999999999999E-6</v>
      </c>
      <c r="G3008" s="12">
        <f t="shared" si="724"/>
        <v>-7.3946994028070812E-2</v>
      </c>
    </row>
    <row r="3009" spans="1:7" x14ac:dyDescent="0.3">
      <c r="A3009" s="11" t="s">
        <v>2828</v>
      </c>
      <c r="B3009" s="7">
        <v>54420</v>
      </c>
      <c r="C3009" s="7">
        <v>4.2329999999999997</v>
      </c>
      <c r="D3009" s="2">
        <f t="shared" si="720"/>
        <v>-1.1000000000000121E-2</v>
      </c>
      <c r="E3009" s="8">
        <f t="shared" si="723"/>
        <v>4.3179449940280703</v>
      </c>
      <c r="F3009" s="6">
        <f t="shared" si="725"/>
        <v>1.9999999999999999E-6</v>
      </c>
      <c r="G3009" s="12">
        <f t="shared" si="724"/>
        <v>-8.4944994028070653E-2</v>
      </c>
    </row>
    <row r="3010" spans="1:7" x14ac:dyDescent="0.3">
      <c r="A3010" s="11" t="s">
        <v>2829</v>
      </c>
      <c r="B3010" s="7">
        <v>54440</v>
      </c>
      <c r="C3010" s="7">
        <v>4.0750000000000002</v>
      </c>
      <c r="D3010" s="2">
        <f t="shared" si="720"/>
        <v>-0.15799999999999947</v>
      </c>
      <c r="E3010" s="8">
        <f t="shared" si="723"/>
        <v>4.31794299402807</v>
      </c>
      <c r="F3010" s="6">
        <f t="shared" si="725"/>
        <v>1.9999999999999999E-6</v>
      </c>
      <c r="G3010" s="12">
        <f t="shared" si="724"/>
        <v>-0.24294299402806985</v>
      </c>
    </row>
    <row r="3011" spans="1:7" x14ac:dyDescent="0.3">
      <c r="A3011" s="11" t="s">
        <v>2830</v>
      </c>
      <c r="B3011" s="7">
        <v>54460</v>
      </c>
      <c r="C3011" s="7">
        <v>4.21</v>
      </c>
      <c r="D3011" s="2">
        <f t="shared" si="720"/>
        <v>0.13499999999999979</v>
      </c>
      <c r="E3011" s="8">
        <f t="shared" si="723"/>
        <v>4.3179409940280697</v>
      </c>
      <c r="F3011" s="6">
        <f t="shared" si="725"/>
        <v>1.9999999999999999E-6</v>
      </c>
      <c r="G3011" s="12">
        <f t="shared" si="724"/>
        <v>-0.10794099402806978</v>
      </c>
    </row>
    <row r="3012" spans="1:7" x14ac:dyDescent="0.3">
      <c r="A3012" s="11" t="s">
        <v>2831</v>
      </c>
      <c r="B3012" s="7">
        <v>54480</v>
      </c>
      <c r="C3012" s="7">
        <v>4.1829999999999998</v>
      </c>
      <c r="D3012" s="2">
        <f t="shared" si="720"/>
        <v>-2.7000000000000135E-2</v>
      </c>
      <c r="E3012" s="8">
        <f t="shared" si="723"/>
        <v>4.3179389940280695</v>
      </c>
      <c r="F3012" s="6">
        <f t="shared" si="725"/>
        <v>1.9999999999999999E-6</v>
      </c>
      <c r="G3012" s="12">
        <f t="shared" si="724"/>
        <v>-0.13493899402806964</v>
      </c>
    </row>
    <row r="3013" spans="1:7" x14ac:dyDescent="0.3">
      <c r="A3013" s="11" t="s">
        <v>2832</v>
      </c>
      <c r="B3013" s="7">
        <v>54500</v>
      </c>
      <c r="C3013" s="7">
        <v>4.1749999999999998</v>
      </c>
      <c r="D3013" s="2">
        <f t="shared" si="720"/>
        <v>-8.0000000000000071E-3</v>
      </c>
      <c r="E3013" s="8">
        <f t="shared" si="723"/>
        <v>4.3179369940280692</v>
      </c>
      <c r="F3013" s="6">
        <f t="shared" si="725"/>
        <v>1.9999999999999999E-6</v>
      </c>
      <c r="G3013" s="12">
        <f t="shared" si="724"/>
        <v>-0.14293699402806936</v>
      </c>
    </row>
    <row r="3014" spans="1:7" x14ac:dyDescent="0.3">
      <c r="A3014" s="11" t="s">
        <v>2833</v>
      </c>
      <c r="B3014" s="7">
        <v>54520</v>
      </c>
      <c r="C3014" s="7">
        <v>4.1929999999999996</v>
      </c>
      <c r="D3014" s="2">
        <f t="shared" si="720"/>
        <v>1.7999999999999794E-2</v>
      </c>
      <c r="E3014" s="8">
        <f t="shared" si="723"/>
        <v>4.3179349940280689</v>
      </c>
      <c r="F3014" s="6">
        <f t="shared" si="725"/>
        <v>1.9999999999999999E-6</v>
      </c>
      <c r="G3014" s="12">
        <f t="shared" si="724"/>
        <v>-0.12493499402806929</v>
      </c>
    </row>
    <row r="3015" spans="1:7" x14ac:dyDescent="0.3">
      <c r="A3015" s="11" t="s">
        <v>2834</v>
      </c>
      <c r="B3015" s="7">
        <v>54540</v>
      </c>
      <c r="C3015" s="7">
        <v>4.202</v>
      </c>
      <c r="D3015" s="2">
        <f t="shared" si="720"/>
        <v>9.0000000000003411E-3</v>
      </c>
      <c r="E3015" s="8">
        <f t="shared" si="723"/>
        <v>4.3179329940280686</v>
      </c>
      <c r="F3015" s="6">
        <f t="shared" si="725"/>
        <v>1.9999999999999999E-6</v>
      </c>
      <c r="G3015" s="12">
        <f t="shared" ref="G3015:G3039" si="726">C3015-E3015</f>
        <v>-0.11593299402806867</v>
      </c>
    </row>
    <row r="3016" spans="1:7" x14ac:dyDescent="0.3">
      <c r="A3016" s="11" t="s">
        <v>2835</v>
      </c>
      <c r="B3016" s="7">
        <v>54560</v>
      </c>
      <c r="C3016" s="7">
        <v>4.226</v>
      </c>
      <c r="D3016" s="2">
        <f t="shared" si="720"/>
        <v>2.4000000000000021E-2</v>
      </c>
      <c r="E3016" s="8">
        <f t="shared" si="723"/>
        <v>4.3179309940280683</v>
      </c>
      <c r="F3016" s="6">
        <f t="shared" si="725"/>
        <v>1.9999999999999999E-6</v>
      </c>
      <c r="G3016" s="12">
        <f t="shared" si="726"/>
        <v>-9.1930994028068369E-2</v>
      </c>
    </row>
    <row r="3017" spans="1:7" x14ac:dyDescent="0.3">
      <c r="A3017" s="11" t="s">
        <v>2836</v>
      </c>
      <c r="B3017" s="7">
        <v>54580</v>
      </c>
      <c r="C3017" s="7">
        <v>4.2439999999999998</v>
      </c>
      <c r="D3017" s="2">
        <f t="shared" si="720"/>
        <v>1.7999999999999794E-2</v>
      </c>
      <c r="E3017" s="8">
        <f t="shared" si="723"/>
        <v>4.3179289940280681</v>
      </c>
      <c r="F3017" s="6">
        <f t="shared" si="725"/>
        <v>1.9999999999999999E-6</v>
      </c>
      <c r="G3017" s="12">
        <f t="shared" si="726"/>
        <v>-7.3928994028068296E-2</v>
      </c>
    </row>
    <row r="3018" spans="1:7" x14ac:dyDescent="0.3">
      <c r="A3018" s="11" t="s">
        <v>2837</v>
      </c>
      <c r="B3018" s="7">
        <v>54600</v>
      </c>
      <c r="C3018" s="7">
        <v>4.2629999999999999</v>
      </c>
      <c r="D3018" s="2">
        <f t="shared" si="720"/>
        <v>1.9000000000000128E-2</v>
      </c>
      <c r="E3018" s="8">
        <f t="shared" si="723"/>
        <v>4.3179269940280678</v>
      </c>
      <c r="F3018" s="6">
        <f t="shared" si="725"/>
        <v>1.9999999999999999E-6</v>
      </c>
      <c r="G3018" s="12">
        <f t="shared" si="726"/>
        <v>-5.4926994028067888E-2</v>
      </c>
    </row>
    <row r="3019" spans="1:7" x14ac:dyDescent="0.3">
      <c r="A3019" s="11" t="s">
        <v>2838</v>
      </c>
      <c r="B3019" s="7">
        <v>54620</v>
      </c>
      <c r="C3019" s="7">
        <v>4.2750000000000004</v>
      </c>
      <c r="D3019" s="2">
        <f t="shared" si="720"/>
        <v>1.2000000000000455E-2</v>
      </c>
      <c r="E3019" s="8">
        <f t="shared" si="723"/>
        <v>4.3179249940280675</v>
      </c>
      <c r="F3019" s="6">
        <f t="shared" si="725"/>
        <v>1.9999999999999999E-6</v>
      </c>
      <c r="G3019" s="12">
        <f t="shared" si="726"/>
        <v>-4.2924994028067154E-2</v>
      </c>
    </row>
    <row r="3020" spans="1:7" x14ac:dyDescent="0.3">
      <c r="A3020" s="11" t="s">
        <v>2839</v>
      </c>
      <c r="B3020" s="7">
        <v>54640</v>
      </c>
      <c r="C3020" s="7">
        <v>4.2460000000000004</v>
      </c>
      <c r="D3020" s="2">
        <f t="shared" si="720"/>
        <v>-2.8999999999999915E-2</v>
      </c>
      <c r="E3020" s="8">
        <f t="shared" si="723"/>
        <v>4.3179229940280672</v>
      </c>
      <c r="F3020" s="6">
        <f t="shared" si="725"/>
        <v>1.9999999999999999E-6</v>
      </c>
      <c r="G3020" s="12">
        <f t="shared" si="726"/>
        <v>-7.1922994028066789E-2</v>
      </c>
    </row>
    <row r="3021" spans="1:7" x14ac:dyDescent="0.3">
      <c r="A3021" s="11" t="s">
        <v>2840</v>
      </c>
      <c r="B3021" s="7">
        <v>54660</v>
      </c>
      <c r="C3021" s="7">
        <v>4.2249999999999996</v>
      </c>
      <c r="D3021" s="2">
        <f t="shared" si="720"/>
        <v>-2.1000000000000796E-2</v>
      </c>
      <c r="E3021" s="8">
        <f t="shared" si="723"/>
        <v>4.3179209940280669</v>
      </c>
      <c r="F3021" s="6">
        <f t="shared" si="725"/>
        <v>1.9999999999999999E-6</v>
      </c>
      <c r="G3021" s="12">
        <f t="shared" si="726"/>
        <v>-9.2920994028067305E-2</v>
      </c>
    </row>
    <row r="3022" spans="1:7" x14ac:dyDescent="0.3">
      <c r="A3022" s="11" t="s">
        <v>2841</v>
      </c>
      <c r="B3022" s="7">
        <v>54680</v>
      </c>
      <c r="C3022" s="7">
        <v>4.2130000000000001</v>
      </c>
      <c r="D3022" s="2">
        <f t="shared" si="720"/>
        <v>-1.1999999999999567E-2</v>
      </c>
      <c r="E3022" s="8">
        <f t="shared" si="723"/>
        <v>4.3179189940280667</v>
      </c>
      <c r="F3022" s="6">
        <f t="shared" si="725"/>
        <v>1.9999999999999999E-6</v>
      </c>
      <c r="G3022" s="12">
        <f t="shared" si="726"/>
        <v>-0.10491899402806659</v>
      </c>
    </row>
    <row r="3023" spans="1:7" x14ac:dyDescent="0.3">
      <c r="A3023" s="11" t="s">
        <v>2842</v>
      </c>
      <c r="B3023" s="7">
        <v>54700</v>
      </c>
      <c r="C3023" s="7">
        <v>4.194</v>
      </c>
      <c r="D3023" s="2">
        <f t="shared" si="720"/>
        <v>-1.9000000000000128E-2</v>
      </c>
      <c r="E3023" s="8">
        <f t="shared" si="723"/>
        <v>4.3179169940280664</v>
      </c>
      <c r="F3023" s="6">
        <f t="shared" si="725"/>
        <v>1.9999999999999999E-6</v>
      </c>
      <c r="G3023" s="12">
        <f t="shared" si="726"/>
        <v>-0.12391699402806644</v>
      </c>
    </row>
    <row r="3024" spans="1:7" x14ac:dyDescent="0.3">
      <c r="A3024" s="11" t="s">
        <v>2843</v>
      </c>
      <c r="B3024" s="7">
        <v>54720</v>
      </c>
      <c r="C3024" s="7">
        <v>4.1829999999999998</v>
      </c>
      <c r="D3024" s="2">
        <f t="shared" si="720"/>
        <v>-1.1000000000000121E-2</v>
      </c>
      <c r="E3024" s="8">
        <f t="shared" si="723"/>
        <v>4.3179149940280661</v>
      </c>
      <c r="F3024" s="6">
        <f t="shared" si="725"/>
        <v>1.9999999999999999E-6</v>
      </c>
      <c r="G3024" s="12">
        <f t="shared" si="726"/>
        <v>-0.13491499402806628</v>
      </c>
    </row>
    <row r="3025" spans="1:7" x14ac:dyDescent="0.3">
      <c r="A3025" s="11" t="s">
        <v>2844</v>
      </c>
      <c r="B3025" s="7">
        <v>54740</v>
      </c>
      <c r="C3025" s="7">
        <v>4.1779999999999999</v>
      </c>
      <c r="D3025" s="2">
        <f t="shared" si="720"/>
        <v>-4.9999999999998934E-3</v>
      </c>
      <c r="E3025" s="8">
        <f t="shared" si="723"/>
        <v>4.3179129940280658</v>
      </c>
      <c r="F3025" s="6">
        <f t="shared" si="725"/>
        <v>1.9999999999999999E-6</v>
      </c>
      <c r="G3025" s="12">
        <f t="shared" si="726"/>
        <v>-0.1399129940280659</v>
      </c>
    </row>
    <row r="3026" spans="1:7" x14ac:dyDescent="0.3">
      <c r="A3026" s="11" t="s">
        <v>2845</v>
      </c>
      <c r="B3026" s="7">
        <v>54760</v>
      </c>
      <c r="C3026" s="7">
        <v>4.1840000000000002</v>
      </c>
      <c r="D3026" s="2">
        <f t="shared" si="720"/>
        <v>6.0000000000002274E-3</v>
      </c>
      <c r="E3026" s="8">
        <f t="shared" si="723"/>
        <v>4.3179109940280656</v>
      </c>
      <c r="F3026" s="6">
        <f t="shared" si="725"/>
        <v>1.9999999999999999E-6</v>
      </c>
      <c r="G3026" s="12">
        <f t="shared" si="726"/>
        <v>-0.13391099402806539</v>
      </c>
    </row>
    <row r="3027" spans="1:7" x14ac:dyDescent="0.3">
      <c r="A3027" s="11" t="s">
        <v>2846</v>
      </c>
      <c r="B3027" s="7">
        <v>54780</v>
      </c>
      <c r="C3027" s="7">
        <v>4.2060000000000004</v>
      </c>
      <c r="D3027" s="2">
        <f t="shared" si="720"/>
        <v>2.2000000000000242E-2</v>
      </c>
      <c r="E3027" s="8">
        <f t="shared" si="723"/>
        <v>4.3179089940280653</v>
      </c>
      <c r="F3027" s="6">
        <f t="shared" si="725"/>
        <v>1.9999999999999999E-6</v>
      </c>
      <c r="G3027" s="12">
        <f t="shared" si="726"/>
        <v>-0.11190899402806487</v>
      </c>
    </row>
    <row r="3028" spans="1:7" x14ac:dyDescent="0.3">
      <c r="A3028" s="11" t="s">
        <v>2847</v>
      </c>
      <c r="B3028" s="7">
        <v>54800</v>
      </c>
      <c r="C3028" s="7">
        <v>4.2130000000000001</v>
      </c>
      <c r="D3028" s="2">
        <f t="shared" si="720"/>
        <v>6.9999999999996732E-3</v>
      </c>
      <c r="E3028" s="8">
        <f t="shared" si="723"/>
        <v>4.317906994028065</v>
      </c>
      <c r="F3028" s="6">
        <f t="shared" si="725"/>
        <v>1.9999999999999999E-6</v>
      </c>
      <c r="G3028" s="12">
        <f t="shared" si="726"/>
        <v>-0.10490699402806491</v>
      </c>
    </row>
    <row r="3029" spans="1:7" x14ac:dyDescent="0.3">
      <c r="A3029" s="11" t="s">
        <v>2848</v>
      </c>
      <c r="B3029" s="7">
        <v>54820</v>
      </c>
      <c r="C3029" s="7">
        <v>4.2190000000000003</v>
      </c>
      <c r="D3029" s="2">
        <f t="shared" si="720"/>
        <v>6.0000000000002274E-3</v>
      </c>
      <c r="E3029" s="8">
        <f t="shared" si="723"/>
        <v>4.3179049940280647</v>
      </c>
      <c r="F3029" s="6">
        <f t="shared" si="725"/>
        <v>1.9999999999999999E-6</v>
      </c>
      <c r="G3029" s="12">
        <f t="shared" si="726"/>
        <v>-9.8904994028064408E-2</v>
      </c>
    </row>
    <row r="3030" spans="1:7" x14ac:dyDescent="0.3">
      <c r="A3030" s="11" t="s">
        <v>2849</v>
      </c>
      <c r="B3030" s="7">
        <v>54840</v>
      </c>
      <c r="C3030" s="7">
        <v>4.2220000000000004</v>
      </c>
      <c r="D3030" s="2">
        <f t="shared" si="720"/>
        <v>3.0000000000001137E-3</v>
      </c>
      <c r="E3030" s="8">
        <f t="shared" si="723"/>
        <v>4.3179029940280644</v>
      </c>
      <c r="F3030" s="6">
        <f t="shared" si="725"/>
        <v>1.9999999999999999E-6</v>
      </c>
      <c r="G3030" s="12">
        <f t="shared" si="726"/>
        <v>-9.5902994028064015E-2</v>
      </c>
    </row>
    <row r="3031" spans="1:7" x14ac:dyDescent="0.3">
      <c r="A3031" s="11" t="s">
        <v>2850</v>
      </c>
      <c r="B3031" s="7">
        <v>54860</v>
      </c>
      <c r="C3031" s="7">
        <v>4.2220000000000004</v>
      </c>
      <c r="D3031" s="2">
        <f t="shared" si="720"/>
        <v>0</v>
      </c>
      <c r="E3031" s="8">
        <f t="shared" si="723"/>
        <v>4.3179009940280642</v>
      </c>
      <c r="F3031" s="6">
        <f t="shared" si="725"/>
        <v>1.9999999999999999E-6</v>
      </c>
      <c r="G3031" s="12">
        <f t="shared" si="726"/>
        <v>-9.5900994028063735E-2</v>
      </c>
    </row>
    <row r="3032" spans="1:7" x14ac:dyDescent="0.3">
      <c r="A3032" s="11" t="s">
        <v>2851</v>
      </c>
      <c r="B3032" s="7">
        <v>54880</v>
      </c>
      <c r="C3032" s="7">
        <v>4.2210000000000001</v>
      </c>
      <c r="D3032" s="2">
        <f t="shared" si="720"/>
        <v>-1.000000000000334E-3</v>
      </c>
      <c r="E3032" s="8">
        <f t="shared" si="723"/>
        <v>4.3178989940280639</v>
      </c>
      <c r="F3032" s="6">
        <f t="shared" si="725"/>
        <v>1.9999999999999999E-6</v>
      </c>
      <c r="G3032" s="12">
        <f t="shared" si="726"/>
        <v>-9.689899402806379E-2</v>
      </c>
    </row>
    <row r="3033" spans="1:7" x14ac:dyDescent="0.3">
      <c r="A3033" s="11" t="s">
        <v>2852</v>
      </c>
      <c r="B3033" s="7">
        <v>54900</v>
      </c>
      <c r="C3033" s="7">
        <v>4.22</v>
      </c>
      <c r="D3033" s="2">
        <f t="shared" si="720"/>
        <v>-1.000000000000334E-3</v>
      </c>
      <c r="E3033" s="8">
        <f t="shared" si="723"/>
        <v>4.3178969940280636</v>
      </c>
      <c r="F3033" s="6">
        <f t="shared" si="725"/>
        <v>1.9999999999999999E-6</v>
      </c>
      <c r="G3033" s="12">
        <f t="shared" si="726"/>
        <v>-9.7896994028063844E-2</v>
      </c>
    </row>
    <row r="3034" spans="1:7" x14ac:dyDescent="0.3">
      <c r="A3034" s="11" t="s">
        <v>2853</v>
      </c>
      <c r="B3034" s="7">
        <v>54920</v>
      </c>
      <c r="C3034" s="7">
        <v>4.2140000000000004</v>
      </c>
      <c r="D3034" s="2">
        <f t="shared" si="720"/>
        <v>-5.9999999999993392E-3</v>
      </c>
      <c r="E3034" s="8">
        <f t="shared" si="723"/>
        <v>4.3178949940280633</v>
      </c>
      <c r="F3034" s="6">
        <f t="shared" si="725"/>
        <v>1.9999999999999999E-6</v>
      </c>
      <c r="G3034" s="12">
        <f t="shared" si="726"/>
        <v>-0.1038949940280629</v>
      </c>
    </row>
    <row r="3035" spans="1:7" x14ac:dyDescent="0.3">
      <c r="A3035" s="11" t="s">
        <v>2854</v>
      </c>
      <c r="B3035" s="7">
        <v>54940</v>
      </c>
      <c r="C3035" s="7">
        <v>4.21</v>
      </c>
      <c r="D3035" s="2">
        <f t="shared" si="720"/>
        <v>-4.0000000000004476E-3</v>
      </c>
      <c r="E3035" s="8">
        <f t="shared" si="723"/>
        <v>4.317892994028063</v>
      </c>
      <c r="F3035" s="6">
        <f t="shared" si="725"/>
        <v>1.9999999999999999E-6</v>
      </c>
      <c r="G3035" s="12">
        <f t="shared" si="726"/>
        <v>-0.10789299402806307</v>
      </c>
    </row>
    <row r="3036" spans="1:7" x14ac:dyDescent="0.3">
      <c r="A3036" s="11" t="s">
        <v>2855</v>
      </c>
      <c r="B3036" s="7">
        <v>54960</v>
      </c>
      <c r="C3036" s="7">
        <v>4.1829999999999998</v>
      </c>
      <c r="D3036" s="2">
        <f t="shared" si="720"/>
        <v>-2.7000000000000135E-2</v>
      </c>
      <c r="E3036" s="8">
        <f t="shared" si="723"/>
        <v>4.3178909940280628</v>
      </c>
      <c r="F3036" s="6">
        <f t="shared" si="725"/>
        <v>1.9999999999999999E-6</v>
      </c>
      <c r="G3036" s="12">
        <f t="shared" si="726"/>
        <v>-0.13489099402806293</v>
      </c>
    </row>
    <row r="3037" spans="1:7" x14ac:dyDescent="0.3">
      <c r="A3037" s="13" t="s">
        <v>2856</v>
      </c>
      <c r="B3037" s="24"/>
      <c r="C3037" s="25"/>
      <c r="D3037" s="25"/>
      <c r="E3037" s="25"/>
      <c r="F3037" s="25"/>
      <c r="G3037" s="26"/>
    </row>
    <row r="3038" spans="1:7" x14ac:dyDescent="0.3">
      <c r="A3038" s="11" t="s">
        <v>2857</v>
      </c>
      <c r="B3038" s="7">
        <v>54980</v>
      </c>
      <c r="C3038" s="7">
        <v>4.2329999999999997</v>
      </c>
      <c r="D3038" s="2">
        <f>C3038-C3036</f>
        <v>4.9999999999999822E-2</v>
      </c>
      <c r="E3038" s="8">
        <f>E3036-F3036</f>
        <v>4.3178889940280625</v>
      </c>
      <c r="F3038" s="6">
        <f>F3036</f>
        <v>1.9999999999999999E-6</v>
      </c>
      <c r="G3038" s="12">
        <f t="shared" si="726"/>
        <v>-8.4888994028062825E-2</v>
      </c>
    </row>
    <row r="3039" spans="1:7" x14ac:dyDescent="0.3">
      <c r="A3039" s="11" t="s">
        <v>2858</v>
      </c>
      <c r="B3039" s="7">
        <v>55000</v>
      </c>
      <c r="C3039" s="7">
        <v>4.2549999999999999</v>
      </c>
      <c r="D3039" s="2">
        <f t="shared" si="720"/>
        <v>2.2000000000000242E-2</v>
      </c>
      <c r="E3039" s="8">
        <f t="shared" si="723"/>
        <v>4.3178869940280622</v>
      </c>
      <c r="F3039" s="6">
        <f t="shared" si="725"/>
        <v>1.9999999999999999E-6</v>
      </c>
      <c r="G3039" s="12">
        <f t="shared" si="726"/>
        <v>-6.2886994028062304E-2</v>
      </c>
    </row>
    <row r="3040" spans="1:7" x14ac:dyDescent="0.3">
      <c r="A3040" s="11" t="s">
        <v>2859</v>
      </c>
      <c r="B3040" s="7">
        <v>55020</v>
      </c>
      <c r="C3040" s="7">
        <v>4.2640000000000002</v>
      </c>
      <c r="D3040" s="2">
        <f t="shared" si="720"/>
        <v>9.0000000000003411E-3</v>
      </c>
      <c r="E3040" s="8">
        <f t="shared" ref="E3040:E3064" si="727">E3039-F3039</f>
        <v>4.3178849940280619</v>
      </c>
      <c r="F3040" s="6">
        <f t="shared" si="725"/>
        <v>1.9999999999999999E-6</v>
      </c>
      <c r="G3040" s="12">
        <f t="shared" ref="G3040:G3064" si="728">C3040-E3040</f>
        <v>-5.3884994028061683E-2</v>
      </c>
    </row>
    <row r="3041" spans="1:7" x14ac:dyDescent="0.3">
      <c r="A3041" s="11" t="s">
        <v>2860</v>
      </c>
      <c r="B3041" s="7">
        <v>55040</v>
      </c>
      <c r="C3041" s="7">
        <v>4.2859999999999996</v>
      </c>
      <c r="D3041" s="2">
        <f t="shared" si="720"/>
        <v>2.1999999999999353E-2</v>
      </c>
      <c r="E3041" s="8">
        <f t="shared" si="727"/>
        <v>4.3178829940280616</v>
      </c>
      <c r="F3041" s="6">
        <f t="shared" si="725"/>
        <v>1.9999999999999999E-6</v>
      </c>
      <c r="G3041" s="12">
        <f t="shared" si="728"/>
        <v>-3.1882994028062051E-2</v>
      </c>
    </row>
    <row r="3042" spans="1:7" x14ac:dyDescent="0.3">
      <c r="A3042" s="11" t="s">
        <v>2861</v>
      </c>
      <c r="B3042" s="7">
        <v>55060</v>
      </c>
      <c r="C3042" s="7">
        <v>4.2750000000000004</v>
      </c>
      <c r="D3042" s="2">
        <f t="shared" si="720"/>
        <v>-1.0999999999999233E-2</v>
      </c>
      <c r="E3042" s="8">
        <f t="shared" si="727"/>
        <v>4.3178809940280614</v>
      </c>
      <c r="F3042" s="6">
        <f t="shared" si="725"/>
        <v>1.9999999999999999E-6</v>
      </c>
      <c r="G3042" s="12">
        <f t="shared" si="728"/>
        <v>-4.2880994028061004E-2</v>
      </c>
    </row>
    <row r="3043" spans="1:7" x14ac:dyDescent="0.3">
      <c r="A3043" s="11" t="s">
        <v>2862</v>
      </c>
      <c r="B3043" s="7">
        <v>55080</v>
      </c>
      <c r="C3043" s="7">
        <v>4.29</v>
      </c>
      <c r="D3043" s="2">
        <f t="shared" ref="D3043:D3108" si="729">C3043-C3042</f>
        <v>1.499999999999968E-2</v>
      </c>
      <c r="E3043" s="8">
        <f t="shared" si="727"/>
        <v>4.3178789940280611</v>
      </c>
      <c r="F3043" s="6">
        <f t="shared" si="725"/>
        <v>1.9999999999999999E-6</v>
      </c>
      <c r="G3043" s="12">
        <f t="shared" si="728"/>
        <v>-2.7878994028061044E-2</v>
      </c>
    </row>
    <row r="3044" spans="1:7" x14ac:dyDescent="0.3">
      <c r="A3044" s="11" t="s">
        <v>2863</v>
      </c>
      <c r="B3044" s="7">
        <v>55100</v>
      </c>
      <c r="C3044" s="7">
        <v>4.3010000000000002</v>
      </c>
      <c r="D3044" s="2">
        <f t="shared" si="729"/>
        <v>1.1000000000000121E-2</v>
      </c>
      <c r="E3044" s="8">
        <f t="shared" si="727"/>
        <v>4.3178769940280608</v>
      </c>
      <c r="F3044" s="6">
        <f t="shared" si="725"/>
        <v>1.9999999999999999E-6</v>
      </c>
      <c r="G3044" s="12">
        <f t="shared" si="728"/>
        <v>-1.6876994028060643E-2</v>
      </c>
    </row>
    <row r="3045" spans="1:7" x14ac:dyDescent="0.3">
      <c r="A3045" s="11" t="s">
        <v>2864</v>
      </c>
      <c r="B3045" s="7">
        <v>55120</v>
      </c>
      <c r="C3045" s="7">
        <v>4.3090000000000002</v>
      </c>
      <c r="D3045" s="2">
        <f t="shared" si="729"/>
        <v>8.0000000000000071E-3</v>
      </c>
      <c r="E3045" s="8">
        <f t="shared" si="727"/>
        <v>4.3178749940280605</v>
      </c>
      <c r="F3045" s="6">
        <f t="shared" si="725"/>
        <v>1.9999999999999999E-6</v>
      </c>
      <c r="G3045" s="12">
        <f t="shared" si="728"/>
        <v>-8.8749940280603568E-3</v>
      </c>
    </row>
    <row r="3046" spans="1:7" x14ac:dyDescent="0.3">
      <c r="A3046" s="11" t="s">
        <v>2865</v>
      </c>
      <c r="B3046" s="7">
        <v>55140</v>
      </c>
      <c r="C3046" s="7">
        <v>4.3090000000000002</v>
      </c>
      <c r="D3046" s="2">
        <f t="shared" si="729"/>
        <v>0</v>
      </c>
      <c r="E3046" s="8">
        <f t="shared" si="727"/>
        <v>4.3178729940280602</v>
      </c>
      <c r="F3046" s="6">
        <f t="shared" si="725"/>
        <v>1.9999999999999999E-6</v>
      </c>
      <c r="G3046" s="12">
        <f t="shared" si="728"/>
        <v>-8.8729940280600772E-3</v>
      </c>
    </row>
    <row r="3047" spans="1:7" x14ac:dyDescent="0.3">
      <c r="A3047" s="11" t="s">
        <v>2866</v>
      </c>
      <c r="B3047" s="7">
        <v>55160</v>
      </c>
      <c r="C3047" s="7">
        <v>4.3</v>
      </c>
      <c r="D3047" s="2">
        <f t="shared" si="729"/>
        <v>-9.0000000000003411E-3</v>
      </c>
      <c r="E3047" s="8">
        <f t="shared" si="727"/>
        <v>4.31787099402806</v>
      </c>
      <c r="F3047" s="6">
        <f t="shared" si="725"/>
        <v>1.9999999999999999E-6</v>
      </c>
      <c r="G3047" s="12">
        <f t="shared" si="728"/>
        <v>-1.7870994028060139E-2</v>
      </c>
    </row>
    <row r="3048" spans="1:7" x14ac:dyDescent="0.3">
      <c r="A3048" s="11" t="s">
        <v>2867</v>
      </c>
      <c r="B3048" s="7">
        <v>55180</v>
      </c>
      <c r="C3048" s="7">
        <v>4.3040000000000003</v>
      </c>
      <c r="D3048" s="2">
        <f t="shared" si="729"/>
        <v>4.0000000000004476E-3</v>
      </c>
      <c r="E3048" s="8">
        <f t="shared" si="727"/>
        <v>4.3178689940280597</v>
      </c>
      <c r="F3048" s="6">
        <f t="shared" si="725"/>
        <v>1.9999999999999999E-6</v>
      </c>
      <c r="G3048" s="12">
        <f t="shared" si="728"/>
        <v>-1.3868994028059412E-2</v>
      </c>
    </row>
    <row r="3049" spans="1:7" x14ac:dyDescent="0.3">
      <c r="A3049" s="11" t="s">
        <v>2868</v>
      </c>
      <c r="B3049" s="7">
        <v>55200</v>
      </c>
      <c r="C3049" s="7">
        <v>4.3289999999999997</v>
      </c>
      <c r="D3049" s="2">
        <f t="shared" si="729"/>
        <v>2.4999999999999467E-2</v>
      </c>
      <c r="E3049" s="8">
        <f t="shared" si="727"/>
        <v>4.3178669940280594</v>
      </c>
      <c r="F3049" s="6">
        <f t="shared" si="725"/>
        <v>1.9999999999999999E-6</v>
      </c>
      <c r="G3049" s="12">
        <f t="shared" si="728"/>
        <v>1.1133005971940335E-2</v>
      </c>
    </row>
    <row r="3050" spans="1:7" x14ac:dyDescent="0.3">
      <c r="A3050" s="11" t="s">
        <v>2869</v>
      </c>
      <c r="B3050" s="7">
        <v>55220</v>
      </c>
      <c r="C3050" s="7">
        <v>4.3499999999999996</v>
      </c>
      <c r="D3050" s="2">
        <f t="shared" si="729"/>
        <v>2.0999999999999908E-2</v>
      </c>
      <c r="E3050" s="8">
        <f t="shared" si="727"/>
        <v>4.3178649940280591</v>
      </c>
      <c r="F3050" s="6">
        <f t="shared" si="725"/>
        <v>1.9999999999999999E-6</v>
      </c>
      <c r="G3050" s="12">
        <f t="shared" si="728"/>
        <v>3.2135005971940522E-2</v>
      </c>
    </row>
    <row r="3051" spans="1:7" x14ac:dyDescent="0.3">
      <c r="A3051" s="11" t="s">
        <v>2870</v>
      </c>
      <c r="B3051" s="7">
        <v>55240</v>
      </c>
      <c r="C3051" s="7">
        <v>4.3460000000000001</v>
      </c>
      <c r="D3051" s="2">
        <f t="shared" si="729"/>
        <v>-3.9999999999995595E-3</v>
      </c>
      <c r="E3051" s="8">
        <f t="shared" si="727"/>
        <v>4.3178629940280588</v>
      </c>
      <c r="F3051" s="6">
        <f t="shared" si="725"/>
        <v>1.9999999999999999E-6</v>
      </c>
      <c r="G3051" s="12">
        <f t="shared" si="728"/>
        <v>2.8137005971941242E-2</v>
      </c>
    </row>
    <row r="3052" spans="1:7" x14ac:dyDescent="0.3">
      <c r="A3052" s="11" t="s">
        <v>2871</v>
      </c>
      <c r="B3052" s="7">
        <v>55260</v>
      </c>
      <c r="C3052" s="7">
        <v>4.327</v>
      </c>
      <c r="D3052" s="2">
        <f t="shared" si="729"/>
        <v>-1.9000000000000128E-2</v>
      </c>
      <c r="E3052" s="8">
        <f t="shared" si="727"/>
        <v>4.3178609940280586</v>
      </c>
      <c r="F3052" s="6">
        <f t="shared" si="725"/>
        <v>1.9999999999999999E-6</v>
      </c>
      <c r="G3052" s="12">
        <f t="shared" si="728"/>
        <v>9.1390059719413941E-3</v>
      </c>
    </row>
    <row r="3053" spans="1:7" x14ac:dyDescent="0.3">
      <c r="A3053" s="11" t="s">
        <v>2872</v>
      </c>
      <c r="B3053" s="7">
        <v>55280</v>
      </c>
      <c r="C3053" s="7">
        <v>4.306</v>
      </c>
      <c r="D3053" s="2">
        <f t="shared" si="729"/>
        <v>-2.0999999999999908E-2</v>
      </c>
      <c r="E3053" s="8">
        <f t="shared" si="727"/>
        <v>4.3178589940280583</v>
      </c>
      <c r="F3053" s="6">
        <f t="shared" si="725"/>
        <v>1.9999999999999999E-6</v>
      </c>
      <c r="G3053" s="12">
        <f t="shared" si="728"/>
        <v>-1.1858994028058234E-2</v>
      </c>
    </row>
    <row r="3054" spans="1:7" x14ac:dyDescent="0.3">
      <c r="A3054" s="11" t="s">
        <v>2873</v>
      </c>
      <c r="B3054" s="7">
        <v>55300</v>
      </c>
      <c r="C3054" s="7">
        <v>4.3049999999999997</v>
      </c>
      <c r="D3054" s="2">
        <f t="shared" si="729"/>
        <v>-1.000000000000334E-3</v>
      </c>
      <c r="E3054" s="8">
        <f t="shared" si="727"/>
        <v>4.317856994028058</v>
      </c>
      <c r="F3054" s="6">
        <f t="shared" si="725"/>
        <v>1.9999999999999999E-6</v>
      </c>
      <c r="G3054" s="12">
        <f t="shared" si="728"/>
        <v>-1.2856994028058288E-2</v>
      </c>
    </row>
    <row r="3055" spans="1:7" x14ac:dyDescent="0.3">
      <c r="A3055" s="11" t="s">
        <v>2874</v>
      </c>
      <c r="B3055" s="7">
        <v>55320</v>
      </c>
      <c r="C3055" s="7">
        <v>4.3109999999999999</v>
      </c>
      <c r="D3055" s="2">
        <f t="shared" si="729"/>
        <v>6.0000000000002274E-3</v>
      </c>
      <c r="E3055" s="8">
        <f t="shared" si="727"/>
        <v>4.3178549940280577</v>
      </c>
      <c r="F3055" s="6">
        <f t="shared" si="725"/>
        <v>1.9999999999999999E-6</v>
      </c>
      <c r="G3055" s="12">
        <f t="shared" si="728"/>
        <v>-6.8549940280577815E-3</v>
      </c>
    </row>
    <row r="3056" spans="1:7" x14ac:dyDescent="0.3">
      <c r="A3056" s="11" t="s">
        <v>2875</v>
      </c>
      <c r="B3056" s="7">
        <v>55340</v>
      </c>
      <c r="C3056" s="7">
        <v>4.3070000000000004</v>
      </c>
      <c r="D3056" s="2">
        <f t="shared" si="729"/>
        <v>-3.9999999999995595E-3</v>
      </c>
      <c r="E3056" s="8">
        <f t="shared" si="727"/>
        <v>4.3178529940280574</v>
      </c>
      <c r="F3056" s="6">
        <f t="shared" si="725"/>
        <v>1.9999999999999999E-6</v>
      </c>
      <c r="G3056" s="12">
        <f t="shared" si="728"/>
        <v>-1.0852994028057061E-2</v>
      </c>
    </row>
    <row r="3057" spans="1:7" x14ac:dyDescent="0.3">
      <c r="A3057" s="11" t="s">
        <v>2876</v>
      </c>
      <c r="B3057" s="7">
        <v>55360</v>
      </c>
      <c r="C3057" s="7">
        <v>4.306</v>
      </c>
      <c r="D3057" s="2">
        <f t="shared" si="729"/>
        <v>-1.000000000000334E-3</v>
      </c>
      <c r="E3057" s="8">
        <f t="shared" si="727"/>
        <v>4.3178509940280572</v>
      </c>
      <c r="F3057" s="6">
        <f t="shared" si="725"/>
        <v>1.9999999999999999E-6</v>
      </c>
      <c r="G3057" s="12">
        <f t="shared" si="728"/>
        <v>-1.1850994028057116E-2</v>
      </c>
    </row>
    <row r="3058" spans="1:7" x14ac:dyDescent="0.3">
      <c r="A3058" s="11" t="s">
        <v>2877</v>
      </c>
      <c r="B3058" s="7">
        <v>55380</v>
      </c>
      <c r="C3058" s="7">
        <v>4.3019999999999996</v>
      </c>
      <c r="D3058" s="2">
        <f t="shared" si="729"/>
        <v>-4.0000000000004476E-3</v>
      </c>
      <c r="E3058" s="8">
        <f t="shared" si="727"/>
        <v>4.3178489940280569</v>
      </c>
      <c r="F3058" s="6">
        <f t="shared" si="725"/>
        <v>1.9999999999999999E-6</v>
      </c>
      <c r="G3058" s="12">
        <f t="shared" si="728"/>
        <v>-1.5848994028057284E-2</v>
      </c>
    </row>
    <row r="3059" spans="1:7" x14ac:dyDescent="0.3">
      <c r="A3059" s="11" t="s">
        <v>2878</v>
      </c>
      <c r="B3059" s="7">
        <v>55400</v>
      </c>
      <c r="C3059" s="7">
        <v>4.3280000000000003</v>
      </c>
      <c r="D3059" s="2">
        <f t="shared" si="729"/>
        <v>2.6000000000000689E-2</v>
      </c>
      <c r="E3059" s="8">
        <f t="shared" si="727"/>
        <v>4.3178469940280566</v>
      </c>
      <c r="F3059" s="6">
        <f t="shared" si="725"/>
        <v>1.9999999999999999E-6</v>
      </c>
      <c r="G3059" s="12">
        <f t="shared" si="728"/>
        <v>1.0153005971943685E-2</v>
      </c>
    </row>
    <row r="3060" spans="1:7" x14ac:dyDescent="0.3">
      <c r="A3060" s="11" t="s">
        <v>2879</v>
      </c>
      <c r="B3060" s="7">
        <v>55420</v>
      </c>
      <c r="C3060" s="7">
        <v>4.3520000000000003</v>
      </c>
      <c r="D3060" s="2">
        <f t="shared" si="729"/>
        <v>2.4000000000000021E-2</v>
      </c>
      <c r="E3060" s="8">
        <f t="shared" si="727"/>
        <v>4.3178449940280563</v>
      </c>
      <c r="F3060" s="6">
        <f t="shared" ref="F3060:F3124" si="730">F3059</f>
        <v>1.9999999999999999E-6</v>
      </c>
      <c r="G3060" s="12">
        <f t="shared" si="728"/>
        <v>3.4155005971943986E-2</v>
      </c>
    </row>
    <row r="3061" spans="1:7" x14ac:dyDescent="0.3">
      <c r="A3061" s="11" t="s">
        <v>2880</v>
      </c>
      <c r="B3061" s="7">
        <v>55440</v>
      </c>
      <c r="C3061" s="7">
        <v>4.218</v>
      </c>
      <c r="D3061" s="2">
        <f t="shared" si="729"/>
        <v>-0.13400000000000034</v>
      </c>
      <c r="E3061" s="8">
        <f t="shared" si="727"/>
        <v>4.317842994028056</v>
      </c>
      <c r="F3061" s="6">
        <f t="shared" si="730"/>
        <v>1.9999999999999999E-6</v>
      </c>
      <c r="G3061" s="12">
        <f t="shared" si="728"/>
        <v>-9.9842994028056076E-2</v>
      </c>
    </row>
    <row r="3062" spans="1:7" x14ac:dyDescent="0.3">
      <c r="A3062" s="11" t="s">
        <v>2881</v>
      </c>
      <c r="B3062" s="7">
        <v>55460</v>
      </c>
      <c r="C3062" s="7">
        <v>4.3159999999999998</v>
      </c>
      <c r="D3062" s="2">
        <f t="shared" si="729"/>
        <v>9.7999999999999865E-2</v>
      </c>
      <c r="E3062" s="8">
        <f t="shared" si="727"/>
        <v>4.3178409940280558</v>
      </c>
      <c r="F3062" s="6">
        <f t="shared" si="730"/>
        <v>1.9999999999999999E-6</v>
      </c>
      <c r="G3062" s="12">
        <f t="shared" si="728"/>
        <v>-1.8409940280559312E-3</v>
      </c>
    </row>
    <row r="3063" spans="1:7" x14ac:dyDescent="0.3">
      <c r="A3063" s="11" t="s">
        <v>2882</v>
      </c>
      <c r="B3063" s="7">
        <v>55480</v>
      </c>
      <c r="C3063" s="7">
        <v>4.3609999999999998</v>
      </c>
      <c r="D3063" s="2">
        <f t="shared" si="729"/>
        <v>4.4999999999999929E-2</v>
      </c>
      <c r="E3063" s="8">
        <f t="shared" si="727"/>
        <v>4.3178389940280555</v>
      </c>
      <c r="F3063" s="6">
        <f t="shared" si="730"/>
        <v>1.9999999999999999E-6</v>
      </c>
      <c r="G3063" s="12">
        <f t="shared" si="728"/>
        <v>4.3161005971944277E-2</v>
      </c>
    </row>
    <row r="3064" spans="1:7" x14ac:dyDescent="0.3">
      <c r="A3064" s="11" t="s">
        <v>2883</v>
      </c>
      <c r="B3064" s="7">
        <v>55500</v>
      </c>
      <c r="C3064" s="7">
        <v>4.3719999999999999</v>
      </c>
      <c r="D3064" s="2">
        <f t="shared" si="729"/>
        <v>1.1000000000000121E-2</v>
      </c>
      <c r="E3064" s="8">
        <f t="shared" si="727"/>
        <v>4.3178369940280552</v>
      </c>
      <c r="F3064" s="6">
        <f t="shared" si="730"/>
        <v>1.9999999999999999E-6</v>
      </c>
      <c r="G3064" s="12">
        <f t="shared" si="728"/>
        <v>5.4163005971944678E-2</v>
      </c>
    </row>
    <row r="3065" spans="1:7" x14ac:dyDescent="0.3">
      <c r="A3065" s="11" t="s">
        <v>2884</v>
      </c>
      <c r="B3065" s="7">
        <v>55520</v>
      </c>
      <c r="C3065" s="7">
        <v>4.3789999999999996</v>
      </c>
      <c r="D3065" s="2">
        <f t="shared" si="729"/>
        <v>6.9999999999996732E-3</v>
      </c>
      <c r="E3065" s="8">
        <f t="shared" ref="E3065:E3095" si="731">E3064-F3064</f>
        <v>4.3178349940280549</v>
      </c>
      <c r="F3065" s="6">
        <f t="shared" si="730"/>
        <v>1.9999999999999999E-6</v>
      </c>
      <c r="G3065" s="12">
        <f t="shared" ref="G3065:G3095" si="732">C3065-E3065</f>
        <v>6.116500597194463E-2</v>
      </c>
    </row>
    <row r="3066" spans="1:7" x14ac:dyDescent="0.3">
      <c r="A3066" s="11" t="s">
        <v>2885</v>
      </c>
      <c r="B3066" s="7">
        <v>55540</v>
      </c>
      <c r="C3066" s="7">
        <v>4.3959999999999999</v>
      </c>
      <c r="D3066" s="2">
        <f t="shared" si="729"/>
        <v>1.7000000000000348E-2</v>
      </c>
      <c r="E3066" s="8">
        <f t="shared" si="731"/>
        <v>4.3178329940280546</v>
      </c>
      <c r="F3066" s="6">
        <f t="shared" si="730"/>
        <v>1.9999999999999999E-6</v>
      </c>
      <c r="G3066" s="12">
        <f t="shared" si="732"/>
        <v>7.8167005971945258E-2</v>
      </c>
    </row>
    <row r="3067" spans="1:7" x14ac:dyDescent="0.3">
      <c r="A3067" s="11" t="s">
        <v>2886</v>
      </c>
      <c r="B3067" s="7">
        <v>55560</v>
      </c>
      <c r="C3067" s="7">
        <v>4.4089999999999998</v>
      </c>
      <c r="D3067" s="2">
        <f t="shared" si="729"/>
        <v>1.2999999999999901E-2</v>
      </c>
      <c r="E3067" s="8">
        <f t="shared" si="731"/>
        <v>4.3178309940280544</v>
      </c>
      <c r="F3067" s="6">
        <f t="shared" si="730"/>
        <v>1.9999999999999999E-6</v>
      </c>
      <c r="G3067" s="12">
        <f t="shared" si="732"/>
        <v>9.1169005971945438E-2</v>
      </c>
    </row>
    <row r="3068" spans="1:7" x14ac:dyDescent="0.3">
      <c r="A3068" s="11" t="s">
        <v>2887</v>
      </c>
      <c r="B3068" s="7">
        <v>55580</v>
      </c>
      <c r="C3068" s="7">
        <v>4.407</v>
      </c>
      <c r="D3068" s="2">
        <f t="shared" si="729"/>
        <v>-1.9999999999997797E-3</v>
      </c>
      <c r="E3068" s="8">
        <f t="shared" si="731"/>
        <v>4.3178289940280541</v>
      </c>
      <c r="F3068" s="6">
        <f t="shared" si="730"/>
        <v>1.9999999999999999E-6</v>
      </c>
      <c r="G3068" s="12">
        <f t="shared" si="732"/>
        <v>8.9171005971945938E-2</v>
      </c>
    </row>
    <row r="3069" spans="1:7" x14ac:dyDescent="0.3">
      <c r="A3069" s="11" t="s">
        <v>2888</v>
      </c>
      <c r="B3069" s="7">
        <v>55600</v>
      </c>
      <c r="C3069" s="7">
        <v>4.3949999999999996</v>
      </c>
      <c r="D3069" s="2">
        <f t="shared" si="729"/>
        <v>-1.2000000000000455E-2</v>
      </c>
      <c r="E3069" s="8">
        <f t="shared" si="731"/>
        <v>4.3178269940280538</v>
      </c>
      <c r="F3069" s="6">
        <f t="shared" si="730"/>
        <v>1.9999999999999999E-6</v>
      </c>
      <c r="G3069" s="12">
        <f t="shared" si="732"/>
        <v>7.7173005971945763E-2</v>
      </c>
    </row>
    <row r="3070" spans="1:7" x14ac:dyDescent="0.3">
      <c r="A3070" s="11" t="s">
        <v>2889</v>
      </c>
      <c r="B3070" s="7">
        <v>55620</v>
      </c>
      <c r="C3070" s="7">
        <v>4.3860000000000001</v>
      </c>
      <c r="D3070" s="2">
        <f t="shared" si="729"/>
        <v>-8.9999999999994529E-3</v>
      </c>
      <c r="E3070" s="8">
        <f t="shared" si="731"/>
        <v>4.3178249940280535</v>
      </c>
      <c r="F3070" s="6">
        <f t="shared" si="730"/>
        <v>1.9999999999999999E-6</v>
      </c>
      <c r="G3070" s="12">
        <f t="shared" si="732"/>
        <v>6.817500597194659E-2</v>
      </c>
    </row>
    <row r="3071" spans="1:7" x14ac:dyDescent="0.3">
      <c r="A3071" s="11" t="s">
        <v>2890</v>
      </c>
      <c r="B3071" s="7">
        <v>55640</v>
      </c>
      <c r="C3071" s="7">
        <v>4.367</v>
      </c>
      <c r="D3071" s="2">
        <f t="shared" si="729"/>
        <v>-1.9000000000000128E-2</v>
      </c>
      <c r="E3071" s="8">
        <f t="shared" si="731"/>
        <v>4.3178229940280533</v>
      </c>
      <c r="F3071" s="6">
        <f t="shared" si="730"/>
        <v>1.9999999999999999E-6</v>
      </c>
      <c r="G3071" s="12">
        <f t="shared" si="732"/>
        <v>4.9177005971946741E-2</v>
      </c>
    </row>
    <row r="3072" spans="1:7" x14ac:dyDescent="0.3">
      <c r="A3072" s="11" t="s">
        <v>2891</v>
      </c>
      <c r="B3072" s="7">
        <v>55660</v>
      </c>
      <c r="C3072" s="7">
        <v>4.3600000000000003</v>
      </c>
      <c r="D3072" s="2">
        <f t="shared" si="729"/>
        <v>-6.9999999999996732E-3</v>
      </c>
      <c r="E3072" s="8">
        <f t="shared" si="731"/>
        <v>4.317820994028053</v>
      </c>
      <c r="F3072" s="6">
        <f t="shared" si="730"/>
        <v>1.9999999999999999E-6</v>
      </c>
      <c r="G3072" s="12">
        <f t="shared" si="732"/>
        <v>4.2179005971947348E-2</v>
      </c>
    </row>
    <row r="3073" spans="1:7" x14ac:dyDescent="0.3">
      <c r="A3073" s="11" t="s">
        <v>2892</v>
      </c>
      <c r="B3073" s="7">
        <v>55680</v>
      </c>
      <c r="C3073" s="7">
        <v>4.3540000000000001</v>
      </c>
      <c r="D3073" s="2">
        <f t="shared" si="729"/>
        <v>-6.0000000000002274E-3</v>
      </c>
      <c r="E3073" s="8">
        <f t="shared" si="731"/>
        <v>4.3178189940280527</v>
      </c>
      <c r="F3073" s="6">
        <f t="shared" si="730"/>
        <v>1.9999999999999999E-6</v>
      </c>
      <c r="G3073" s="12">
        <f t="shared" si="732"/>
        <v>3.61810059719474E-2</v>
      </c>
    </row>
    <row r="3074" spans="1:7" x14ac:dyDescent="0.3">
      <c r="A3074" s="11" t="s">
        <v>2893</v>
      </c>
      <c r="B3074" s="7">
        <v>55700</v>
      </c>
      <c r="C3074" s="7">
        <v>4.3460000000000001</v>
      </c>
      <c r="D3074" s="2">
        <f t="shared" si="729"/>
        <v>-8.0000000000000071E-3</v>
      </c>
      <c r="E3074" s="8">
        <f t="shared" si="731"/>
        <v>4.3178169940280524</v>
      </c>
      <c r="F3074" s="6">
        <f t="shared" si="730"/>
        <v>1.9999999999999999E-6</v>
      </c>
      <c r="G3074" s="12">
        <f t="shared" si="732"/>
        <v>2.8183005971947672E-2</v>
      </c>
    </row>
    <row r="3075" spans="1:7" x14ac:dyDescent="0.3">
      <c r="A3075" s="11" t="s">
        <v>2894</v>
      </c>
      <c r="B3075" s="7">
        <v>55720</v>
      </c>
      <c r="C3075" s="7">
        <v>4.3490000000000002</v>
      </c>
      <c r="D3075" s="2">
        <f t="shared" si="729"/>
        <v>3.0000000000001137E-3</v>
      </c>
      <c r="E3075" s="8">
        <f t="shared" si="731"/>
        <v>4.3178149940280521</v>
      </c>
      <c r="F3075" s="6">
        <f t="shared" si="730"/>
        <v>1.9999999999999999E-6</v>
      </c>
      <c r="G3075" s="12">
        <f t="shared" si="732"/>
        <v>3.1185005971948065E-2</v>
      </c>
    </row>
    <row r="3076" spans="1:7" x14ac:dyDescent="0.3">
      <c r="A3076" s="11" t="s">
        <v>2895</v>
      </c>
      <c r="B3076" s="7">
        <v>55740</v>
      </c>
      <c r="C3076" s="7">
        <v>4.34</v>
      </c>
      <c r="D3076" s="2">
        <f t="shared" si="729"/>
        <v>-9.0000000000003411E-3</v>
      </c>
      <c r="E3076" s="8">
        <f t="shared" si="731"/>
        <v>4.3178129940280519</v>
      </c>
      <c r="F3076" s="6">
        <f t="shared" si="730"/>
        <v>1.9999999999999999E-6</v>
      </c>
      <c r="G3076" s="12">
        <f t="shared" si="732"/>
        <v>2.2187005971948004E-2</v>
      </c>
    </row>
    <row r="3077" spans="1:7" x14ac:dyDescent="0.3">
      <c r="A3077" s="11" t="s">
        <v>2896</v>
      </c>
      <c r="B3077" s="7">
        <v>55760</v>
      </c>
      <c r="C3077" s="7">
        <v>4.3380000000000001</v>
      </c>
      <c r="D3077" s="2">
        <f t="shared" si="729"/>
        <v>-1.9999999999997797E-3</v>
      </c>
      <c r="E3077" s="8">
        <f t="shared" si="731"/>
        <v>4.3178109940280516</v>
      </c>
      <c r="F3077" s="6">
        <f t="shared" si="730"/>
        <v>1.9999999999999999E-6</v>
      </c>
      <c r="G3077" s="12">
        <f t="shared" si="732"/>
        <v>2.0189005971948504E-2</v>
      </c>
    </row>
    <row r="3078" spans="1:7" x14ac:dyDescent="0.3">
      <c r="A3078" s="11" t="s">
        <v>2897</v>
      </c>
      <c r="B3078" s="7">
        <v>55780</v>
      </c>
      <c r="C3078" s="7">
        <v>4.3440000000000003</v>
      </c>
      <c r="D3078" s="2">
        <f t="shared" si="729"/>
        <v>6.0000000000002274E-3</v>
      </c>
      <c r="E3078" s="8">
        <f t="shared" si="731"/>
        <v>4.3178089940280513</v>
      </c>
      <c r="F3078" s="6">
        <f t="shared" si="730"/>
        <v>1.9999999999999999E-6</v>
      </c>
      <c r="G3078" s="12">
        <f t="shared" si="732"/>
        <v>2.6191005971949011E-2</v>
      </c>
    </row>
    <row r="3079" spans="1:7" x14ac:dyDescent="0.3">
      <c r="A3079" s="11" t="s">
        <v>2898</v>
      </c>
      <c r="B3079" s="7">
        <v>55800</v>
      </c>
      <c r="C3079" s="7">
        <v>4.3289999999999997</v>
      </c>
      <c r="D3079" s="2">
        <f t="shared" si="729"/>
        <v>-1.5000000000000568E-2</v>
      </c>
      <c r="E3079" s="8">
        <f t="shared" si="731"/>
        <v>4.317806994028051</v>
      </c>
      <c r="F3079" s="6">
        <f t="shared" si="730"/>
        <v>1.9999999999999999E-6</v>
      </c>
      <c r="G3079" s="12">
        <f t="shared" si="732"/>
        <v>1.1193005971948722E-2</v>
      </c>
    </row>
    <row r="3080" spans="1:7" x14ac:dyDescent="0.3">
      <c r="A3080" s="11" t="s">
        <v>2899</v>
      </c>
      <c r="B3080" s="7">
        <v>55820</v>
      </c>
      <c r="C3080" s="7">
        <v>4.306</v>
      </c>
      <c r="D3080" s="2">
        <f t="shared" si="729"/>
        <v>-2.2999999999999687E-2</v>
      </c>
      <c r="E3080" s="8">
        <f t="shared" si="731"/>
        <v>4.3178049940280507</v>
      </c>
      <c r="F3080" s="6">
        <f t="shared" si="730"/>
        <v>1.9999999999999999E-6</v>
      </c>
      <c r="G3080" s="12">
        <f t="shared" si="732"/>
        <v>-1.1804994028050686E-2</v>
      </c>
    </row>
    <row r="3081" spans="1:7" x14ac:dyDescent="0.3">
      <c r="A3081" s="11" t="s">
        <v>2900</v>
      </c>
      <c r="B3081" s="7">
        <v>55840</v>
      </c>
      <c r="C3081" s="7">
        <v>4.3010000000000002</v>
      </c>
      <c r="D3081" s="2">
        <f t="shared" si="729"/>
        <v>-4.9999999999998934E-3</v>
      </c>
      <c r="E3081" s="8">
        <f t="shared" si="731"/>
        <v>4.3178029940280505</v>
      </c>
      <c r="F3081" s="6">
        <f t="shared" si="730"/>
        <v>1.9999999999999999E-6</v>
      </c>
      <c r="G3081" s="12">
        <f t="shared" si="732"/>
        <v>-1.68029940280503E-2</v>
      </c>
    </row>
    <row r="3082" spans="1:7" x14ac:dyDescent="0.3">
      <c r="A3082" s="11" t="s">
        <v>2901</v>
      </c>
      <c r="B3082" s="7">
        <v>55860</v>
      </c>
      <c r="C3082" s="7">
        <v>4.2960000000000003</v>
      </c>
      <c r="D3082" s="2">
        <f t="shared" si="729"/>
        <v>-4.9999999999998934E-3</v>
      </c>
      <c r="E3082" s="8">
        <f t="shared" si="731"/>
        <v>4.3178009940280502</v>
      </c>
      <c r="F3082" s="6">
        <f t="shared" si="730"/>
        <v>1.9999999999999999E-6</v>
      </c>
      <c r="G3082" s="12">
        <f t="shared" si="732"/>
        <v>-2.1800994028049914E-2</v>
      </c>
    </row>
    <row r="3083" spans="1:7" x14ac:dyDescent="0.3">
      <c r="A3083" s="11" t="s">
        <v>2902</v>
      </c>
      <c r="B3083" s="7">
        <v>55880</v>
      </c>
      <c r="C3083" s="7">
        <v>4.2960000000000003</v>
      </c>
      <c r="D3083" s="2">
        <f t="shared" si="729"/>
        <v>0</v>
      </c>
      <c r="E3083" s="8">
        <f t="shared" si="731"/>
        <v>4.3177989940280499</v>
      </c>
      <c r="F3083" s="6">
        <f t="shared" si="730"/>
        <v>1.9999999999999999E-6</v>
      </c>
      <c r="G3083" s="12">
        <f t="shared" si="732"/>
        <v>-2.1798994028049634E-2</v>
      </c>
    </row>
    <row r="3084" spans="1:7" x14ac:dyDescent="0.3">
      <c r="A3084" s="11" t="s">
        <v>2903</v>
      </c>
      <c r="B3084" s="7">
        <v>55900</v>
      </c>
      <c r="C3084" s="7">
        <v>4.2969999999999997</v>
      </c>
      <c r="D3084" s="2">
        <f t="shared" si="729"/>
        <v>9.9999999999944578E-4</v>
      </c>
      <c r="E3084" s="8">
        <f t="shared" si="731"/>
        <v>4.3177969940280496</v>
      </c>
      <c r="F3084" s="6">
        <f t="shared" si="730"/>
        <v>1.9999999999999999E-6</v>
      </c>
      <c r="G3084" s="12">
        <f t="shared" si="732"/>
        <v>-2.0796994028049909E-2</v>
      </c>
    </row>
    <row r="3085" spans="1:7" x14ac:dyDescent="0.3">
      <c r="A3085" s="11" t="s">
        <v>2904</v>
      </c>
      <c r="B3085" s="7">
        <v>55920</v>
      </c>
      <c r="C3085" s="7">
        <v>4.306</v>
      </c>
      <c r="D3085" s="2">
        <f t="shared" si="729"/>
        <v>9.0000000000003411E-3</v>
      </c>
      <c r="E3085" s="8">
        <f t="shared" si="731"/>
        <v>4.3177949940280493</v>
      </c>
      <c r="F3085" s="6">
        <f t="shared" si="730"/>
        <v>1.9999999999999999E-6</v>
      </c>
      <c r="G3085" s="12">
        <f t="shared" si="732"/>
        <v>-1.1794994028049288E-2</v>
      </c>
    </row>
    <row r="3086" spans="1:7" x14ac:dyDescent="0.3">
      <c r="A3086" s="11" t="s">
        <v>2905</v>
      </c>
      <c r="B3086" s="7">
        <v>55940</v>
      </c>
      <c r="C3086" s="7">
        <v>4.3029999999999999</v>
      </c>
      <c r="D3086" s="2">
        <f t="shared" si="729"/>
        <v>-3.0000000000001137E-3</v>
      </c>
      <c r="E3086" s="8">
        <f t="shared" si="731"/>
        <v>4.3177929940280491</v>
      </c>
      <c r="F3086" s="6">
        <f t="shared" si="730"/>
        <v>1.9999999999999999E-6</v>
      </c>
      <c r="G3086" s="12">
        <f t="shared" si="732"/>
        <v>-1.4792994028049122E-2</v>
      </c>
    </row>
    <row r="3087" spans="1:7" x14ac:dyDescent="0.3">
      <c r="A3087" s="11" t="s">
        <v>2906</v>
      </c>
      <c r="B3087" s="7">
        <v>55960</v>
      </c>
      <c r="C3087" s="7">
        <v>4.3520000000000003</v>
      </c>
      <c r="D3087" s="2">
        <f t="shared" si="729"/>
        <v>4.9000000000000377E-2</v>
      </c>
      <c r="E3087" s="8">
        <f t="shared" si="731"/>
        <v>4.3177909940280488</v>
      </c>
      <c r="F3087" s="6">
        <f t="shared" si="730"/>
        <v>1.9999999999999999E-6</v>
      </c>
      <c r="G3087" s="12">
        <f t="shared" si="732"/>
        <v>3.4209005971951534E-2</v>
      </c>
    </row>
    <row r="3088" spans="1:7" x14ac:dyDescent="0.3">
      <c r="A3088" s="13" t="s">
        <v>2907</v>
      </c>
      <c r="B3088" s="24"/>
      <c r="C3088" s="25"/>
      <c r="D3088" s="25"/>
      <c r="E3088" s="25"/>
      <c r="F3088" s="25"/>
      <c r="G3088" s="26"/>
    </row>
    <row r="3089" spans="1:18" x14ac:dyDescent="0.3">
      <c r="A3089" s="11" t="s">
        <v>2908</v>
      </c>
      <c r="B3089" s="7">
        <v>55980</v>
      </c>
      <c r="C3089" s="7">
        <v>4.3550000000000004</v>
      </c>
      <c r="D3089" s="2">
        <f>C3089-C3087</f>
        <v>3.0000000000001137E-3</v>
      </c>
      <c r="E3089" s="8">
        <f>E3087-F3087</f>
        <v>4.3177889940280485</v>
      </c>
      <c r="F3089" s="6">
        <f>F3087</f>
        <v>1.9999999999999999E-6</v>
      </c>
      <c r="G3089" s="12">
        <f t="shared" si="732"/>
        <v>3.7211005971951927E-2</v>
      </c>
    </row>
    <row r="3090" spans="1:18" x14ac:dyDescent="0.3">
      <c r="A3090" s="11" t="s">
        <v>2909</v>
      </c>
      <c r="B3090" s="7">
        <v>56000</v>
      </c>
      <c r="C3090" s="7">
        <v>4.3090000000000002</v>
      </c>
      <c r="D3090" s="2">
        <f t="shared" si="729"/>
        <v>-4.6000000000000263E-2</v>
      </c>
      <c r="E3090" s="8">
        <f t="shared" si="731"/>
        <v>4.3177869940280482</v>
      </c>
      <c r="F3090" s="6">
        <f t="shared" si="730"/>
        <v>1.9999999999999999E-6</v>
      </c>
      <c r="G3090" s="12">
        <f t="shared" si="732"/>
        <v>-8.7869940280480563E-3</v>
      </c>
    </row>
    <row r="3091" spans="1:18" x14ac:dyDescent="0.3">
      <c r="A3091" s="21"/>
      <c r="B3091" s="22"/>
      <c r="C3091" s="22"/>
      <c r="D3091" s="22"/>
      <c r="E3091" s="22"/>
      <c r="F3091" s="22"/>
      <c r="G3091" s="23"/>
      <c r="H3091" s="4" t="s">
        <v>3279</v>
      </c>
      <c r="J3091" s="4"/>
      <c r="O3091" s="3">
        <f>1/O3092</f>
        <v>1.1049723756906078E-3</v>
      </c>
      <c r="P3091" s="3">
        <f>O3091*20</f>
        <v>2.2099447513812157E-2</v>
      </c>
      <c r="Q3091" s="3" t="s">
        <v>3200</v>
      </c>
      <c r="R3091" s="3">
        <v>905</v>
      </c>
    </row>
    <row r="3092" spans="1:18" x14ac:dyDescent="0.3">
      <c r="A3092" s="11" t="s">
        <v>2910</v>
      </c>
      <c r="B3092" s="7">
        <v>56020</v>
      </c>
      <c r="C3092" s="7">
        <v>4.2350000000000003</v>
      </c>
      <c r="D3092" s="2">
        <f>C3092-C3090</f>
        <v>-7.3999999999999844E-2</v>
      </c>
      <c r="E3092" s="8">
        <f>E3090-F3092</f>
        <v>4.2956875465142357</v>
      </c>
      <c r="F3092" s="6">
        <f>P3091</f>
        <v>2.2099447513812157E-2</v>
      </c>
      <c r="G3092" s="12">
        <f>C3092-E3092</f>
        <v>-6.0687546514235358E-2</v>
      </c>
      <c r="H3092" s="3">
        <f>B3090</f>
        <v>56000</v>
      </c>
      <c r="I3092" s="3">
        <f>B3126</f>
        <v>56700</v>
      </c>
      <c r="J3092" s="3">
        <f>I3092-H3092</f>
        <v>700</v>
      </c>
      <c r="K3092" s="5">
        <f>E3090</f>
        <v>4.3177869940280482</v>
      </c>
      <c r="L3092" s="3">
        <f>C3126</f>
        <v>3.544</v>
      </c>
      <c r="M3092" s="5">
        <f>L3092-K3092</f>
        <v>-0.77378699402804818</v>
      </c>
      <c r="N3092" s="3">
        <f>J3092/M3092</f>
        <v>-904.64172362998704</v>
      </c>
      <c r="O3092" s="3">
        <v>905</v>
      </c>
    </row>
    <row r="3093" spans="1:18" x14ac:dyDescent="0.3">
      <c r="A3093" s="11" t="s">
        <v>2911</v>
      </c>
      <c r="B3093" s="7">
        <v>56040</v>
      </c>
      <c r="C3093" s="7">
        <v>4.1849999999999996</v>
      </c>
      <c r="D3093" s="2">
        <f t="shared" si="729"/>
        <v>-5.0000000000000711E-2</v>
      </c>
      <c r="E3093" s="8">
        <f>E3092-F3092</f>
        <v>4.2735880990004231</v>
      </c>
      <c r="F3093" s="6">
        <f t="shared" ref="F3093" si="733">F3092</f>
        <v>2.2099447513812157E-2</v>
      </c>
      <c r="G3093" s="12">
        <f t="shared" ref="G3093" si="734">C3093-E3093</f>
        <v>-8.8588099000423526E-2</v>
      </c>
    </row>
    <row r="3094" spans="1:18" x14ac:dyDescent="0.3">
      <c r="A3094" s="11" t="s">
        <v>2912</v>
      </c>
      <c r="B3094" s="7">
        <v>56060</v>
      </c>
      <c r="C3094" s="7">
        <v>4.1239999999999997</v>
      </c>
      <c r="D3094" s="2">
        <f t="shared" si="729"/>
        <v>-6.0999999999999943E-2</v>
      </c>
      <c r="E3094" s="8">
        <f t="shared" si="731"/>
        <v>4.2514886514866106</v>
      </c>
      <c r="F3094" s="6">
        <f t="shared" si="730"/>
        <v>2.2099447513812157E-2</v>
      </c>
      <c r="G3094" s="12">
        <f t="shared" si="732"/>
        <v>-0.12748865148661093</v>
      </c>
    </row>
    <row r="3095" spans="1:18" x14ac:dyDescent="0.3">
      <c r="A3095" s="11" t="s">
        <v>2913</v>
      </c>
      <c r="B3095" s="7">
        <v>56080</v>
      </c>
      <c r="C3095" s="7">
        <v>4.085</v>
      </c>
      <c r="D3095" s="2">
        <f t="shared" si="729"/>
        <v>-3.8999999999999702E-2</v>
      </c>
      <c r="E3095" s="8">
        <f t="shared" si="731"/>
        <v>4.2293892039727981</v>
      </c>
      <c r="F3095" s="6">
        <f t="shared" si="730"/>
        <v>2.2099447513812157E-2</v>
      </c>
      <c r="G3095" s="12">
        <f t="shared" si="732"/>
        <v>-0.14438920397279809</v>
      </c>
    </row>
    <row r="3096" spans="1:18" x14ac:dyDescent="0.3">
      <c r="A3096" s="11" t="s">
        <v>2914</v>
      </c>
      <c r="B3096" s="7">
        <v>56100</v>
      </c>
      <c r="C3096" s="7">
        <v>4.0629999999999997</v>
      </c>
      <c r="D3096" s="2">
        <f t="shared" si="729"/>
        <v>-2.2000000000000242E-2</v>
      </c>
      <c r="E3096" s="8">
        <f t="shared" ref="E3096:E3105" si="735">E3095-F3095</f>
        <v>4.2072897564589855</v>
      </c>
      <c r="F3096" s="6">
        <f t="shared" si="730"/>
        <v>2.2099447513812157E-2</v>
      </c>
      <c r="G3096" s="12">
        <f t="shared" ref="G3096:G3105" si="736">C3096-E3096</f>
        <v>-0.14428975645898579</v>
      </c>
    </row>
    <row r="3097" spans="1:18" x14ac:dyDescent="0.3">
      <c r="A3097" s="11" t="s">
        <v>2915</v>
      </c>
      <c r="B3097" s="7">
        <v>56120</v>
      </c>
      <c r="C3097" s="7">
        <v>4.0369999999999999</v>
      </c>
      <c r="D3097" s="2">
        <f t="shared" si="729"/>
        <v>-2.5999999999999801E-2</v>
      </c>
      <c r="E3097" s="8">
        <f t="shared" si="735"/>
        <v>4.185190308945173</v>
      </c>
      <c r="F3097" s="6">
        <f t="shared" si="730"/>
        <v>2.2099447513812157E-2</v>
      </c>
      <c r="G3097" s="12">
        <f t="shared" si="736"/>
        <v>-0.14819030894517304</v>
      </c>
    </row>
    <row r="3098" spans="1:18" x14ac:dyDescent="0.3">
      <c r="A3098" s="11" t="s">
        <v>2916</v>
      </c>
      <c r="B3098" s="7">
        <v>56140</v>
      </c>
      <c r="C3098" s="7">
        <v>4.0010000000000003</v>
      </c>
      <c r="D3098" s="2">
        <f t="shared" si="729"/>
        <v>-3.5999999999999588E-2</v>
      </c>
      <c r="E3098" s="8">
        <f t="shared" si="735"/>
        <v>4.1630908614313604</v>
      </c>
      <c r="F3098" s="6">
        <f t="shared" si="730"/>
        <v>2.2099447513812157E-2</v>
      </c>
      <c r="G3098" s="12">
        <f t="shared" si="736"/>
        <v>-0.16209086143136009</v>
      </c>
    </row>
    <row r="3099" spans="1:18" x14ac:dyDescent="0.3">
      <c r="A3099" s="11" t="s">
        <v>2917</v>
      </c>
      <c r="B3099" s="7">
        <v>56160</v>
      </c>
      <c r="C3099" s="7">
        <v>3.9729999999999999</v>
      </c>
      <c r="D3099" s="2">
        <f t="shared" si="729"/>
        <v>-2.8000000000000469E-2</v>
      </c>
      <c r="E3099" s="8">
        <f t="shared" si="735"/>
        <v>4.1409914139175479</v>
      </c>
      <c r="F3099" s="6">
        <f t="shared" si="730"/>
        <v>2.2099447513812157E-2</v>
      </c>
      <c r="G3099" s="12">
        <f t="shared" si="736"/>
        <v>-0.16799141391754802</v>
      </c>
    </row>
    <row r="3100" spans="1:18" x14ac:dyDescent="0.3">
      <c r="A3100" s="11" t="s">
        <v>2918</v>
      </c>
      <c r="B3100" s="7">
        <v>56180</v>
      </c>
      <c r="C3100" s="7">
        <v>3.968</v>
      </c>
      <c r="D3100" s="2">
        <f t="shared" si="729"/>
        <v>-4.9999999999998934E-3</v>
      </c>
      <c r="E3100" s="8">
        <f t="shared" si="735"/>
        <v>4.1188919664037353</v>
      </c>
      <c r="F3100" s="6">
        <f t="shared" si="730"/>
        <v>2.2099447513812157E-2</v>
      </c>
      <c r="G3100" s="12">
        <f t="shared" si="736"/>
        <v>-0.15089196640373537</v>
      </c>
    </row>
    <row r="3101" spans="1:18" x14ac:dyDescent="0.3">
      <c r="A3101" s="11" t="s">
        <v>2919</v>
      </c>
      <c r="B3101" s="7">
        <v>56200</v>
      </c>
      <c r="C3101" s="7">
        <v>3.952</v>
      </c>
      <c r="D3101" s="2">
        <f t="shared" si="729"/>
        <v>-1.6000000000000014E-2</v>
      </c>
      <c r="E3101" s="8">
        <f t="shared" si="735"/>
        <v>4.0967925188899228</v>
      </c>
      <c r="F3101" s="6">
        <f t="shared" si="730"/>
        <v>2.2099447513812157E-2</v>
      </c>
      <c r="G3101" s="12">
        <f t="shared" si="736"/>
        <v>-0.14479251888992284</v>
      </c>
    </row>
    <row r="3102" spans="1:18" x14ac:dyDescent="0.3">
      <c r="A3102" s="11" t="s">
        <v>2920</v>
      </c>
      <c r="B3102" s="7">
        <v>56220</v>
      </c>
      <c r="C3102" s="7">
        <v>3.944</v>
      </c>
      <c r="D3102" s="2">
        <f t="shared" si="729"/>
        <v>-8.0000000000000071E-3</v>
      </c>
      <c r="E3102" s="8">
        <f t="shared" si="735"/>
        <v>4.0746930713761103</v>
      </c>
      <c r="F3102" s="6">
        <f t="shared" si="730"/>
        <v>2.2099447513812157E-2</v>
      </c>
      <c r="G3102" s="12">
        <f t="shared" si="736"/>
        <v>-0.1306930713761103</v>
      </c>
    </row>
    <row r="3103" spans="1:18" x14ac:dyDescent="0.3">
      <c r="A3103" s="11" t="s">
        <v>2921</v>
      </c>
      <c r="B3103" s="7">
        <v>56240</v>
      </c>
      <c r="C3103" s="7">
        <v>3.9430000000000001</v>
      </c>
      <c r="D3103" s="2">
        <f t="shared" si="729"/>
        <v>-9.9999999999988987E-4</v>
      </c>
      <c r="E3103" s="8">
        <f t="shared" si="735"/>
        <v>4.0525936238622977</v>
      </c>
      <c r="F3103" s="6">
        <f t="shared" si="730"/>
        <v>2.2099447513812157E-2</v>
      </c>
      <c r="G3103" s="12">
        <f t="shared" si="736"/>
        <v>-0.10959362386229765</v>
      </c>
    </row>
    <row r="3104" spans="1:18" x14ac:dyDescent="0.3">
      <c r="A3104" s="11" t="s">
        <v>2922</v>
      </c>
      <c r="B3104" s="7">
        <v>56260</v>
      </c>
      <c r="C3104" s="7">
        <v>3.9380000000000002</v>
      </c>
      <c r="D3104" s="2">
        <f t="shared" si="729"/>
        <v>-4.9999999999998934E-3</v>
      </c>
      <c r="E3104" s="8">
        <f t="shared" si="735"/>
        <v>4.0304941763484852</v>
      </c>
      <c r="F3104" s="6">
        <f t="shared" si="730"/>
        <v>2.2099447513812157E-2</v>
      </c>
      <c r="G3104" s="12">
        <f t="shared" si="736"/>
        <v>-9.2494176348485002E-2</v>
      </c>
    </row>
    <row r="3105" spans="1:7" x14ac:dyDescent="0.3">
      <c r="A3105" s="11" t="s">
        <v>2923</v>
      </c>
      <c r="B3105" s="7">
        <v>56280</v>
      </c>
      <c r="C3105" s="7">
        <v>3.9009999999999998</v>
      </c>
      <c r="D3105" s="2">
        <f t="shared" si="729"/>
        <v>-3.7000000000000366E-2</v>
      </c>
      <c r="E3105" s="8">
        <f t="shared" si="735"/>
        <v>4.0083947288346726</v>
      </c>
      <c r="F3105" s="6">
        <f t="shared" si="730"/>
        <v>2.2099447513812157E-2</v>
      </c>
      <c r="G3105" s="12">
        <f t="shared" si="736"/>
        <v>-0.10739472883467283</v>
      </c>
    </row>
    <row r="3106" spans="1:7" x14ac:dyDescent="0.3">
      <c r="A3106" s="11" t="s">
        <v>2924</v>
      </c>
      <c r="B3106" s="7">
        <v>56300</v>
      </c>
      <c r="C3106" s="7">
        <v>3.8780000000000001</v>
      </c>
      <c r="D3106" s="2">
        <f t="shared" si="729"/>
        <v>-2.2999999999999687E-2</v>
      </c>
      <c r="E3106" s="8">
        <f t="shared" ref="E3106:E3126" si="737">E3105-F3105</f>
        <v>3.9862952813208605</v>
      </c>
      <c r="F3106" s="6">
        <f t="shared" si="730"/>
        <v>2.2099447513812157E-2</v>
      </c>
      <c r="G3106" s="12">
        <f t="shared" ref="G3106:G3145" si="738">C3106-E3106</f>
        <v>-0.10829528132086041</v>
      </c>
    </row>
    <row r="3107" spans="1:7" x14ac:dyDescent="0.3">
      <c r="A3107" s="11" t="s">
        <v>2925</v>
      </c>
      <c r="B3107" s="7">
        <v>56320</v>
      </c>
      <c r="C3107" s="7">
        <v>3.887</v>
      </c>
      <c r="D3107" s="2">
        <f t="shared" si="729"/>
        <v>8.999999999999897E-3</v>
      </c>
      <c r="E3107" s="8">
        <f t="shared" si="737"/>
        <v>3.9641958338070484</v>
      </c>
      <c r="F3107" s="6">
        <f t="shared" si="730"/>
        <v>2.2099447513812157E-2</v>
      </c>
      <c r="G3107" s="12">
        <f t="shared" si="738"/>
        <v>-7.719583380704842E-2</v>
      </c>
    </row>
    <row r="3108" spans="1:7" x14ac:dyDescent="0.3">
      <c r="A3108" s="11" t="s">
        <v>2926</v>
      </c>
      <c r="B3108" s="7">
        <v>56340</v>
      </c>
      <c r="C3108" s="7">
        <v>3.91</v>
      </c>
      <c r="D3108" s="2">
        <f t="shared" si="729"/>
        <v>2.3000000000000131E-2</v>
      </c>
      <c r="E3108" s="8">
        <f t="shared" si="737"/>
        <v>3.9420963862932363</v>
      </c>
      <c r="F3108" s="6">
        <f t="shared" si="730"/>
        <v>2.2099447513812157E-2</v>
      </c>
      <c r="G3108" s="12">
        <f t="shared" si="738"/>
        <v>-3.209638629323619E-2</v>
      </c>
    </row>
    <row r="3109" spans="1:7" x14ac:dyDescent="0.3">
      <c r="A3109" s="11" t="s">
        <v>2927</v>
      </c>
      <c r="B3109" s="7">
        <v>56360</v>
      </c>
      <c r="C3109" s="7">
        <v>3.8780000000000001</v>
      </c>
      <c r="D3109" s="2">
        <f t="shared" ref="D3109:D3174" si="739">C3109-C3108</f>
        <v>-3.2000000000000028E-2</v>
      </c>
      <c r="E3109" s="8">
        <f t="shared" si="737"/>
        <v>3.9199969387794242</v>
      </c>
      <c r="F3109" s="6">
        <f t="shared" si="730"/>
        <v>2.2099447513812157E-2</v>
      </c>
      <c r="G3109" s="12">
        <f t="shared" si="738"/>
        <v>-4.199693877942412E-2</v>
      </c>
    </row>
    <row r="3110" spans="1:7" x14ac:dyDescent="0.3">
      <c r="A3110" s="11" t="s">
        <v>2928</v>
      </c>
      <c r="B3110" s="7">
        <v>56380</v>
      </c>
      <c r="C3110" s="7">
        <v>3.8170000000000002</v>
      </c>
      <c r="D3110" s="2">
        <f t="shared" si="739"/>
        <v>-6.0999999999999943E-2</v>
      </c>
      <c r="E3110" s="8">
        <f t="shared" si="737"/>
        <v>3.8978974912656121</v>
      </c>
      <c r="F3110" s="6">
        <f t="shared" si="730"/>
        <v>2.2099447513812157E-2</v>
      </c>
      <c r="G3110" s="12">
        <f t="shared" si="738"/>
        <v>-8.0897491265611965E-2</v>
      </c>
    </row>
    <row r="3111" spans="1:7" x14ac:dyDescent="0.3">
      <c r="A3111" s="11" t="s">
        <v>2929</v>
      </c>
      <c r="B3111" s="7">
        <v>56400</v>
      </c>
      <c r="C3111" s="7">
        <v>3.7719999999999998</v>
      </c>
      <c r="D3111" s="2">
        <f t="shared" si="739"/>
        <v>-4.5000000000000373E-2</v>
      </c>
      <c r="E3111" s="8">
        <f t="shared" si="737"/>
        <v>3.8757980437518</v>
      </c>
      <c r="F3111" s="6">
        <f t="shared" si="730"/>
        <v>2.2099447513812157E-2</v>
      </c>
      <c r="G3111" s="12">
        <f t="shared" si="738"/>
        <v>-0.10379804375180024</v>
      </c>
    </row>
    <row r="3112" spans="1:7" x14ac:dyDescent="0.3">
      <c r="A3112" s="11" t="s">
        <v>2930</v>
      </c>
      <c r="B3112" s="7">
        <v>56420</v>
      </c>
      <c r="C3112" s="7">
        <v>3.742</v>
      </c>
      <c r="D3112" s="2">
        <f t="shared" si="739"/>
        <v>-2.9999999999999805E-2</v>
      </c>
      <c r="E3112" s="8">
        <f t="shared" si="737"/>
        <v>3.8536985962379879</v>
      </c>
      <c r="F3112" s="6">
        <f t="shared" si="730"/>
        <v>2.2099447513812157E-2</v>
      </c>
      <c r="G3112" s="12">
        <f t="shared" si="738"/>
        <v>-0.11169859623798795</v>
      </c>
    </row>
    <row r="3113" spans="1:7" x14ac:dyDescent="0.3">
      <c r="A3113" s="11" t="s">
        <v>2931</v>
      </c>
      <c r="B3113" s="7">
        <v>56440</v>
      </c>
      <c r="C3113" s="7">
        <v>3.6949999999999998</v>
      </c>
      <c r="D3113" s="2">
        <f t="shared" si="739"/>
        <v>-4.7000000000000153E-2</v>
      </c>
      <c r="E3113" s="8">
        <f t="shared" si="737"/>
        <v>3.8315991487241758</v>
      </c>
      <c r="F3113" s="6">
        <f t="shared" si="730"/>
        <v>2.2099447513812157E-2</v>
      </c>
      <c r="G3113" s="12">
        <f t="shared" si="738"/>
        <v>-0.136599148724176</v>
      </c>
    </row>
    <row r="3114" spans="1:7" x14ac:dyDescent="0.3">
      <c r="A3114" s="11" t="s">
        <v>2932</v>
      </c>
      <c r="B3114" s="7">
        <v>56460</v>
      </c>
      <c r="C3114" s="7">
        <v>3.661</v>
      </c>
      <c r="D3114" s="2">
        <f t="shared" si="739"/>
        <v>-3.3999999999999808E-2</v>
      </c>
      <c r="E3114" s="8">
        <f t="shared" si="737"/>
        <v>3.8094997012103637</v>
      </c>
      <c r="F3114" s="6">
        <f t="shared" si="730"/>
        <v>2.2099447513812157E-2</v>
      </c>
      <c r="G3114" s="12">
        <f t="shared" si="738"/>
        <v>-0.14849970121036371</v>
      </c>
    </row>
    <row r="3115" spans="1:7" x14ac:dyDescent="0.3">
      <c r="A3115" s="11" t="s">
        <v>2933</v>
      </c>
      <c r="B3115" s="7">
        <v>56480</v>
      </c>
      <c r="C3115" s="7">
        <v>3.637</v>
      </c>
      <c r="D3115" s="2">
        <f t="shared" si="739"/>
        <v>-2.4000000000000021E-2</v>
      </c>
      <c r="E3115" s="8">
        <f t="shared" si="737"/>
        <v>3.7874002536965516</v>
      </c>
      <c r="F3115" s="6">
        <f t="shared" si="730"/>
        <v>2.2099447513812157E-2</v>
      </c>
      <c r="G3115" s="12">
        <f t="shared" si="738"/>
        <v>-0.15040025369655163</v>
      </c>
    </row>
    <row r="3116" spans="1:7" x14ac:dyDescent="0.3">
      <c r="A3116" s="11" t="s">
        <v>2934</v>
      </c>
      <c r="B3116" s="7">
        <v>56500</v>
      </c>
      <c r="C3116" s="7">
        <v>3.6280000000000001</v>
      </c>
      <c r="D3116" s="2">
        <f t="shared" si="739"/>
        <v>-8.999999999999897E-3</v>
      </c>
      <c r="E3116" s="8">
        <f t="shared" si="737"/>
        <v>3.7653008061827395</v>
      </c>
      <c r="F3116" s="6">
        <f t="shared" si="730"/>
        <v>2.2099447513812157E-2</v>
      </c>
      <c r="G3116" s="12">
        <f t="shared" si="738"/>
        <v>-0.13730080618273943</v>
      </c>
    </row>
    <row r="3117" spans="1:7" x14ac:dyDescent="0.3">
      <c r="A3117" s="11" t="s">
        <v>2935</v>
      </c>
      <c r="B3117" s="7">
        <v>56520</v>
      </c>
      <c r="C3117" s="7">
        <v>3.6190000000000002</v>
      </c>
      <c r="D3117" s="2">
        <f t="shared" si="739"/>
        <v>-8.999999999999897E-3</v>
      </c>
      <c r="E3117" s="8">
        <f t="shared" si="737"/>
        <v>3.7432013586689274</v>
      </c>
      <c r="F3117" s="6">
        <f t="shared" si="730"/>
        <v>2.2099447513812157E-2</v>
      </c>
      <c r="G3117" s="12">
        <f t="shared" si="738"/>
        <v>-0.12420135866892723</v>
      </c>
    </row>
    <row r="3118" spans="1:7" x14ac:dyDescent="0.3">
      <c r="A3118" s="11" t="s">
        <v>2936</v>
      </c>
      <c r="B3118" s="7">
        <v>56540</v>
      </c>
      <c r="C3118" s="7">
        <v>3.609</v>
      </c>
      <c r="D3118" s="2">
        <f t="shared" si="739"/>
        <v>-1.0000000000000231E-2</v>
      </c>
      <c r="E3118" s="8">
        <f t="shared" si="737"/>
        <v>3.7211019111551153</v>
      </c>
      <c r="F3118" s="6">
        <f t="shared" si="730"/>
        <v>2.2099447513812157E-2</v>
      </c>
      <c r="G3118" s="12">
        <f t="shared" si="738"/>
        <v>-0.11210191115511536</v>
      </c>
    </row>
    <row r="3119" spans="1:7" x14ac:dyDescent="0.3">
      <c r="A3119" s="11" t="s">
        <v>2937</v>
      </c>
      <c r="B3119" s="7">
        <v>56560</v>
      </c>
      <c r="C3119" s="7">
        <v>3.6040000000000001</v>
      </c>
      <c r="D3119" s="2">
        <f t="shared" si="739"/>
        <v>-4.9999999999998934E-3</v>
      </c>
      <c r="E3119" s="8">
        <f t="shared" si="737"/>
        <v>3.6990024636413033</v>
      </c>
      <c r="F3119" s="6">
        <f t="shared" si="730"/>
        <v>2.2099447513812157E-2</v>
      </c>
      <c r="G3119" s="12">
        <f t="shared" si="738"/>
        <v>-9.5002463641303159E-2</v>
      </c>
    </row>
    <row r="3120" spans="1:7" x14ac:dyDescent="0.3">
      <c r="A3120" s="11" t="s">
        <v>2938</v>
      </c>
      <c r="B3120" s="7">
        <v>56580</v>
      </c>
      <c r="C3120" s="7">
        <v>3.5819999999999999</v>
      </c>
      <c r="D3120" s="2">
        <f t="shared" si="739"/>
        <v>-2.2000000000000242E-2</v>
      </c>
      <c r="E3120" s="8">
        <f t="shared" si="737"/>
        <v>3.6769030161274912</v>
      </c>
      <c r="F3120" s="6">
        <f t="shared" si="730"/>
        <v>2.2099447513812157E-2</v>
      </c>
      <c r="G3120" s="12">
        <f t="shared" si="738"/>
        <v>-9.4903016127491302E-2</v>
      </c>
    </row>
    <row r="3121" spans="1:18" x14ac:dyDescent="0.3">
      <c r="A3121" s="11" t="s">
        <v>2939</v>
      </c>
      <c r="B3121" s="7">
        <v>56600</v>
      </c>
      <c r="C3121" s="7">
        <v>3.5649999999999999</v>
      </c>
      <c r="D3121" s="2">
        <f t="shared" si="739"/>
        <v>-1.6999999999999904E-2</v>
      </c>
      <c r="E3121" s="8">
        <f t="shared" si="737"/>
        <v>3.6548035686136791</v>
      </c>
      <c r="F3121" s="6">
        <f t="shared" si="730"/>
        <v>2.2099447513812157E-2</v>
      </c>
      <c r="G3121" s="12">
        <f t="shared" si="738"/>
        <v>-8.9803568613679108E-2</v>
      </c>
    </row>
    <row r="3122" spans="1:18" x14ac:dyDescent="0.3">
      <c r="A3122" s="11" t="s">
        <v>2940</v>
      </c>
      <c r="B3122" s="7">
        <v>56620</v>
      </c>
      <c r="C3122" s="7">
        <v>3.5529999999999999</v>
      </c>
      <c r="D3122" s="2">
        <f t="shared" si="739"/>
        <v>-1.2000000000000011E-2</v>
      </c>
      <c r="E3122" s="8">
        <f t="shared" si="737"/>
        <v>3.632704121099867</v>
      </c>
      <c r="F3122" s="6">
        <f t="shared" si="730"/>
        <v>2.2099447513812157E-2</v>
      </c>
      <c r="G3122" s="12">
        <f t="shared" si="738"/>
        <v>-7.970412109986702E-2</v>
      </c>
    </row>
    <row r="3123" spans="1:18" x14ac:dyDescent="0.3">
      <c r="A3123" s="11" t="s">
        <v>2941</v>
      </c>
      <c r="B3123" s="7">
        <v>56640</v>
      </c>
      <c r="C3123" s="7">
        <v>3.5350000000000001</v>
      </c>
      <c r="D3123" s="2">
        <f t="shared" si="739"/>
        <v>-1.7999999999999794E-2</v>
      </c>
      <c r="E3123" s="8">
        <f t="shared" si="737"/>
        <v>3.6106046735860549</v>
      </c>
      <c r="F3123" s="6">
        <f t="shared" si="730"/>
        <v>2.2099447513812157E-2</v>
      </c>
      <c r="G3123" s="12">
        <f t="shared" si="738"/>
        <v>-7.5604673586054716E-2</v>
      </c>
    </row>
    <row r="3124" spans="1:18" x14ac:dyDescent="0.3">
      <c r="A3124" s="11" t="s">
        <v>2942</v>
      </c>
      <c r="B3124" s="7">
        <v>56660</v>
      </c>
      <c r="C3124" s="7">
        <v>3.5270000000000001</v>
      </c>
      <c r="D3124" s="2">
        <f t="shared" si="739"/>
        <v>-8.0000000000000071E-3</v>
      </c>
      <c r="E3124" s="8">
        <f t="shared" si="737"/>
        <v>3.5885052260722428</v>
      </c>
      <c r="F3124" s="6">
        <f t="shared" si="730"/>
        <v>2.2099447513812157E-2</v>
      </c>
      <c r="G3124" s="12">
        <f t="shared" si="738"/>
        <v>-6.1505226072242625E-2</v>
      </c>
    </row>
    <row r="3125" spans="1:18" x14ac:dyDescent="0.3">
      <c r="A3125" s="11" t="s">
        <v>2943</v>
      </c>
      <c r="B3125" s="7">
        <v>56680</v>
      </c>
      <c r="C3125" s="7">
        <v>3.53</v>
      </c>
      <c r="D3125" s="2">
        <f t="shared" si="739"/>
        <v>2.9999999999996696E-3</v>
      </c>
      <c r="E3125" s="8">
        <f t="shared" si="737"/>
        <v>3.5664057785584307</v>
      </c>
      <c r="F3125" s="6">
        <f t="shared" ref="F3125:F3189" si="740">F3124</f>
        <v>2.2099447513812157E-2</v>
      </c>
      <c r="G3125" s="12">
        <f t="shared" si="738"/>
        <v>-3.6405778558430857E-2</v>
      </c>
    </row>
    <row r="3126" spans="1:18" x14ac:dyDescent="0.3">
      <c r="A3126" s="11" t="s">
        <v>2944</v>
      </c>
      <c r="B3126" s="7">
        <v>56700</v>
      </c>
      <c r="C3126" s="7">
        <v>3.544</v>
      </c>
      <c r="D3126" s="2">
        <f t="shared" si="739"/>
        <v>1.4000000000000234E-2</v>
      </c>
      <c r="E3126" s="8">
        <f t="shared" si="737"/>
        <v>3.5443063310446186</v>
      </c>
      <c r="F3126" s="6">
        <f t="shared" si="740"/>
        <v>2.2099447513812157E-2</v>
      </c>
      <c r="G3126" s="12">
        <f t="shared" si="738"/>
        <v>-3.0633104461852412E-4</v>
      </c>
    </row>
    <row r="3127" spans="1:18" x14ac:dyDescent="0.3">
      <c r="A3127" s="21"/>
      <c r="B3127" s="22"/>
      <c r="C3127" s="22"/>
      <c r="D3127" s="22"/>
      <c r="E3127" s="22"/>
      <c r="F3127" s="22"/>
      <c r="G3127" s="23"/>
      <c r="H3127" s="4" t="s">
        <v>3278</v>
      </c>
      <c r="J3127" s="4"/>
      <c r="O3127" s="3">
        <f>1/O3128</f>
        <v>8.8731144631765753E-5</v>
      </c>
      <c r="P3127" s="3">
        <f>O3127*20</f>
        <v>1.7746228926353151E-3</v>
      </c>
      <c r="Q3127" s="3" t="s">
        <v>3163</v>
      </c>
      <c r="R3127" s="3">
        <v>11270</v>
      </c>
    </row>
    <row r="3128" spans="1:18" x14ac:dyDescent="0.3">
      <c r="A3128" s="11" t="s">
        <v>2945</v>
      </c>
      <c r="B3128" s="7">
        <v>56720</v>
      </c>
      <c r="C3128" s="7">
        <v>3.55</v>
      </c>
      <c r="D3128" s="2">
        <f>C3128-C3126</f>
        <v>5.9999999999997833E-3</v>
      </c>
      <c r="E3128" s="8">
        <f>E3126+F3128</f>
        <v>3.546080953937254</v>
      </c>
      <c r="F3128" s="6">
        <f>P3127</f>
        <v>1.7746228926353151E-3</v>
      </c>
      <c r="G3128" s="12">
        <f>C3128-E3128</f>
        <v>3.9190460627458457E-3</v>
      </c>
      <c r="H3128" s="3">
        <f>B3126</f>
        <v>56700</v>
      </c>
      <c r="I3128" s="3">
        <f>B3260</f>
        <v>59300</v>
      </c>
      <c r="J3128" s="3">
        <f>I3128-H3128</f>
        <v>2600</v>
      </c>
      <c r="K3128" s="5">
        <f>E3126</f>
        <v>3.5443063310446186</v>
      </c>
      <c r="L3128" s="3">
        <f>C3260</f>
        <v>3.7749999999999999</v>
      </c>
      <c r="M3128" s="5">
        <f>L3128-K3128</f>
        <v>0.23069366895538135</v>
      </c>
      <c r="N3128" s="3">
        <f>J3128/M3128</f>
        <v>11270.35697066688</v>
      </c>
      <c r="O3128" s="3">
        <v>11270</v>
      </c>
    </row>
    <row r="3129" spans="1:18" x14ac:dyDescent="0.3">
      <c r="A3129" s="11" t="s">
        <v>2946</v>
      </c>
      <c r="B3129" s="7">
        <v>56740</v>
      </c>
      <c r="C3129" s="7">
        <v>3.556</v>
      </c>
      <c r="D3129" s="2">
        <f t="shared" si="739"/>
        <v>6.0000000000002274E-3</v>
      </c>
      <c r="E3129" s="8">
        <f>E3128+F3128</f>
        <v>3.5478555768298894</v>
      </c>
      <c r="F3129" s="6">
        <f t="shared" ref="F3129" si="741">F3128</f>
        <v>1.7746228926353151E-3</v>
      </c>
      <c r="G3129" s="12">
        <f t="shared" ref="G3129" si="742">C3129-E3129</f>
        <v>8.1444231701106595E-3</v>
      </c>
    </row>
    <row r="3130" spans="1:18" x14ac:dyDescent="0.3">
      <c r="A3130" s="11" t="s">
        <v>2947</v>
      </c>
      <c r="B3130" s="7">
        <v>56760</v>
      </c>
      <c r="C3130" s="7">
        <v>3.5289999999999999</v>
      </c>
      <c r="D3130" s="2">
        <f t="shared" si="739"/>
        <v>-2.7000000000000135E-2</v>
      </c>
      <c r="E3130" s="8">
        <f t="shared" ref="E3130:E3183" si="743">E3129+F3129</f>
        <v>3.5496301997225248</v>
      </c>
      <c r="F3130" s="6">
        <f t="shared" si="740"/>
        <v>1.7746228926353151E-3</v>
      </c>
      <c r="G3130" s="12">
        <f t="shared" si="738"/>
        <v>-2.0630199722524889E-2</v>
      </c>
    </row>
    <row r="3131" spans="1:18" x14ac:dyDescent="0.3">
      <c r="A3131" s="11" t="s">
        <v>2948</v>
      </c>
      <c r="B3131" s="7">
        <v>56780</v>
      </c>
      <c r="C3131" s="7">
        <v>3.5230000000000001</v>
      </c>
      <c r="D3131" s="2">
        <f t="shared" si="739"/>
        <v>-5.9999999999997833E-3</v>
      </c>
      <c r="E3131" s="8">
        <f t="shared" si="743"/>
        <v>3.5514048226151602</v>
      </c>
      <c r="F3131" s="6">
        <f t="shared" si="740"/>
        <v>1.7746228926353151E-3</v>
      </c>
      <c r="G3131" s="12">
        <f t="shared" si="738"/>
        <v>-2.8404822615160086E-2</v>
      </c>
    </row>
    <row r="3132" spans="1:18" x14ac:dyDescent="0.3">
      <c r="A3132" s="11" t="s">
        <v>2949</v>
      </c>
      <c r="B3132" s="7">
        <v>56800</v>
      </c>
      <c r="C3132" s="7">
        <v>3.5179999999999998</v>
      </c>
      <c r="D3132" s="2">
        <f t="shared" si="739"/>
        <v>-5.0000000000003375E-3</v>
      </c>
      <c r="E3132" s="8">
        <f t="shared" si="743"/>
        <v>3.5531794455077956</v>
      </c>
      <c r="F3132" s="6">
        <f t="shared" si="740"/>
        <v>1.7746228926353151E-3</v>
      </c>
      <c r="G3132" s="12">
        <f t="shared" si="738"/>
        <v>-3.5179445507795837E-2</v>
      </c>
    </row>
    <row r="3133" spans="1:18" x14ac:dyDescent="0.3">
      <c r="A3133" s="11" t="s">
        <v>2950</v>
      </c>
      <c r="B3133" s="7">
        <v>56820</v>
      </c>
      <c r="C3133" s="7">
        <v>3.5150000000000001</v>
      </c>
      <c r="D3133" s="2">
        <f t="shared" si="739"/>
        <v>-2.9999999999996696E-3</v>
      </c>
      <c r="E3133" s="8">
        <f t="shared" si="743"/>
        <v>3.554954068400431</v>
      </c>
      <c r="F3133" s="6">
        <f t="shared" si="740"/>
        <v>1.7746228926353151E-3</v>
      </c>
      <c r="G3133" s="12">
        <f t="shared" si="738"/>
        <v>-3.995406840043092E-2</v>
      </c>
    </row>
    <row r="3134" spans="1:18" x14ac:dyDescent="0.3">
      <c r="A3134" s="11" t="s">
        <v>2951</v>
      </c>
      <c r="B3134" s="7">
        <v>56840</v>
      </c>
      <c r="C3134" s="7">
        <v>3.512</v>
      </c>
      <c r="D3134" s="2">
        <f t="shared" si="739"/>
        <v>-3.0000000000001137E-3</v>
      </c>
      <c r="E3134" s="8">
        <f t="shared" si="743"/>
        <v>3.5567286912930665</v>
      </c>
      <c r="F3134" s="6">
        <f t="shared" si="740"/>
        <v>1.7746228926353151E-3</v>
      </c>
      <c r="G3134" s="12">
        <f t="shared" si="738"/>
        <v>-4.4728691293066447E-2</v>
      </c>
    </row>
    <row r="3135" spans="1:18" x14ac:dyDescent="0.3">
      <c r="A3135" s="11" t="s">
        <v>2952</v>
      </c>
      <c r="B3135" s="7">
        <v>56860</v>
      </c>
      <c r="C3135" s="7">
        <v>3.5049999999999999</v>
      </c>
      <c r="D3135" s="2">
        <f t="shared" si="739"/>
        <v>-7.0000000000001172E-3</v>
      </c>
      <c r="E3135" s="8">
        <f t="shared" si="743"/>
        <v>3.5585033141857019</v>
      </c>
      <c r="F3135" s="6">
        <f t="shared" si="740"/>
        <v>1.7746228926353151E-3</v>
      </c>
      <c r="G3135" s="12">
        <f t="shared" si="738"/>
        <v>-5.3503314185701978E-2</v>
      </c>
    </row>
    <row r="3136" spans="1:18" x14ac:dyDescent="0.3">
      <c r="A3136" s="11" t="s">
        <v>2953</v>
      </c>
      <c r="B3136" s="7">
        <v>56880</v>
      </c>
      <c r="C3136" s="7">
        <v>3.5019999999999998</v>
      </c>
      <c r="D3136" s="2">
        <f t="shared" si="739"/>
        <v>-3.0000000000001137E-3</v>
      </c>
      <c r="E3136" s="8">
        <f t="shared" si="743"/>
        <v>3.5602779370783373</v>
      </c>
      <c r="F3136" s="6">
        <f t="shared" si="740"/>
        <v>1.7746228926353151E-3</v>
      </c>
      <c r="G3136" s="12">
        <f t="shared" si="738"/>
        <v>-5.8277937078337505E-2</v>
      </c>
    </row>
    <row r="3137" spans="1:7" x14ac:dyDescent="0.3">
      <c r="A3137" s="11" t="s">
        <v>2954</v>
      </c>
      <c r="B3137" s="7">
        <v>56900</v>
      </c>
      <c r="C3137" s="7">
        <v>3.4860000000000002</v>
      </c>
      <c r="D3137" s="2">
        <f t="shared" si="739"/>
        <v>-1.599999999999957E-2</v>
      </c>
      <c r="E3137" s="8">
        <f t="shared" si="743"/>
        <v>3.5620525599709727</v>
      </c>
      <c r="F3137" s="6">
        <f t="shared" si="740"/>
        <v>1.7746228926353151E-3</v>
      </c>
      <c r="G3137" s="12">
        <f t="shared" si="738"/>
        <v>-7.6052559970972489E-2</v>
      </c>
    </row>
    <row r="3138" spans="1:7" x14ac:dyDescent="0.3">
      <c r="A3138" s="11" t="s">
        <v>2955</v>
      </c>
      <c r="B3138" s="7">
        <v>56920</v>
      </c>
      <c r="C3138" s="7">
        <v>3.476</v>
      </c>
      <c r="D3138" s="2">
        <f t="shared" si="739"/>
        <v>-1.0000000000000231E-2</v>
      </c>
      <c r="E3138" s="8">
        <f t="shared" si="743"/>
        <v>3.5638271828636081</v>
      </c>
      <c r="F3138" s="6">
        <f t="shared" si="740"/>
        <v>1.7746228926353151E-3</v>
      </c>
      <c r="G3138" s="12">
        <f t="shared" si="738"/>
        <v>-8.7827182863608133E-2</v>
      </c>
    </row>
    <row r="3139" spans="1:7" x14ac:dyDescent="0.3">
      <c r="A3139" s="11" t="s">
        <v>2956</v>
      </c>
      <c r="B3139" s="7">
        <v>56940</v>
      </c>
      <c r="C3139" s="7">
        <v>3.4660000000000002</v>
      </c>
      <c r="D3139" s="2">
        <f t="shared" si="739"/>
        <v>-9.9999999999997868E-3</v>
      </c>
      <c r="E3139" s="8">
        <f t="shared" si="743"/>
        <v>3.5656018057562435</v>
      </c>
      <c r="F3139" s="6">
        <f t="shared" si="740"/>
        <v>1.7746228926353151E-3</v>
      </c>
      <c r="G3139" s="12">
        <f t="shared" si="738"/>
        <v>-9.9601805756243333E-2</v>
      </c>
    </row>
    <row r="3140" spans="1:7" x14ac:dyDescent="0.3">
      <c r="A3140" s="11" t="s">
        <v>2957</v>
      </c>
      <c r="B3140" s="7">
        <v>56960</v>
      </c>
      <c r="C3140" s="7">
        <v>3.49</v>
      </c>
      <c r="D3140" s="2">
        <f t="shared" si="739"/>
        <v>2.4000000000000021E-2</v>
      </c>
      <c r="E3140" s="8">
        <f t="shared" si="743"/>
        <v>3.5673764286488789</v>
      </c>
      <c r="F3140" s="6">
        <f t="shared" si="740"/>
        <v>1.7746228926353151E-3</v>
      </c>
      <c r="G3140" s="12">
        <f t="shared" si="738"/>
        <v>-7.7376428648878726E-2</v>
      </c>
    </row>
    <row r="3141" spans="1:7" x14ac:dyDescent="0.3">
      <c r="A3141" s="13" t="s">
        <v>2958</v>
      </c>
      <c r="B3141" s="24"/>
      <c r="C3141" s="25"/>
      <c r="D3141" s="25"/>
      <c r="E3141" s="25"/>
      <c r="F3141" s="25"/>
      <c r="G3141" s="26"/>
    </row>
    <row r="3142" spans="1:7" x14ac:dyDescent="0.3">
      <c r="A3142" s="11" t="s">
        <v>2959</v>
      </c>
      <c r="B3142" s="7">
        <v>56980</v>
      </c>
      <c r="C3142" s="7">
        <v>3.484</v>
      </c>
      <c r="D3142" s="2">
        <f>C3142-C3140</f>
        <v>-6.0000000000002274E-3</v>
      </c>
      <c r="E3142" s="8">
        <f>E3140+F3140</f>
        <v>3.5691510515415144</v>
      </c>
      <c r="F3142" s="6">
        <f>F3140</f>
        <v>1.7746228926353151E-3</v>
      </c>
      <c r="G3142" s="12">
        <f t="shared" si="738"/>
        <v>-8.5151051541514367E-2</v>
      </c>
    </row>
    <row r="3143" spans="1:7" x14ac:dyDescent="0.3">
      <c r="A3143" s="11" t="s">
        <v>2960</v>
      </c>
      <c r="B3143" s="7">
        <v>57000</v>
      </c>
      <c r="C3143" s="7">
        <v>3.4929999999999999</v>
      </c>
      <c r="D3143" s="2">
        <f t="shared" si="739"/>
        <v>8.999999999999897E-3</v>
      </c>
      <c r="E3143" s="8">
        <f t="shared" si="743"/>
        <v>3.5709256744341498</v>
      </c>
      <c r="F3143" s="6">
        <f t="shared" si="740"/>
        <v>1.7746228926353151E-3</v>
      </c>
      <c r="G3143" s="12">
        <f t="shared" si="738"/>
        <v>-7.7925674434149883E-2</v>
      </c>
    </row>
    <row r="3144" spans="1:7" x14ac:dyDescent="0.3">
      <c r="A3144" s="11" t="s">
        <v>2961</v>
      </c>
      <c r="B3144" s="7">
        <v>57020</v>
      </c>
      <c r="C3144" s="7">
        <v>3.4990000000000001</v>
      </c>
      <c r="D3144" s="2">
        <f t="shared" si="739"/>
        <v>6.0000000000002274E-3</v>
      </c>
      <c r="E3144" s="8">
        <f t="shared" si="743"/>
        <v>3.5727002973267852</v>
      </c>
      <c r="F3144" s="6">
        <f t="shared" si="740"/>
        <v>1.7746228926353151E-3</v>
      </c>
      <c r="G3144" s="12">
        <f t="shared" si="738"/>
        <v>-7.3700297326785069E-2</v>
      </c>
    </row>
    <row r="3145" spans="1:7" x14ac:dyDescent="0.3">
      <c r="A3145" s="11" t="s">
        <v>2962</v>
      </c>
      <c r="B3145" s="7">
        <v>57040</v>
      </c>
      <c r="C3145" s="7">
        <v>3.5049999999999999</v>
      </c>
      <c r="D3145" s="2">
        <f t="shared" si="739"/>
        <v>5.9999999999997833E-3</v>
      </c>
      <c r="E3145" s="8">
        <f t="shared" si="743"/>
        <v>3.5744749202194206</v>
      </c>
      <c r="F3145" s="6">
        <f t="shared" si="740"/>
        <v>1.7746228926353151E-3</v>
      </c>
      <c r="G3145" s="12">
        <f t="shared" si="738"/>
        <v>-6.9474920219420699E-2</v>
      </c>
    </row>
    <row r="3146" spans="1:7" x14ac:dyDescent="0.3">
      <c r="A3146" s="11" t="s">
        <v>2963</v>
      </c>
      <c r="B3146" s="7">
        <v>57060</v>
      </c>
      <c r="C3146" s="7">
        <v>3.5059999999999998</v>
      </c>
      <c r="D3146" s="2">
        <f t="shared" si="739"/>
        <v>9.9999999999988987E-4</v>
      </c>
      <c r="E3146" s="8">
        <f t="shared" si="743"/>
        <v>3.576249543112056</v>
      </c>
      <c r="F3146" s="6">
        <f t="shared" si="740"/>
        <v>1.7746228926353151E-3</v>
      </c>
      <c r="G3146" s="12">
        <f t="shared" ref="G3146:G3165" si="744">C3146-E3146</f>
        <v>-7.0249543112056223E-2</v>
      </c>
    </row>
    <row r="3147" spans="1:7" x14ac:dyDescent="0.3">
      <c r="A3147" s="11" t="s">
        <v>2964</v>
      </c>
      <c r="B3147" s="7">
        <v>57080</v>
      </c>
      <c r="C3147" s="7">
        <v>3.5059999999999998</v>
      </c>
      <c r="D3147" s="2">
        <f t="shared" si="739"/>
        <v>0</v>
      </c>
      <c r="E3147" s="8">
        <f t="shared" si="743"/>
        <v>3.5780241660046914</v>
      </c>
      <c r="F3147" s="6">
        <f t="shared" si="740"/>
        <v>1.7746228926353151E-3</v>
      </c>
      <c r="G3147" s="12">
        <f t="shared" si="744"/>
        <v>-7.2024166004691637E-2</v>
      </c>
    </row>
    <row r="3148" spans="1:7" x14ac:dyDescent="0.3">
      <c r="A3148" s="11" t="s">
        <v>2965</v>
      </c>
      <c r="B3148" s="7">
        <v>57100</v>
      </c>
      <c r="C3148" s="7">
        <v>3.516</v>
      </c>
      <c r="D3148" s="2">
        <f t="shared" si="739"/>
        <v>1.0000000000000231E-2</v>
      </c>
      <c r="E3148" s="8">
        <f t="shared" si="743"/>
        <v>3.5797987888973268</v>
      </c>
      <c r="F3148" s="6">
        <f t="shared" si="740"/>
        <v>1.7746228926353151E-3</v>
      </c>
      <c r="G3148" s="12">
        <f t="shared" si="744"/>
        <v>-6.3798788897326819E-2</v>
      </c>
    </row>
    <row r="3149" spans="1:7" x14ac:dyDescent="0.3">
      <c r="A3149" s="11" t="s">
        <v>2966</v>
      </c>
      <c r="B3149" s="7">
        <v>57120</v>
      </c>
      <c r="C3149" s="7">
        <v>3.5529999999999999</v>
      </c>
      <c r="D3149" s="2">
        <f t="shared" si="739"/>
        <v>3.6999999999999922E-2</v>
      </c>
      <c r="E3149" s="8">
        <f t="shared" si="743"/>
        <v>3.5815734117899622</v>
      </c>
      <c r="F3149" s="6">
        <f t="shared" si="740"/>
        <v>1.7746228926353151E-3</v>
      </c>
      <c r="G3149" s="12">
        <f t="shared" si="744"/>
        <v>-2.8573411789962311E-2</v>
      </c>
    </row>
    <row r="3150" spans="1:7" x14ac:dyDescent="0.3">
      <c r="A3150" s="11" t="s">
        <v>2967</v>
      </c>
      <c r="B3150" s="7">
        <v>57140</v>
      </c>
      <c r="C3150" s="7">
        <v>3.5529999999999999</v>
      </c>
      <c r="D3150" s="2">
        <f t="shared" si="739"/>
        <v>0</v>
      </c>
      <c r="E3150" s="8">
        <f t="shared" si="743"/>
        <v>3.5833480346825977</v>
      </c>
      <c r="F3150" s="6">
        <f t="shared" si="740"/>
        <v>1.7746228926353151E-3</v>
      </c>
      <c r="G3150" s="12">
        <f t="shared" si="744"/>
        <v>-3.0348034682597724E-2</v>
      </c>
    </row>
    <row r="3151" spans="1:7" x14ac:dyDescent="0.3">
      <c r="A3151" s="11" t="s">
        <v>2968</v>
      </c>
      <c r="B3151" s="7">
        <v>57160</v>
      </c>
      <c r="C3151" s="7">
        <v>3.5230000000000001</v>
      </c>
      <c r="D3151" s="2">
        <f t="shared" si="739"/>
        <v>-2.9999999999999805E-2</v>
      </c>
      <c r="E3151" s="8">
        <f t="shared" si="743"/>
        <v>3.5851226575752331</v>
      </c>
      <c r="F3151" s="6">
        <f t="shared" si="740"/>
        <v>1.7746228926353151E-3</v>
      </c>
      <c r="G3151" s="12">
        <f t="shared" si="744"/>
        <v>-6.2122657575232942E-2</v>
      </c>
    </row>
    <row r="3152" spans="1:7" x14ac:dyDescent="0.3">
      <c r="A3152" s="11" t="s">
        <v>2969</v>
      </c>
      <c r="B3152" s="7">
        <v>57180</v>
      </c>
      <c r="C3152" s="7">
        <v>3.5190000000000001</v>
      </c>
      <c r="D3152" s="2">
        <f t="shared" si="739"/>
        <v>-4.0000000000000036E-3</v>
      </c>
      <c r="E3152" s="8">
        <f t="shared" si="743"/>
        <v>3.5868972804678685</v>
      </c>
      <c r="F3152" s="6">
        <f t="shared" si="740"/>
        <v>1.7746228926353151E-3</v>
      </c>
      <c r="G3152" s="12">
        <f t="shared" si="744"/>
        <v>-6.7897280467868359E-2</v>
      </c>
    </row>
    <row r="3153" spans="1:7" x14ac:dyDescent="0.3">
      <c r="A3153" s="11" t="s">
        <v>2970</v>
      </c>
      <c r="B3153" s="7">
        <v>57200</v>
      </c>
      <c r="C3153" s="7">
        <v>3.532</v>
      </c>
      <c r="D3153" s="2">
        <f t="shared" si="739"/>
        <v>1.2999999999999901E-2</v>
      </c>
      <c r="E3153" s="8">
        <f t="shared" si="743"/>
        <v>3.5886719033605039</v>
      </c>
      <c r="F3153" s="6">
        <f t="shared" si="740"/>
        <v>1.7746228926353151E-3</v>
      </c>
      <c r="G3153" s="12">
        <f t="shared" si="744"/>
        <v>-5.6671903360503872E-2</v>
      </c>
    </row>
    <row r="3154" spans="1:7" x14ac:dyDescent="0.3">
      <c r="A3154" s="11" t="s">
        <v>2971</v>
      </c>
      <c r="B3154" s="7">
        <v>57220</v>
      </c>
      <c r="C3154" s="7">
        <v>3.5510000000000002</v>
      </c>
      <c r="D3154" s="2">
        <f t="shared" si="739"/>
        <v>1.9000000000000128E-2</v>
      </c>
      <c r="E3154" s="8">
        <f t="shared" si="743"/>
        <v>3.5904465262531393</v>
      </c>
      <c r="F3154" s="6">
        <f t="shared" si="740"/>
        <v>1.7746228926353151E-3</v>
      </c>
      <c r="G3154" s="12">
        <f t="shared" si="744"/>
        <v>-3.9446526253139158E-2</v>
      </c>
    </row>
    <row r="3155" spans="1:7" x14ac:dyDescent="0.3">
      <c r="A3155" s="11" t="s">
        <v>2972</v>
      </c>
      <c r="B3155" s="7">
        <v>57240</v>
      </c>
      <c r="C3155" s="7">
        <v>3.5609999999999999</v>
      </c>
      <c r="D3155" s="2">
        <f t="shared" si="739"/>
        <v>9.9999999999997868E-3</v>
      </c>
      <c r="E3155" s="8">
        <f t="shared" si="743"/>
        <v>3.5922211491457747</v>
      </c>
      <c r="F3155" s="6">
        <f t="shared" si="740"/>
        <v>1.7746228926353151E-3</v>
      </c>
      <c r="G3155" s="12">
        <f t="shared" si="744"/>
        <v>-3.1221149145774785E-2</v>
      </c>
    </row>
    <row r="3156" spans="1:7" x14ac:dyDescent="0.3">
      <c r="A3156" s="11" t="s">
        <v>2973</v>
      </c>
      <c r="B3156" s="7">
        <v>57260</v>
      </c>
      <c r="C3156" s="7">
        <v>3.573</v>
      </c>
      <c r="D3156" s="2">
        <f t="shared" si="739"/>
        <v>1.2000000000000011E-2</v>
      </c>
      <c r="E3156" s="8">
        <f t="shared" si="743"/>
        <v>3.5939957720384101</v>
      </c>
      <c r="F3156" s="6">
        <f t="shared" si="740"/>
        <v>1.7746228926353151E-3</v>
      </c>
      <c r="G3156" s="12">
        <f t="shared" si="744"/>
        <v>-2.0995772038410188E-2</v>
      </c>
    </row>
    <row r="3157" spans="1:7" x14ac:dyDescent="0.3">
      <c r="A3157" s="11" t="s">
        <v>2974</v>
      </c>
      <c r="B3157" s="7">
        <v>57280</v>
      </c>
      <c r="C3157" s="7">
        <v>3.5859999999999999</v>
      </c>
      <c r="D3157" s="2">
        <f t="shared" si="739"/>
        <v>1.2999999999999901E-2</v>
      </c>
      <c r="E3157" s="8">
        <f t="shared" si="743"/>
        <v>3.5957703949310456</v>
      </c>
      <c r="F3157" s="6">
        <f t="shared" si="740"/>
        <v>1.7746228926353151E-3</v>
      </c>
      <c r="G3157" s="12">
        <f t="shared" si="744"/>
        <v>-9.7703949310457006E-3</v>
      </c>
    </row>
    <row r="3158" spans="1:7" x14ac:dyDescent="0.3">
      <c r="A3158" s="11" t="s">
        <v>2975</v>
      </c>
      <c r="B3158" s="7">
        <v>57300</v>
      </c>
      <c r="C3158" s="7">
        <v>3.5990000000000002</v>
      </c>
      <c r="D3158" s="2">
        <f t="shared" si="739"/>
        <v>1.3000000000000345E-2</v>
      </c>
      <c r="E3158" s="8">
        <f t="shared" si="743"/>
        <v>3.597545017823681</v>
      </c>
      <c r="F3158" s="6">
        <f t="shared" si="740"/>
        <v>1.7746228926353151E-3</v>
      </c>
      <c r="G3158" s="12">
        <f t="shared" si="744"/>
        <v>1.4549821763192305E-3</v>
      </c>
    </row>
    <row r="3159" spans="1:7" x14ac:dyDescent="0.3">
      <c r="A3159" s="11" t="s">
        <v>2976</v>
      </c>
      <c r="B3159" s="7">
        <v>57320</v>
      </c>
      <c r="C3159" s="7">
        <v>3.6070000000000002</v>
      </c>
      <c r="D3159" s="2">
        <f t="shared" si="739"/>
        <v>8.0000000000000071E-3</v>
      </c>
      <c r="E3159" s="8">
        <f t="shared" si="743"/>
        <v>3.5993196407163164</v>
      </c>
      <c r="F3159" s="6">
        <f t="shared" si="740"/>
        <v>1.7746228926353151E-3</v>
      </c>
      <c r="G3159" s="12">
        <f t="shared" si="744"/>
        <v>7.6803592836838241E-3</v>
      </c>
    </row>
    <row r="3160" spans="1:7" x14ac:dyDescent="0.3">
      <c r="A3160" s="11" t="s">
        <v>2977</v>
      </c>
      <c r="B3160" s="7">
        <v>57340</v>
      </c>
      <c r="C3160" s="7">
        <v>3.6120000000000001</v>
      </c>
      <c r="D3160" s="2">
        <f t="shared" si="739"/>
        <v>4.9999999999998934E-3</v>
      </c>
      <c r="E3160" s="8">
        <f t="shared" si="743"/>
        <v>3.6010942636089518</v>
      </c>
      <c r="F3160" s="6">
        <f t="shared" si="740"/>
        <v>1.7746228926353151E-3</v>
      </c>
      <c r="G3160" s="12">
        <f t="shared" si="744"/>
        <v>1.0905736391048304E-2</v>
      </c>
    </row>
    <row r="3161" spans="1:7" x14ac:dyDescent="0.3">
      <c r="A3161" s="11" t="s">
        <v>2978</v>
      </c>
      <c r="B3161" s="7">
        <v>57360</v>
      </c>
      <c r="C3161" s="7">
        <v>3.61</v>
      </c>
      <c r="D3161" s="2">
        <f t="shared" si="739"/>
        <v>-2.0000000000002238E-3</v>
      </c>
      <c r="E3161" s="8">
        <f t="shared" si="743"/>
        <v>3.6028688865015872</v>
      </c>
      <c r="F3161" s="6">
        <f t="shared" si="740"/>
        <v>1.7746228926353151E-3</v>
      </c>
      <c r="G3161" s="12">
        <f t="shared" si="744"/>
        <v>7.1311134984126667E-3</v>
      </c>
    </row>
    <row r="3162" spans="1:7" x14ac:dyDescent="0.3">
      <c r="A3162" s="11" t="s">
        <v>2979</v>
      </c>
      <c r="B3162" s="7">
        <v>57380</v>
      </c>
      <c r="C3162" s="7">
        <v>3.6019999999999999</v>
      </c>
      <c r="D3162" s="2">
        <f t="shared" si="739"/>
        <v>-8.0000000000000071E-3</v>
      </c>
      <c r="E3162" s="8">
        <f t="shared" si="743"/>
        <v>3.6046435093942226</v>
      </c>
      <c r="F3162" s="6">
        <f t="shared" si="740"/>
        <v>1.7746228926353151E-3</v>
      </c>
      <c r="G3162" s="12">
        <f t="shared" si="744"/>
        <v>-2.6435093942227539E-3</v>
      </c>
    </row>
    <row r="3163" spans="1:7" x14ac:dyDescent="0.3">
      <c r="A3163" s="11" t="s">
        <v>2980</v>
      </c>
      <c r="B3163" s="7">
        <v>57400</v>
      </c>
      <c r="C3163" s="7">
        <v>3.5960000000000001</v>
      </c>
      <c r="D3163" s="2">
        <f t="shared" si="739"/>
        <v>-5.9999999999997833E-3</v>
      </c>
      <c r="E3163" s="8">
        <f t="shared" si="743"/>
        <v>3.606418132286858</v>
      </c>
      <c r="F3163" s="6">
        <f t="shared" si="740"/>
        <v>1.7746228926353151E-3</v>
      </c>
      <c r="G3163" s="12">
        <f t="shared" si="744"/>
        <v>-1.0418132286857951E-2</v>
      </c>
    </row>
    <row r="3164" spans="1:7" x14ac:dyDescent="0.3">
      <c r="A3164" s="11" t="s">
        <v>2981</v>
      </c>
      <c r="B3164" s="7">
        <v>57420</v>
      </c>
      <c r="C3164" s="7">
        <v>3.59</v>
      </c>
      <c r="D3164" s="2">
        <f t="shared" si="739"/>
        <v>-6.0000000000002274E-3</v>
      </c>
      <c r="E3164" s="8">
        <f t="shared" si="743"/>
        <v>3.6081927551794934</v>
      </c>
      <c r="F3164" s="6">
        <f t="shared" si="740"/>
        <v>1.7746228926353151E-3</v>
      </c>
      <c r="G3164" s="12">
        <f t="shared" si="744"/>
        <v>-1.8192755179493592E-2</v>
      </c>
    </row>
    <row r="3165" spans="1:7" x14ac:dyDescent="0.3">
      <c r="A3165" s="11" t="s">
        <v>2982</v>
      </c>
      <c r="B3165" s="7">
        <v>57440</v>
      </c>
      <c r="C3165" s="7">
        <v>3.544</v>
      </c>
      <c r="D3165" s="2">
        <f t="shared" si="739"/>
        <v>-4.5999999999999819E-2</v>
      </c>
      <c r="E3165" s="8">
        <f t="shared" si="743"/>
        <v>3.6099673780721289</v>
      </c>
      <c r="F3165" s="6">
        <f t="shared" si="740"/>
        <v>1.7746228926353151E-3</v>
      </c>
      <c r="G3165" s="12">
        <f t="shared" si="744"/>
        <v>-6.5967378072128824E-2</v>
      </c>
    </row>
    <row r="3166" spans="1:7" x14ac:dyDescent="0.3">
      <c r="A3166" s="11" t="s">
        <v>2983</v>
      </c>
      <c r="B3166" s="7">
        <v>57460</v>
      </c>
      <c r="C3166" s="7">
        <v>3.5880000000000001</v>
      </c>
      <c r="D3166" s="2">
        <f t="shared" si="739"/>
        <v>4.4000000000000039E-2</v>
      </c>
      <c r="E3166" s="8">
        <f t="shared" si="743"/>
        <v>3.6117420009647643</v>
      </c>
      <c r="F3166" s="6">
        <f t="shared" si="740"/>
        <v>1.7746228926353151E-3</v>
      </c>
      <c r="G3166" s="12">
        <f t="shared" ref="G3166:G3183" si="745">C3166-E3166</f>
        <v>-2.3742000964764198E-2</v>
      </c>
    </row>
    <row r="3167" spans="1:7" x14ac:dyDescent="0.3">
      <c r="A3167" s="11" t="s">
        <v>2984</v>
      </c>
      <c r="B3167" s="7">
        <v>57480</v>
      </c>
      <c r="C3167" s="7">
        <v>3.5790000000000002</v>
      </c>
      <c r="D3167" s="2">
        <f t="shared" si="739"/>
        <v>-8.999999999999897E-3</v>
      </c>
      <c r="E3167" s="8">
        <f t="shared" si="743"/>
        <v>3.6135166238573997</v>
      </c>
      <c r="F3167" s="6">
        <f t="shared" si="740"/>
        <v>1.7746228926353151E-3</v>
      </c>
      <c r="G3167" s="12">
        <f t="shared" si="745"/>
        <v>-3.4516623857399509E-2</v>
      </c>
    </row>
    <row r="3168" spans="1:7" x14ac:dyDescent="0.3">
      <c r="A3168" s="11" t="s">
        <v>2985</v>
      </c>
      <c r="B3168" s="7">
        <v>57500</v>
      </c>
      <c r="C3168" s="7">
        <v>3.5870000000000002</v>
      </c>
      <c r="D3168" s="2">
        <f t="shared" si="739"/>
        <v>8.0000000000000071E-3</v>
      </c>
      <c r="E3168" s="8">
        <f t="shared" si="743"/>
        <v>3.6152912467500351</v>
      </c>
      <c r="F3168" s="6">
        <f t="shared" si="740"/>
        <v>1.7746228926353151E-3</v>
      </c>
      <c r="G3168" s="12">
        <f t="shared" si="745"/>
        <v>-2.8291246750034915E-2</v>
      </c>
    </row>
    <row r="3169" spans="1:7" x14ac:dyDescent="0.3">
      <c r="A3169" s="11" t="s">
        <v>2986</v>
      </c>
      <c r="B3169" s="7">
        <v>57520</v>
      </c>
      <c r="C3169" s="7">
        <v>3.5960000000000001</v>
      </c>
      <c r="D3169" s="2">
        <f t="shared" si="739"/>
        <v>8.999999999999897E-3</v>
      </c>
      <c r="E3169" s="8">
        <f t="shared" si="743"/>
        <v>3.6170658696426705</v>
      </c>
      <c r="F3169" s="6">
        <f t="shared" si="740"/>
        <v>1.7746228926353151E-3</v>
      </c>
      <c r="G3169" s="12">
        <f t="shared" si="745"/>
        <v>-2.1065869642670432E-2</v>
      </c>
    </row>
    <row r="3170" spans="1:7" x14ac:dyDescent="0.3">
      <c r="A3170" s="11" t="s">
        <v>2987</v>
      </c>
      <c r="B3170" s="7">
        <v>57540</v>
      </c>
      <c r="C3170" s="7">
        <v>3.6080000000000001</v>
      </c>
      <c r="D3170" s="2">
        <f t="shared" si="739"/>
        <v>1.2000000000000011E-2</v>
      </c>
      <c r="E3170" s="8">
        <f t="shared" si="743"/>
        <v>3.6188404925353059</v>
      </c>
      <c r="F3170" s="6">
        <f t="shared" si="740"/>
        <v>1.7746228926353151E-3</v>
      </c>
      <c r="G3170" s="12">
        <f t="shared" si="745"/>
        <v>-1.0840492535305835E-2</v>
      </c>
    </row>
    <row r="3171" spans="1:7" x14ac:dyDescent="0.3">
      <c r="A3171" s="11" t="s">
        <v>2988</v>
      </c>
      <c r="B3171" s="7">
        <v>57560</v>
      </c>
      <c r="C3171" s="7">
        <v>3.6150000000000002</v>
      </c>
      <c r="D3171" s="2">
        <f t="shared" si="739"/>
        <v>7.0000000000001172E-3</v>
      </c>
      <c r="E3171" s="8">
        <f t="shared" si="743"/>
        <v>3.6206151154279413</v>
      </c>
      <c r="F3171" s="6">
        <f t="shared" si="740"/>
        <v>1.7746228926353151E-3</v>
      </c>
      <c r="G3171" s="12">
        <f t="shared" si="745"/>
        <v>-5.6151154279411308E-3</v>
      </c>
    </row>
    <row r="3172" spans="1:7" x14ac:dyDescent="0.3">
      <c r="A3172" s="11" t="s">
        <v>2989</v>
      </c>
      <c r="B3172" s="7">
        <v>57580</v>
      </c>
      <c r="C3172" s="7">
        <v>3.637</v>
      </c>
      <c r="D3172" s="2">
        <f t="shared" si="739"/>
        <v>2.1999999999999797E-2</v>
      </c>
      <c r="E3172" s="8">
        <f t="shared" si="743"/>
        <v>3.6223897383205768</v>
      </c>
      <c r="F3172" s="6">
        <f t="shared" si="740"/>
        <v>1.7746228926353151E-3</v>
      </c>
      <c r="G3172" s="12">
        <f t="shared" si="745"/>
        <v>1.4610261679423253E-2</v>
      </c>
    </row>
    <row r="3173" spans="1:7" x14ac:dyDescent="0.3">
      <c r="A3173" s="11" t="s">
        <v>2990</v>
      </c>
      <c r="B3173" s="7">
        <v>57600</v>
      </c>
      <c r="C3173" s="7">
        <v>3.6549999999999998</v>
      </c>
      <c r="D3173" s="2">
        <f t="shared" si="739"/>
        <v>1.7999999999999794E-2</v>
      </c>
      <c r="E3173" s="8">
        <f t="shared" si="743"/>
        <v>3.6241643612132122</v>
      </c>
      <c r="F3173" s="6">
        <f t="shared" si="740"/>
        <v>1.7746228926353151E-3</v>
      </c>
      <c r="G3173" s="12">
        <f t="shared" si="745"/>
        <v>3.0835638786787634E-2</v>
      </c>
    </row>
    <row r="3174" spans="1:7" x14ac:dyDescent="0.3">
      <c r="A3174" s="11" t="s">
        <v>2991</v>
      </c>
      <c r="B3174" s="7">
        <v>57620</v>
      </c>
      <c r="C3174" s="7">
        <v>3.657</v>
      </c>
      <c r="D3174" s="2">
        <f t="shared" si="739"/>
        <v>2.0000000000002238E-3</v>
      </c>
      <c r="E3174" s="8">
        <f t="shared" si="743"/>
        <v>3.6259389841058476</v>
      </c>
      <c r="F3174" s="6">
        <f t="shared" si="740"/>
        <v>1.7746228926353151E-3</v>
      </c>
      <c r="G3174" s="12">
        <f t="shared" si="745"/>
        <v>3.1061015894152444E-2</v>
      </c>
    </row>
    <row r="3175" spans="1:7" x14ac:dyDescent="0.3">
      <c r="A3175" s="11" t="s">
        <v>2992</v>
      </c>
      <c r="B3175" s="7">
        <v>57640</v>
      </c>
      <c r="C3175" s="7">
        <v>3.6539999999999999</v>
      </c>
      <c r="D3175" s="2">
        <f t="shared" ref="D3175:D3239" si="746">C3175-C3174</f>
        <v>-3.0000000000001137E-3</v>
      </c>
      <c r="E3175" s="8">
        <f t="shared" si="743"/>
        <v>3.627713606998483</v>
      </c>
      <c r="F3175" s="6">
        <f t="shared" si="740"/>
        <v>1.7746228926353151E-3</v>
      </c>
      <c r="G3175" s="12">
        <f t="shared" si="745"/>
        <v>2.6286393001516917E-2</v>
      </c>
    </row>
    <row r="3176" spans="1:7" x14ac:dyDescent="0.3">
      <c r="A3176" s="11" t="s">
        <v>2993</v>
      </c>
      <c r="B3176" s="7">
        <v>57660</v>
      </c>
      <c r="C3176" s="7">
        <v>3.649</v>
      </c>
      <c r="D3176" s="2">
        <f t="shared" si="746"/>
        <v>-4.9999999999998934E-3</v>
      </c>
      <c r="E3176" s="8">
        <f t="shared" si="743"/>
        <v>3.6294882298911184</v>
      </c>
      <c r="F3176" s="6">
        <f t="shared" si="740"/>
        <v>1.7746228926353151E-3</v>
      </c>
      <c r="G3176" s="12">
        <f t="shared" si="745"/>
        <v>1.951177010888161E-2</v>
      </c>
    </row>
    <row r="3177" spans="1:7" x14ac:dyDescent="0.3">
      <c r="A3177" s="11" t="s">
        <v>2994</v>
      </c>
      <c r="B3177" s="7">
        <v>57680</v>
      </c>
      <c r="C3177" s="7">
        <v>3.649</v>
      </c>
      <c r="D3177" s="2">
        <f t="shared" si="746"/>
        <v>0</v>
      </c>
      <c r="E3177" s="8">
        <f t="shared" si="743"/>
        <v>3.6312628527837538</v>
      </c>
      <c r="F3177" s="6">
        <f t="shared" si="740"/>
        <v>1.7746228926353151E-3</v>
      </c>
      <c r="G3177" s="12">
        <f t="shared" si="745"/>
        <v>1.7737147216246196E-2</v>
      </c>
    </row>
    <row r="3178" spans="1:7" x14ac:dyDescent="0.3">
      <c r="A3178" s="11" t="s">
        <v>2995</v>
      </c>
      <c r="B3178" s="7">
        <v>57700</v>
      </c>
      <c r="C3178" s="7">
        <v>3.665</v>
      </c>
      <c r="D3178" s="2">
        <f t="shared" si="746"/>
        <v>1.6000000000000014E-2</v>
      </c>
      <c r="E3178" s="8">
        <f t="shared" si="743"/>
        <v>3.6330374756763892</v>
      </c>
      <c r="F3178" s="6">
        <f t="shared" si="740"/>
        <v>1.7746228926353151E-3</v>
      </c>
      <c r="G3178" s="12">
        <f t="shared" si="745"/>
        <v>3.1962524323610797E-2</v>
      </c>
    </row>
    <row r="3179" spans="1:7" x14ac:dyDescent="0.3">
      <c r="A3179" s="11" t="s">
        <v>2996</v>
      </c>
      <c r="B3179" s="7">
        <v>57720</v>
      </c>
      <c r="C3179" s="7">
        <v>3.673</v>
      </c>
      <c r="D3179" s="2">
        <f t="shared" si="746"/>
        <v>8.0000000000000071E-3</v>
      </c>
      <c r="E3179" s="8">
        <f t="shared" si="743"/>
        <v>3.6348120985690247</v>
      </c>
      <c r="F3179" s="6">
        <f t="shared" si="740"/>
        <v>1.7746228926353151E-3</v>
      </c>
      <c r="G3179" s="12">
        <f t="shared" si="745"/>
        <v>3.8187901430975391E-2</v>
      </c>
    </row>
    <row r="3180" spans="1:7" x14ac:dyDescent="0.3">
      <c r="A3180" s="11" t="s">
        <v>2997</v>
      </c>
      <c r="B3180" s="7">
        <v>57740</v>
      </c>
      <c r="C3180" s="7">
        <v>3.681</v>
      </c>
      <c r="D3180" s="2">
        <f t="shared" si="746"/>
        <v>8.0000000000000071E-3</v>
      </c>
      <c r="E3180" s="8">
        <f t="shared" si="743"/>
        <v>3.6365867214616601</v>
      </c>
      <c r="F3180" s="6">
        <f t="shared" si="740"/>
        <v>1.7746228926353151E-3</v>
      </c>
      <c r="G3180" s="12">
        <f t="shared" si="745"/>
        <v>4.4413278538339984E-2</v>
      </c>
    </row>
    <row r="3181" spans="1:7" x14ac:dyDescent="0.3">
      <c r="A3181" s="11" t="s">
        <v>2998</v>
      </c>
      <c r="B3181" s="7">
        <v>57760</v>
      </c>
      <c r="C3181" s="7">
        <v>3.698</v>
      </c>
      <c r="D3181" s="2">
        <f t="shared" si="746"/>
        <v>1.6999999999999904E-2</v>
      </c>
      <c r="E3181" s="8">
        <f t="shared" si="743"/>
        <v>3.6383613443542955</v>
      </c>
      <c r="F3181" s="6">
        <f t="shared" si="740"/>
        <v>1.7746228926353151E-3</v>
      </c>
      <c r="G3181" s="12">
        <f t="shared" si="745"/>
        <v>5.9638655645704475E-2</v>
      </c>
    </row>
    <row r="3182" spans="1:7" x14ac:dyDescent="0.3">
      <c r="A3182" s="11" t="s">
        <v>2999</v>
      </c>
      <c r="B3182" s="7">
        <v>57780</v>
      </c>
      <c r="C3182" s="7">
        <v>3.7069999999999999</v>
      </c>
      <c r="D3182" s="2">
        <f t="shared" si="746"/>
        <v>8.999999999999897E-3</v>
      </c>
      <c r="E3182" s="8">
        <f t="shared" si="743"/>
        <v>3.6401359672469309</v>
      </c>
      <c r="F3182" s="6">
        <f t="shared" si="740"/>
        <v>1.7746228926353151E-3</v>
      </c>
      <c r="G3182" s="12">
        <f t="shared" si="745"/>
        <v>6.6864032753068958E-2</v>
      </c>
    </row>
    <row r="3183" spans="1:7" x14ac:dyDescent="0.3">
      <c r="A3183" s="11" t="s">
        <v>3000</v>
      </c>
      <c r="B3183" s="7">
        <v>57800</v>
      </c>
      <c r="C3183" s="7">
        <v>3.6909999999999998</v>
      </c>
      <c r="D3183" s="2">
        <f t="shared" si="746"/>
        <v>-1.6000000000000014E-2</v>
      </c>
      <c r="E3183" s="8">
        <f t="shared" si="743"/>
        <v>3.6419105901395663</v>
      </c>
      <c r="F3183" s="6">
        <f t="shared" si="740"/>
        <v>1.7746228926353151E-3</v>
      </c>
      <c r="G3183" s="12">
        <f t="shared" si="745"/>
        <v>4.908940986043353E-2</v>
      </c>
    </row>
    <row r="3184" spans="1:7" x14ac:dyDescent="0.3">
      <c r="A3184" s="11" t="s">
        <v>3001</v>
      </c>
      <c r="B3184" s="7">
        <v>57820</v>
      </c>
      <c r="C3184" s="7">
        <v>3.6779999999999999</v>
      </c>
      <c r="D3184" s="2">
        <f t="shared" si="746"/>
        <v>-1.2999999999999901E-2</v>
      </c>
      <c r="E3184" s="8">
        <f t="shared" ref="E3184:E3219" si="747">E3183+F3183</f>
        <v>3.6436852130322017</v>
      </c>
      <c r="F3184" s="6">
        <f t="shared" si="740"/>
        <v>1.7746228926353151E-3</v>
      </c>
      <c r="G3184" s="12">
        <f t="shared" ref="G3184:G3219" si="748">C3184-E3184</f>
        <v>3.4314786967798216E-2</v>
      </c>
    </row>
    <row r="3185" spans="1:7" x14ac:dyDescent="0.3">
      <c r="A3185" s="11" t="s">
        <v>3002</v>
      </c>
      <c r="B3185" s="7">
        <v>57840</v>
      </c>
      <c r="C3185" s="7">
        <v>3.6739999999999999</v>
      </c>
      <c r="D3185" s="2">
        <f t="shared" si="746"/>
        <v>-4.0000000000000036E-3</v>
      </c>
      <c r="E3185" s="8">
        <f t="shared" si="747"/>
        <v>3.6454598359248371</v>
      </c>
      <c r="F3185" s="6">
        <f t="shared" si="740"/>
        <v>1.7746228926353151E-3</v>
      </c>
      <c r="G3185" s="12">
        <f t="shared" si="748"/>
        <v>2.8540164075162799E-2</v>
      </c>
    </row>
    <row r="3186" spans="1:7" x14ac:dyDescent="0.3">
      <c r="A3186" s="11" t="s">
        <v>3003</v>
      </c>
      <c r="B3186" s="7">
        <v>57860</v>
      </c>
      <c r="C3186" s="7">
        <v>3.657</v>
      </c>
      <c r="D3186" s="2">
        <f t="shared" si="746"/>
        <v>-1.6999999999999904E-2</v>
      </c>
      <c r="E3186" s="8">
        <f t="shared" si="747"/>
        <v>3.6472344588174725</v>
      </c>
      <c r="F3186" s="6">
        <f t="shared" si="740"/>
        <v>1.7746228926353151E-3</v>
      </c>
      <c r="G3186" s="12">
        <f t="shared" si="748"/>
        <v>9.7655411825274818E-3</v>
      </c>
    </row>
    <row r="3187" spans="1:7" x14ac:dyDescent="0.3">
      <c r="A3187" s="11" t="s">
        <v>3004</v>
      </c>
      <c r="B3187" s="7">
        <v>57880</v>
      </c>
      <c r="C3187" s="7">
        <v>3.6579999999999999</v>
      </c>
      <c r="D3187" s="2">
        <f t="shared" si="746"/>
        <v>9.9999999999988987E-4</v>
      </c>
      <c r="E3187" s="8">
        <f t="shared" si="747"/>
        <v>3.649009081710108</v>
      </c>
      <c r="F3187" s="6">
        <f t="shared" si="740"/>
        <v>1.7746228926353151E-3</v>
      </c>
      <c r="G3187" s="12">
        <f t="shared" si="748"/>
        <v>8.9909182898919582E-3</v>
      </c>
    </row>
    <row r="3188" spans="1:7" x14ac:dyDescent="0.3">
      <c r="A3188" s="11" t="s">
        <v>3005</v>
      </c>
      <c r="B3188" s="7">
        <v>57900</v>
      </c>
      <c r="C3188" s="7">
        <v>3.6579999999999999</v>
      </c>
      <c r="D3188" s="2">
        <f t="shared" si="746"/>
        <v>0</v>
      </c>
      <c r="E3188" s="8">
        <f t="shared" si="747"/>
        <v>3.6507837046027434</v>
      </c>
      <c r="F3188" s="6">
        <f t="shared" si="740"/>
        <v>1.7746228926353151E-3</v>
      </c>
      <c r="G3188" s="12">
        <f t="shared" si="748"/>
        <v>7.2162953972565447E-3</v>
      </c>
    </row>
    <row r="3189" spans="1:7" x14ac:dyDescent="0.3">
      <c r="A3189" s="11" t="s">
        <v>3006</v>
      </c>
      <c r="B3189" s="7">
        <v>57920</v>
      </c>
      <c r="C3189" s="7">
        <v>3.6520000000000001</v>
      </c>
      <c r="D3189" s="2">
        <f t="shared" si="746"/>
        <v>-5.9999999999997833E-3</v>
      </c>
      <c r="E3189" s="8">
        <f t="shared" si="747"/>
        <v>3.6525583274953788</v>
      </c>
      <c r="F3189" s="6">
        <f t="shared" si="740"/>
        <v>1.7746228926353151E-3</v>
      </c>
      <c r="G3189" s="12">
        <f t="shared" si="748"/>
        <v>-5.5832749537865212E-4</v>
      </c>
    </row>
    <row r="3190" spans="1:7" x14ac:dyDescent="0.3">
      <c r="A3190" s="11" t="s">
        <v>3007</v>
      </c>
      <c r="B3190" s="7">
        <v>57940</v>
      </c>
      <c r="C3190" s="7">
        <v>3.657</v>
      </c>
      <c r="D3190" s="2">
        <f t="shared" si="746"/>
        <v>4.9999999999998934E-3</v>
      </c>
      <c r="E3190" s="8">
        <f t="shared" si="747"/>
        <v>3.6543329503880142</v>
      </c>
      <c r="F3190" s="6">
        <f t="shared" ref="F3190:F3255" si="749">F3189</f>
        <v>1.7746228926353151E-3</v>
      </c>
      <c r="G3190" s="12">
        <f t="shared" si="748"/>
        <v>2.6670496119858278E-3</v>
      </c>
    </row>
    <row r="3191" spans="1:7" x14ac:dyDescent="0.3">
      <c r="A3191" s="11" t="s">
        <v>3008</v>
      </c>
      <c r="B3191" s="7">
        <v>57960</v>
      </c>
      <c r="C3191" s="7">
        <v>3.6360000000000001</v>
      </c>
      <c r="D3191" s="2">
        <f t="shared" si="746"/>
        <v>-2.0999999999999908E-2</v>
      </c>
      <c r="E3191" s="8">
        <f t="shared" si="747"/>
        <v>3.6561075732806496</v>
      </c>
      <c r="F3191" s="6">
        <f t="shared" si="749"/>
        <v>1.7746228926353151E-3</v>
      </c>
      <c r="G3191" s="12">
        <f t="shared" si="748"/>
        <v>-2.0107573280649493E-2</v>
      </c>
    </row>
    <row r="3192" spans="1:7" x14ac:dyDescent="0.3">
      <c r="A3192" s="13" t="s">
        <v>3009</v>
      </c>
      <c r="B3192" s="24"/>
      <c r="C3192" s="25"/>
      <c r="D3192" s="25"/>
      <c r="E3192" s="25"/>
      <c r="F3192" s="25"/>
      <c r="G3192" s="26"/>
    </row>
    <row r="3193" spans="1:7" x14ac:dyDescent="0.3">
      <c r="A3193" s="11" t="s">
        <v>3010</v>
      </c>
      <c r="B3193" s="7">
        <v>57980</v>
      </c>
      <c r="C3193" s="7">
        <v>3.6269999999999998</v>
      </c>
      <c r="D3193" s="2">
        <f>C3193-C3191</f>
        <v>-9.0000000000003411E-3</v>
      </c>
      <c r="E3193" s="8">
        <f>E3191+F3191</f>
        <v>3.657882196173285</v>
      </c>
      <c r="F3193" s="6">
        <f>F3191</f>
        <v>1.7746228926353151E-3</v>
      </c>
      <c r="G3193" s="12">
        <f t="shared" si="748"/>
        <v>-3.0882196173285248E-2</v>
      </c>
    </row>
    <row r="3194" spans="1:7" x14ac:dyDescent="0.3">
      <c r="A3194" s="11" t="s">
        <v>3011</v>
      </c>
      <c r="B3194" s="7">
        <v>58000</v>
      </c>
      <c r="C3194" s="7">
        <v>3.6339999999999999</v>
      </c>
      <c r="D3194" s="2">
        <f t="shared" si="746"/>
        <v>7.0000000000001172E-3</v>
      </c>
      <c r="E3194" s="8">
        <f t="shared" si="747"/>
        <v>3.6596568190659204</v>
      </c>
      <c r="F3194" s="6">
        <f t="shared" si="749"/>
        <v>1.7746228926353151E-3</v>
      </c>
      <c r="G3194" s="12">
        <f t="shared" si="748"/>
        <v>-2.5656819065920544E-2</v>
      </c>
    </row>
    <row r="3195" spans="1:7" x14ac:dyDescent="0.3">
      <c r="A3195" s="11" t="s">
        <v>3012</v>
      </c>
      <c r="B3195" s="7">
        <v>58020</v>
      </c>
      <c r="C3195" s="7">
        <v>3.6459999999999999</v>
      </c>
      <c r="D3195" s="2">
        <f t="shared" si="746"/>
        <v>1.2000000000000011E-2</v>
      </c>
      <c r="E3195" s="8">
        <f t="shared" si="747"/>
        <v>3.6614314419585559</v>
      </c>
      <c r="F3195" s="6">
        <f t="shared" si="749"/>
        <v>1.7746228926353151E-3</v>
      </c>
      <c r="G3195" s="12">
        <f t="shared" si="748"/>
        <v>-1.5431441958555947E-2</v>
      </c>
    </row>
    <row r="3196" spans="1:7" x14ac:dyDescent="0.3">
      <c r="A3196" s="11" t="s">
        <v>3013</v>
      </c>
      <c r="B3196" s="7">
        <v>58040</v>
      </c>
      <c r="C3196" s="7">
        <v>3.6480000000000001</v>
      </c>
      <c r="D3196" s="2">
        <f t="shared" si="746"/>
        <v>2.0000000000002238E-3</v>
      </c>
      <c r="E3196" s="8">
        <f t="shared" si="747"/>
        <v>3.6632060648511913</v>
      </c>
      <c r="F3196" s="6">
        <f t="shared" si="749"/>
        <v>1.7746228926353151E-3</v>
      </c>
      <c r="G3196" s="12">
        <f t="shared" si="748"/>
        <v>-1.5206064851191137E-2</v>
      </c>
    </row>
    <row r="3197" spans="1:7" x14ac:dyDescent="0.3">
      <c r="A3197" s="11" t="s">
        <v>3014</v>
      </c>
      <c r="B3197" s="7">
        <v>58060</v>
      </c>
      <c r="C3197" s="7">
        <v>3.6339999999999999</v>
      </c>
      <c r="D3197" s="2">
        <f t="shared" si="746"/>
        <v>-1.4000000000000234E-2</v>
      </c>
      <c r="E3197" s="8">
        <f t="shared" si="747"/>
        <v>3.6649806877438267</v>
      </c>
      <c r="F3197" s="6">
        <f t="shared" si="749"/>
        <v>1.7746228926353151E-3</v>
      </c>
      <c r="G3197" s="12">
        <f t="shared" si="748"/>
        <v>-3.0980687743826785E-2</v>
      </c>
    </row>
    <row r="3198" spans="1:7" x14ac:dyDescent="0.3">
      <c r="A3198" s="11" t="s">
        <v>3015</v>
      </c>
      <c r="B3198" s="7">
        <v>58080</v>
      </c>
      <c r="C3198" s="7">
        <v>3.609</v>
      </c>
      <c r="D3198" s="2">
        <f t="shared" si="746"/>
        <v>-2.4999999999999911E-2</v>
      </c>
      <c r="E3198" s="8">
        <f t="shared" si="747"/>
        <v>3.6667553106364621</v>
      </c>
      <c r="F3198" s="6">
        <f t="shared" si="749"/>
        <v>1.7746228926353151E-3</v>
      </c>
      <c r="G3198" s="12">
        <f t="shared" si="748"/>
        <v>-5.7755310636462109E-2</v>
      </c>
    </row>
    <row r="3199" spans="1:7" x14ac:dyDescent="0.3">
      <c r="A3199" s="11" t="s">
        <v>3016</v>
      </c>
      <c r="B3199" s="7">
        <v>58100</v>
      </c>
      <c r="C3199" s="7">
        <v>3.5830000000000002</v>
      </c>
      <c r="D3199" s="2">
        <f t="shared" si="746"/>
        <v>-2.5999999999999801E-2</v>
      </c>
      <c r="E3199" s="8">
        <f t="shared" si="747"/>
        <v>3.6685299335290975</v>
      </c>
      <c r="F3199" s="6">
        <f t="shared" si="749"/>
        <v>1.7746228926353151E-3</v>
      </c>
      <c r="G3199" s="12">
        <f t="shared" si="748"/>
        <v>-8.5529933529097324E-2</v>
      </c>
    </row>
    <row r="3200" spans="1:7" x14ac:dyDescent="0.3">
      <c r="A3200" s="11" t="s">
        <v>3017</v>
      </c>
      <c r="B3200" s="7">
        <v>58120</v>
      </c>
      <c r="C3200" s="7">
        <v>3.5510000000000002</v>
      </c>
      <c r="D3200" s="2">
        <f t="shared" si="746"/>
        <v>-3.2000000000000028E-2</v>
      </c>
      <c r="E3200" s="8">
        <f t="shared" si="747"/>
        <v>3.6703045564217329</v>
      </c>
      <c r="F3200" s="6">
        <f t="shared" si="749"/>
        <v>1.7746228926353151E-3</v>
      </c>
      <c r="G3200" s="12">
        <f t="shared" si="748"/>
        <v>-0.11930455642173277</v>
      </c>
    </row>
    <row r="3201" spans="1:7" x14ac:dyDescent="0.3">
      <c r="A3201" s="11" t="s">
        <v>3018</v>
      </c>
      <c r="B3201" s="7">
        <v>58140</v>
      </c>
      <c r="C3201" s="7">
        <v>3.53</v>
      </c>
      <c r="D3201" s="2">
        <f t="shared" si="746"/>
        <v>-2.1000000000000352E-2</v>
      </c>
      <c r="E3201" s="8">
        <f t="shared" si="747"/>
        <v>3.6720791793143683</v>
      </c>
      <c r="F3201" s="6">
        <f t="shared" si="749"/>
        <v>1.7746228926353151E-3</v>
      </c>
      <c r="G3201" s="12">
        <f t="shared" si="748"/>
        <v>-0.14207917931436853</v>
      </c>
    </row>
    <row r="3202" spans="1:7" x14ac:dyDescent="0.3">
      <c r="A3202" s="11" t="s">
        <v>3019</v>
      </c>
      <c r="B3202" s="7">
        <v>58160</v>
      </c>
      <c r="C3202" s="7">
        <v>3.512</v>
      </c>
      <c r="D3202" s="2">
        <f t="shared" si="746"/>
        <v>-1.7999999999999794E-2</v>
      </c>
      <c r="E3202" s="8">
        <f t="shared" si="747"/>
        <v>3.6738538022070037</v>
      </c>
      <c r="F3202" s="6">
        <f t="shared" si="749"/>
        <v>1.7746228926353151E-3</v>
      </c>
      <c r="G3202" s="12">
        <f t="shared" si="748"/>
        <v>-0.16185380220700374</v>
      </c>
    </row>
    <row r="3203" spans="1:7" x14ac:dyDescent="0.3">
      <c r="A3203" s="11" t="s">
        <v>3020</v>
      </c>
      <c r="B3203" s="7">
        <v>58180</v>
      </c>
      <c r="C3203" s="7">
        <v>3.5139999999999998</v>
      </c>
      <c r="D3203" s="2">
        <f t="shared" si="746"/>
        <v>1.9999999999997797E-3</v>
      </c>
      <c r="E3203" s="8">
        <f t="shared" si="747"/>
        <v>3.6756284250996392</v>
      </c>
      <c r="F3203" s="6">
        <f t="shared" si="749"/>
        <v>1.7746228926353151E-3</v>
      </c>
      <c r="G3203" s="12">
        <f t="shared" si="748"/>
        <v>-0.16162842509963937</v>
      </c>
    </row>
    <row r="3204" spans="1:7" x14ac:dyDescent="0.3">
      <c r="A3204" s="11" t="s">
        <v>3021</v>
      </c>
      <c r="B3204" s="7">
        <v>58200</v>
      </c>
      <c r="C3204" s="7">
        <v>3.5259999999999998</v>
      </c>
      <c r="D3204" s="2">
        <f t="shared" si="746"/>
        <v>1.2000000000000011E-2</v>
      </c>
      <c r="E3204" s="8">
        <f t="shared" si="747"/>
        <v>3.6774030479922746</v>
      </c>
      <c r="F3204" s="6">
        <f t="shared" si="749"/>
        <v>1.7746228926353151E-3</v>
      </c>
      <c r="G3204" s="12">
        <f t="shared" si="748"/>
        <v>-0.15140304799227478</v>
      </c>
    </row>
    <row r="3205" spans="1:7" x14ac:dyDescent="0.3">
      <c r="A3205" s="11" t="s">
        <v>3022</v>
      </c>
      <c r="B3205" s="7">
        <v>58220</v>
      </c>
      <c r="C3205" s="7">
        <v>3.54</v>
      </c>
      <c r="D3205" s="2">
        <f t="shared" si="746"/>
        <v>1.4000000000000234E-2</v>
      </c>
      <c r="E3205" s="8">
        <f t="shared" si="747"/>
        <v>3.67917767088491</v>
      </c>
      <c r="F3205" s="6">
        <f t="shared" si="749"/>
        <v>1.7746228926353151E-3</v>
      </c>
      <c r="G3205" s="12">
        <f t="shared" si="748"/>
        <v>-0.13917767088490995</v>
      </c>
    </row>
    <row r="3206" spans="1:7" x14ac:dyDescent="0.3">
      <c r="A3206" s="11" t="s">
        <v>3023</v>
      </c>
      <c r="B3206" s="7">
        <v>58240</v>
      </c>
      <c r="C3206" s="7">
        <v>3.5579999999999998</v>
      </c>
      <c r="D3206" s="2">
        <f t="shared" si="746"/>
        <v>1.7999999999999794E-2</v>
      </c>
      <c r="E3206" s="8">
        <f t="shared" si="747"/>
        <v>3.6809522937775454</v>
      </c>
      <c r="F3206" s="6">
        <f t="shared" si="749"/>
        <v>1.7746228926353151E-3</v>
      </c>
      <c r="G3206" s="12">
        <f t="shared" si="748"/>
        <v>-0.12295229377754557</v>
      </c>
    </row>
    <row r="3207" spans="1:7" x14ac:dyDescent="0.3">
      <c r="A3207" s="11" t="s">
        <v>3024</v>
      </c>
      <c r="B3207" s="7">
        <v>58260</v>
      </c>
      <c r="C3207" s="7">
        <v>3.5760000000000001</v>
      </c>
      <c r="D3207" s="2">
        <f t="shared" si="746"/>
        <v>1.8000000000000238E-2</v>
      </c>
      <c r="E3207" s="8">
        <f t="shared" si="747"/>
        <v>3.6827269166701808</v>
      </c>
      <c r="F3207" s="6">
        <f t="shared" si="749"/>
        <v>1.7746228926353151E-3</v>
      </c>
      <c r="G3207" s="12">
        <f t="shared" si="748"/>
        <v>-0.10672691667018075</v>
      </c>
    </row>
    <row r="3208" spans="1:7" x14ac:dyDescent="0.3">
      <c r="A3208" s="11" t="s">
        <v>3025</v>
      </c>
      <c r="B3208" s="7">
        <v>58280</v>
      </c>
      <c r="C3208" s="7">
        <v>3.58</v>
      </c>
      <c r="D3208" s="2">
        <f t="shared" si="746"/>
        <v>4.0000000000000036E-3</v>
      </c>
      <c r="E3208" s="8">
        <f t="shared" si="747"/>
        <v>3.6845015395628162</v>
      </c>
      <c r="F3208" s="6">
        <f t="shared" si="749"/>
        <v>1.7746228926353151E-3</v>
      </c>
      <c r="G3208" s="12">
        <f t="shared" si="748"/>
        <v>-0.10450153956281616</v>
      </c>
    </row>
    <row r="3209" spans="1:7" x14ac:dyDescent="0.3">
      <c r="A3209" s="11" t="s">
        <v>3026</v>
      </c>
      <c r="B3209" s="7">
        <v>58300</v>
      </c>
      <c r="C3209" s="7">
        <v>3.573</v>
      </c>
      <c r="D3209" s="2">
        <f t="shared" si="746"/>
        <v>-7.0000000000001172E-3</v>
      </c>
      <c r="E3209" s="8">
        <f t="shared" si="747"/>
        <v>3.6862761624554516</v>
      </c>
      <c r="F3209" s="6">
        <f t="shared" si="749"/>
        <v>1.7746228926353151E-3</v>
      </c>
      <c r="G3209" s="12">
        <f t="shared" si="748"/>
        <v>-0.11327616245545169</v>
      </c>
    </row>
    <row r="3210" spans="1:7" x14ac:dyDescent="0.3">
      <c r="A3210" s="11" t="s">
        <v>3027</v>
      </c>
      <c r="B3210" s="7">
        <v>58320</v>
      </c>
      <c r="C3210" s="7">
        <v>3.5720000000000001</v>
      </c>
      <c r="D3210" s="2">
        <f t="shared" si="746"/>
        <v>-9.9999999999988987E-4</v>
      </c>
      <c r="E3210" s="8">
        <f t="shared" si="747"/>
        <v>3.6880507853480871</v>
      </c>
      <c r="F3210" s="6">
        <f t="shared" si="749"/>
        <v>1.7746228926353151E-3</v>
      </c>
      <c r="G3210" s="12">
        <f t="shared" si="748"/>
        <v>-0.11605078534808699</v>
      </c>
    </row>
    <row r="3211" spans="1:7" x14ac:dyDescent="0.3">
      <c r="A3211" s="11" t="s">
        <v>3028</v>
      </c>
      <c r="B3211" s="7">
        <v>58340</v>
      </c>
      <c r="C3211" s="7">
        <v>3.5670000000000002</v>
      </c>
      <c r="D3211" s="2">
        <f t="shared" si="746"/>
        <v>-4.9999999999998934E-3</v>
      </c>
      <c r="E3211" s="8">
        <f t="shared" si="747"/>
        <v>3.6898254082407225</v>
      </c>
      <c r="F3211" s="6">
        <f t="shared" si="749"/>
        <v>1.7746228926353151E-3</v>
      </c>
      <c r="G3211" s="12">
        <f t="shared" si="748"/>
        <v>-0.1228254082407223</v>
      </c>
    </row>
    <row r="3212" spans="1:7" x14ac:dyDescent="0.3">
      <c r="A3212" s="11" t="s">
        <v>3029</v>
      </c>
      <c r="B3212" s="7">
        <v>58360</v>
      </c>
      <c r="C3212" s="7">
        <v>3.5739999999999998</v>
      </c>
      <c r="D3212" s="2">
        <f t="shared" si="746"/>
        <v>6.9999999999996732E-3</v>
      </c>
      <c r="E3212" s="8">
        <f t="shared" si="747"/>
        <v>3.6916000311333579</v>
      </c>
      <c r="F3212" s="6">
        <f t="shared" si="749"/>
        <v>1.7746228926353151E-3</v>
      </c>
      <c r="G3212" s="12">
        <f t="shared" si="748"/>
        <v>-0.11760003113335804</v>
      </c>
    </row>
    <row r="3213" spans="1:7" x14ac:dyDescent="0.3">
      <c r="A3213" s="11" t="s">
        <v>3030</v>
      </c>
      <c r="B3213" s="7">
        <v>58380</v>
      </c>
      <c r="C3213" s="7">
        <v>3.5880000000000001</v>
      </c>
      <c r="D3213" s="2">
        <f t="shared" si="746"/>
        <v>1.4000000000000234E-2</v>
      </c>
      <c r="E3213" s="8">
        <f t="shared" si="747"/>
        <v>3.6933746540259933</v>
      </c>
      <c r="F3213" s="6">
        <f t="shared" si="749"/>
        <v>1.7746228926353151E-3</v>
      </c>
      <c r="G3213" s="12">
        <f t="shared" si="748"/>
        <v>-0.10537465402599322</v>
      </c>
    </row>
    <row r="3214" spans="1:7" x14ac:dyDescent="0.3">
      <c r="A3214" s="11" t="s">
        <v>3031</v>
      </c>
      <c r="B3214" s="7">
        <v>58400</v>
      </c>
      <c r="C3214" s="7">
        <v>3.601</v>
      </c>
      <c r="D3214" s="2">
        <f t="shared" si="746"/>
        <v>1.2999999999999901E-2</v>
      </c>
      <c r="E3214" s="8">
        <f t="shared" si="747"/>
        <v>3.6951492769186287</v>
      </c>
      <c r="F3214" s="6">
        <f t="shared" si="749"/>
        <v>1.7746228926353151E-3</v>
      </c>
      <c r="G3214" s="12">
        <f t="shared" si="748"/>
        <v>-9.4149276918628733E-2</v>
      </c>
    </row>
    <row r="3215" spans="1:7" x14ac:dyDescent="0.3">
      <c r="A3215" s="11" t="s">
        <v>3032</v>
      </c>
      <c r="B3215" s="7">
        <v>58420</v>
      </c>
      <c r="C3215" s="7">
        <v>3.6179999999999999</v>
      </c>
      <c r="D3215" s="2">
        <f t="shared" si="746"/>
        <v>1.6999999999999904E-2</v>
      </c>
      <c r="E3215" s="8">
        <f t="shared" si="747"/>
        <v>3.6969238998112641</v>
      </c>
      <c r="F3215" s="6">
        <f t="shared" si="749"/>
        <v>1.7746228926353151E-3</v>
      </c>
      <c r="G3215" s="12">
        <f t="shared" si="748"/>
        <v>-7.8923899811264242E-2</v>
      </c>
    </row>
    <row r="3216" spans="1:7" x14ac:dyDescent="0.3">
      <c r="A3216" s="11" t="s">
        <v>3033</v>
      </c>
      <c r="B3216" s="7">
        <v>58440</v>
      </c>
      <c r="C3216" s="7">
        <v>3.6259999999999999</v>
      </c>
      <c r="D3216" s="2">
        <f t="shared" si="746"/>
        <v>8.0000000000000071E-3</v>
      </c>
      <c r="E3216" s="8">
        <f t="shared" si="747"/>
        <v>3.6986985227038995</v>
      </c>
      <c r="F3216" s="6">
        <f t="shared" si="749"/>
        <v>1.7746228926353151E-3</v>
      </c>
      <c r="G3216" s="12">
        <f t="shared" si="748"/>
        <v>-7.2698522703899648E-2</v>
      </c>
    </row>
    <row r="3217" spans="1:7" x14ac:dyDescent="0.3">
      <c r="A3217" s="11" t="s">
        <v>3034</v>
      </c>
      <c r="B3217" s="7">
        <v>58460</v>
      </c>
      <c r="C3217" s="7">
        <v>3.5910000000000002</v>
      </c>
      <c r="D3217" s="2">
        <f t="shared" si="746"/>
        <v>-3.4999999999999698E-2</v>
      </c>
      <c r="E3217" s="8">
        <f t="shared" si="747"/>
        <v>3.700473145596535</v>
      </c>
      <c r="F3217" s="6">
        <f t="shared" si="749"/>
        <v>1.7746228926353151E-3</v>
      </c>
      <c r="G3217" s="12">
        <f t="shared" si="748"/>
        <v>-0.10947314559653476</v>
      </c>
    </row>
    <row r="3218" spans="1:7" x14ac:dyDescent="0.3">
      <c r="A3218" s="11" t="s">
        <v>3035</v>
      </c>
      <c r="B3218" s="7">
        <v>58480</v>
      </c>
      <c r="C3218" s="7">
        <v>3.56</v>
      </c>
      <c r="D3218" s="2">
        <f t="shared" si="746"/>
        <v>-3.1000000000000139E-2</v>
      </c>
      <c r="E3218" s="8">
        <f t="shared" si="747"/>
        <v>3.7022477684891704</v>
      </c>
      <c r="F3218" s="6">
        <f t="shared" si="749"/>
        <v>1.7746228926353151E-3</v>
      </c>
      <c r="G3218" s="12">
        <f t="shared" si="748"/>
        <v>-0.14224776848917031</v>
      </c>
    </row>
    <row r="3219" spans="1:7" x14ac:dyDescent="0.3">
      <c r="A3219" s="11" t="s">
        <v>3036</v>
      </c>
      <c r="B3219" s="7">
        <v>58500</v>
      </c>
      <c r="C3219" s="7">
        <v>3.548</v>
      </c>
      <c r="D3219" s="2">
        <f t="shared" si="746"/>
        <v>-1.2000000000000011E-2</v>
      </c>
      <c r="E3219" s="8">
        <f t="shared" si="747"/>
        <v>3.7040223913818058</v>
      </c>
      <c r="F3219" s="6">
        <f t="shared" si="749"/>
        <v>1.7746228926353151E-3</v>
      </c>
      <c r="G3219" s="12">
        <f t="shared" si="748"/>
        <v>-0.15602239138180574</v>
      </c>
    </row>
    <row r="3220" spans="1:7" x14ac:dyDescent="0.3">
      <c r="A3220" s="11" t="s">
        <v>3037</v>
      </c>
      <c r="B3220" s="7">
        <v>58520</v>
      </c>
      <c r="C3220" s="7">
        <v>3.5329999999999999</v>
      </c>
      <c r="D3220" s="2">
        <f t="shared" si="746"/>
        <v>-1.5000000000000124E-2</v>
      </c>
      <c r="E3220" s="8">
        <f t="shared" ref="E3220:E3239" si="750">E3219+F3219</f>
        <v>3.7057970142744412</v>
      </c>
      <c r="F3220" s="6">
        <f t="shared" si="749"/>
        <v>1.7746228926353151E-3</v>
      </c>
      <c r="G3220" s="12">
        <f t="shared" ref="G3220:G3239" si="751">C3220-E3220</f>
        <v>-0.17279701427444127</v>
      </c>
    </row>
    <row r="3221" spans="1:7" x14ac:dyDescent="0.3">
      <c r="A3221" s="11" t="s">
        <v>3038</v>
      </c>
      <c r="B3221" s="7">
        <v>58540</v>
      </c>
      <c r="C3221" s="7">
        <v>3.5230000000000001</v>
      </c>
      <c r="D3221" s="2">
        <f t="shared" si="746"/>
        <v>-9.9999999999997868E-3</v>
      </c>
      <c r="E3221" s="8">
        <f t="shared" si="750"/>
        <v>3.7075716371670766</v>
      </c>
      <c r="F3221" s="6">
        <f t="shared" si="749"/>
        <v>1.7746228926353151E-3</v>
      </c>
      <c r="G3221" s="12">
        <f t="shared" si="751"/>
        <v>-0.18457163716707647</v>
      </c>
    </row>
    <row r="3222" spans="1:7" x14ac:dyDescent="0.3">
      <c r="A3222" s="11" t="s">
        <v>3039</v>
      </c>
      <c r="B3222" s="7">
        <v>58560</v>
      </c>
      <c r="C3222" s="7">
        <v>3.508</v>
      </c>
      <c r="D3222" s="2">
        <f t="shared" si="746"/>
        <v>-1.5000000000000124E-2</v>
      </c>
      <c r="E3222" s="8">
        <f t="shared" si="750"/>
        <v>3.709346260059712</v>
      </c>
      <c r="F3222" s="6">
        <f t="shared" si="749"/>
        <v>1.7746228926353151E-3</v>
      </c>
      <c r="G3222" s="12">
        <f t="shared" si="751"/>
        <v>-0.20134626005971201</v>
      </c>
    </row>
    <row r="3223" spans="1:7" x14ac:dyDescent="0.3">
      <c r="A3223" s="11" t="s">
        <v>3040</v>
      </c>
      <c r="B3223" s="7">
        <v>58580</v>
      </c>
      <c r="C3223" s="7">
        <v>3.5059999999999998</v>
      </c>
      <c r="D3223" s="2">
        <f t="shared" si="746"/>
        <v>-2.0000000000002238E-3</v>
      </c>
      <c r="E3223" s="8">
        <f t="shared" si="750"/>
        <v>3.7111208829523474</v>
      </c>
      <c r="F3223" s="6">
        <f t="shared" si="749"/>
        <v>1.7746228926353151E-3</v>
      </c>
      <c r="G3223" s="12">
        <f t="shared" si="751"/>
        <v>-0.20512088295234765</v>
      </c>
    </row>
    <row r="3224" spans="1:7" x14ac:dyDescent="0.3">
      <c r="A3224" s="11" t="s">
        <v>3041</v>
      </c>
      <c r="B3224" s="7">
        <v>58600</v>
      </c>
      <c r="C3224" s="7">
        <v>3.5230000000000001</v>
      </c>
      <c r="D3224" s="2">
        <f t="shared" si="746"/>
        <v>1.7000000000000348E-2</v>
      </c>
      <c r="E3224" s="8">
        <f t="shared" si="750"/>
        <v>3.7128955058449828</v>
      </c>
      <c r="F3224" s="6">
        <f t="shared" si="749"/>
        <v>1.7746228926353151E-3</v>
      </c>
      <c r="G3224" s="12">
        <f t="shared" si="751"/>
        <v>-0.18989550584498271</v>
      </c>
    </row>
    <row r="3225" spans="1:7" x14ac:dyDescent="0.3">
      <c r="A3225" s="11" t="s">
        <v>3042</v>
      </c>
      <c r="B3225" s="7">
        <v>58620</v>
      </c>
      <c r="C3225" s="7">
        <v>3.548</v>
      </c>
      <c r="D3225" s="2">
        <f t="shared" si="746"/>
        <v>2.4999999999999911E-2</v>
      </c>
      <c r="E3225" s="8">
        <f t="shared" si="750"/>
        <v>3.7146701287376183</v>
      </c>
      <c r="F3225" s="6">
        <f t="shared" si="749"/>
        <v>1.7746228926353151E-3</v>
      </c>
      <c r="G3225" s="12">
        <f t="shared" si="751"/>
        <v>-0.16667012873761822</v>
      </c>
    </row>
    <row r="3226" spans="1:7" x14ac:dyDescent="0.3">
      <c r="A3226" s="11" t="s">
        <v>3043</v>
      </c>
      <c r="B3226" s="7">
        <v>58640</v>
      </c>
      <c r="C3226" s="7">
        <v>3.5680000000000001</v>
      </c>
      <c r="D3226" s="2">
        <f t="shared" si="746"/>
        <v>2.0000000000000018E-2</v>
      </c>
      <c r="E3226" s="8">
        <f t="shared" si="750"/>
        <v>3.7164447516302537</v>
      </c>
      <c r="F3226" s="6">
        <f t="shared" si="749"/>
        <v>1.7746228926353151E-3</v>
      </c>
      <c r="G3226" s="12">
        <f t="shared" si="751"/>
        <v>-0.14844475163025361</v>
      </c>
    </row>
    <row r="3227" spans="1:7" x14ac:dyDescent="0.3">
      <c r="A3227" s="11" t="s">
        <v>3044</v>
      </c>
      <c r="B3227" s="7">
        <v>58660</v>
      </c>
      <c r="C3227" s="7">
        <v>3.573</v>
      </c>
      <c r="D3227" s="2">
        <f t="shared" si="746"/>
        <v>4.9999999999998934E-3</v>
      </c>
      <c r="E3227" s="8">
        <f t="shared" si="750"/>
        <v>3.7182193745228891</v>
      </c>
      <c r="F3227" s="6">
        <f t="shared" si="749"/>
        <v>1.7746228926353151E-3</v>
      </c>
      <c r="G3227" s="12">
        <f t="shared" si="751"/>
        <v>-0.14521937452288913</v>
      </c>
    </row>
    <row r="3228" spans="1:7" x14ac:dyDescent="0.3">
      <c r="A3228" s="11" t="s">
        <v>3045</v>
      </c>
      <c r="B3228" s="7">
        <v>58680</v>
      </c>
      <c r="C3228" s="7">
        <v>3.5819999999999999</v>
      </c>
      <c r="D3228" s="2">
        <f t="shared" si="746"/>
        <v>8.999999999999897E-3</v>
      </c>
      <c r="E3228" s="8">
        <f t="shared" si="750"/>
        <v>3.7199939974155245</v>
      </c>
      <c r="F3228" s="6">
        <f t="shared" si="749"/>
        <v>1.7746228926353151E-3</v>
      </c>
      <c r="G3228" s="12">
        <f t="shared" si="751"/>
        <v>-0.13799399741552465</v>
      </c>
    </row>
    <row r="3229" spans="1:7" x14ac:dyDescent="0.3">
      <c r="A3229" s="11" t="s">
        <v>3046</v>
      </c>
      <c r="B3229" s="7">
        <v>58700</v>
      </c>
      <c r="C3229" s="7">
        <v>3.5950000000000002</v>
      </c>
      <c r="D3229" s="2">
        <f t="shared" si="746"/>
        <v>1.3000000000000345E-2</v>
      </c>
      <c r="E3229" s="8">
        <f t="shared" si="750"/>
        <v>3.7217686203081599</v>
      </c>
      <c r="F3229" s="6">
        <f t="shared" si="749"/>
        <v>1.7746228926353151E-3</v>
      </c>
      <c r="G3229" s="12">
        <f t="shared" si="751"/>
        <v>-0.12676862030815972</v>
      </c>
    </row>
    <row r="3230" spans="1:7" x14ac:dyDescent="0.3">
      <c r="A3230" s="11" t="s">
        <v>3047</v>
      </c>
      <c r="B3230" s="7">
        <v>58720</v>
      </c>
      <c r="C3230" s="7">
        <v>3.601</v>
      </c>
      <c r="D3230" s="2">
        <f t="shared" si="746"/>
        <v>5.9999999999997833E-3</v>
      </c>
      <c r="E3230" s="8">
        <f t="shared" si="750"/>
        <v>3.7235432432007953</v>
      </c>
      <c r="F3230" s="6">
        <f t="shared" si="749"/>
        <v>1.7746228926353151E-3</v>
      </c>
      <c r="G3230" s="12">
        <f t="shared" si="751"/>
        <v>-0.12254324320079535</v>
      </c>
    </row>
    <row r="3231" spans="1:7" x14ac:dyDescent="0.3">
      <c r="A3231" s="11" t="s">
        <v>3048</v>
      </c>
      <c r="B3231" s="7">
        <v>58740</v>
      </c>
      <c r="C3231" s="7">
        <v>3.59</v>
      </c>
      <c r="D3231" s="2">
        <f t="shared" si="746"/>
        <v>-1.1000000000000121E-2</v>
      </c>
      <c r="E3231" s="8">
        <f t="shared" si="750"/>
        <v>3.7253178660934307</v>
      </c>
      <c r="F3231" s="6">
        <f t="shared" si="749"/>
        <v>1.7746228926353151E-3</v>
      </c>
      <c r="G3231" s="12">
        <f t="shared" si="751"/>
        <v>-0.13531786609343088</v>
      </c>
    </row>
    <row r="3232" spans="1:7" x14ac:dyDescent="0.3">
      <c r="A3232" s="11" t="s">
        <v>3049</v>
      </c>
      <c r="B3232" s="7">
        <v>58760</v>
      </c>
      <c r="C3232" s="7">
        <v>3.5710000000000002</v>
      </c>
      <c r="D3232" s="2">
        <f t="shared" si="746"/>
        <v>-1.8999999999999684E-2</v>
      </c>
      <c r="E3232" s="8">
        <f t="shared" si="750"/>
        <v>3.7270924889860662</v>
      </c>
      <c r="F3232" s="6">
        <f t="shared" si="749"/>
        <v>1.7746228926353151E-3</v>
      </c>
      <c r="G3232" s="12">
        <f t="shared" si="751"/>
        <v>-0.15609248898606598</v>
      </c>
    </row>
    <row r="3233" spans="1:7" x14ac:dyDescent="0.3">
      <c r="A3233" s="11" t="s">
        <v>3050</v>
      </c>
      <c r="B3233" s="7">
        <v>58780</v>
      </c>
      <c r="C3233" s="7">
        <v>3.55</v>
      </c>
      <c r="D3233" s="2">
        <f t="shared" si="746"/>
        <v>-2.1000000000000352E-2</v>
      </c>
      <c r="E3233" s="8">
        <f t="shared" si="750"/>
        <v>3.7288671118787016</v>
      </c>
      <c r="F3233" s="6">
        <f t="shared" si="749"/>
        <v>1.7746228926353151E-3</v>
      </c>
      <c r="G3233" s="12">
        <f t="shared" si="751"/>
        <v>-0.17886711187870175</v>
      </c>
    </row>
    <row r="3234" spans="1:7" x14ac:dyDescent="0.3">
      <c r="A3234" s="11" t="s">
        <v>3051</v>
      </c>
      <c r="B3234" s="7">
        <v>58800</v>
      </c>
      <c r="C3234" s="7">
        <v>3.5259999999999998</v>
      </c>
      <c r="D3234" s="2">
        <f t="shared" si="746"/>
        <v>-2.4000000000000021E-2</v>
      </c>
      <c r="E3234" s="8">
        <f t="shared" si="750"/>
        <v>3.730641734771337</v>
      </c>
      <c r="F3234" s="6">
        <f t="shared" si="749"/>
        <v>1.7746228926353151E-3</v>
      </c>
      <c r="G3234" s="12">
        <f t="shared" si="751"/>
        <v>-0.20464173477133718</v>
      </c>
    </row>
    <row r="3235" spans="1:7" x14ac:dyDescent="0.3">
      <c r="A3235" s="11" t="s">
        <v>3052</v>
      </c>
      <c r="B3235" s="7">
        <v>58820</v>
      </c>
      <c r="C3235" s="7">
        <v>3.504</v>
      </c>
      <c r="D3235" s="2">
        <f t="shared" si="746"/>
        <v>-2.1999999999999797E-2</v>
      </c>
      <c r="E3235" s="8">
        <f t="shared" si="750"/>
        <v>3.7324163576639724</v>
      </c>
      <c r="F3235" s="6">
        <f t="shared" si="749"/>
        <v>1.7746228926353151E-3</v>
      </c>
      <c r="G3235" s="12">
        <f t="shared" si="751"/>
        <v>-0.22841635766397239</v>
      </c>
    </row>
    <row r="3236" spans="1:7" x14ac:dyDescent="0.3">
      <c r="A3236" s="11" t="s">
        <v>3053</v>
      </c>
      <c r="B3236" s="7">
        <v>58840</v>
      </c>
      <c r="C3236" s="7">
        <v>3.5059999999999998</v>
      </c>
      <c r="D3236" s="2">
        <f t="shared" si="746"/>
        <v>1.9999999999997797E-3</v>
      </c>
      <c r="E3236" s="8">
        <f t="shared" si="750"/>
        <v>3.7341909805566078</v>
      </c>
      <c r="F3236" s="6">
        <f t="shared" si="749"/>
        <v>1.7746228926353151E-3</v>
      </c>
      <c r="G3236" s="12">
        <f t="shared" si="751"/>
        <v>-0.22819098055660803</v>
      </c>
    </row>
    <row r="3237" spans="1:7" x14ac:dyDescent="0.3">
      <c r="A3237" s="11" t="s">
        <v>3054</v>
      </c>
      <c r="B3237" s="7">
        <v>58860</v>
      </c>
      <c r="C3237" s="7">
        <v>3.528</v>
      </c>
      <c r="D3237" s="2">
        <f t="shared" si="746"/>
        <v>2.2000000000000242E-2</v>
      </c>
      <c r="E3237" s="8">
        <f t="shared" si="750"/>
        <v>3.7359656034492432</v>
      </c>
      <c r="F3237" s="6">
        <f t="shared" si="749"/>
        <v>1.7746228926353151E-3</v>
      </c>
      <c r="G3237" s="12">
        <f t="shared" si="751"/>
        <v>-0.2079656034492432</v>
      </c>
    </row>
    <row r="3238" spans="1:7" x14ac:dyDescent="0.3">
      <c r="A3238" s="11" t="s">
        <v>3055</v>
      </c>
      <c r="B3238" s="7">
        <v>58880</v>
      </c>
      <c r="C3238" s="7">
        <v>3.552</v>
      </c>
      <c r="D3238" s="2">
        <f t="shared" si="746"/>
        <v>2.4000000000000021E-2</v>
      </c>
      <c r="E3238" s="8">
        <f t="shared" si="750"/>
        <v>3.7377402263418786</v>
      </c>
      <c r="F3238" s="6">
        <f t="shared" si="749"/>
        <v>1.7746228926353151E-3</v>
      </c>
      <c r="G3238" s="12">
        <f t="shared" si="751"/>
        <v>-0.18574022634187859</v>
      </c>
    </row>
    <row r="3239" spans="1:7" x14ac:dyDescent="0.3">
      <c r="A3239" s="11" t="s">
        <v>3056</v>
      </c>
      <c r="B3239" s="7">
        <v>58900</v>
      </c>
      <c r="C3239" s="7">
        <v>3.5779999999999998</v>
      </c>
      <c r="D3239" s="2">
        <f t="shared" si="746"/>
        <v>2.5999999999999801E-2</v>
      </c>
      <c r="E3239" s="8">
        <f t="shared" si="750"/>
        <v>3.739514849234514</v>
      </c>
      <c r="F3239" s="6">
        <f t="shared" si="749"/>
        <v>1.7746228926353151E-3</v>
      </c>
      <c r="G3239" s="12">
        <f t="shared" si="751"/>
        <v>-0.1615148492345142</v>
      </c>
    </row>
    <row r="3240" spans="1:7" x14ac:dyDescent="0.3">
      <c r="A3240" s="11" t="s">
        <v>3057</v>
      </c>
      <c r="B3240" s="7">
        <v>58920</v>
      </c>
      <c r="C3240" s="7">
        <v>3.6019999999999999</v>
      </c>
      <c r="D3240" s="2">
        <f t="shared" ref="D3240:D3306" si="752">C3240-C3239</f>
        <v>2.4000000000000021E-2</v>
      </c>
      <c r="E3240" s="8">
        <f t="shared" ref="E3240:E3251" si="753">E3239+F3239</f>
        <v>3.7412894721271495</v>
      </c>
      <c r="F3240" s="6">
        <f t="shared" si="749"/>
        <v>1.7746228926353151E-3</v>
      </c>
      <c r="G3240" s="12">
        <f t="shared" ref="G3240:G3271" si="754">C3240-E3240</f>
        <v>-0.13928947212714959</v>
      </c>
    </row>
    <row r="3241" spans="1:7" x14ac:dyDescent="0.3">
      <c r="A3241" s="11" t="s">
        <v>3058</v>
      </c>
      <c r="B3241" s="7">
        <v>58940</v>
      </c>
      <c r="C3241" s="7">
        <v>3.6219999999999999</v>
      </c>
      <c r="D3241" s="2">
        <f t="shared" si="752"/>
        <v>2.0000000000000018E-2</v>
      </c>
      <c r="E3241" s="8">
        <f t="shared" si="753"/>
        <v>3.7430640950197849</v>
      </c>
      <c r="F3241" s="6">
        <f t="shared" si="749"/>
        <v>1.7746228926353151E-3</v>
      </c>
      <c r="G3241" s="12">
        <f t="shared" si="754"/>
        <v>-0.12106409501978499</v>
      </c>
    </row>
    <row r="3242" spans="1:7" x14ac:dyDescent="0.3">
      <c r="A3242" s="11" t="s">
        <v>3059</v>
      </c>
      <c r="B3242" s="7">
        <v>58960</v>
      </c>
      <c r="C3242" s="7">
        <v>3.605</v>
      </c>
      <c r="D3242" s="2">
        <f t="shared" si="752"/>
        <v>-1.6999999999999904E-2</v>
      </c>
      <c r="E3242" s="8">
        <f t="shared" si="753"/>
        <v>3.7448387179124203</v>
      </c>
      <c r="F3242" s="6">
        <f t="shared" si="749"/>
        <v>1.7746228926353151E-3</v>
      </c>
      <c r="G3242" s="12">
        <f t="shared" si="754"/>
        <v>-0.13983871791242031</v>
      </c>
    </row>
    <row r="3243" spans="1:7" x14ac:dyDescent="0.3">
      <c r="A3243" s="13" t="s">
        <v>3060</v>
      </c>
      <c r="B3243" s="24"/>
      <c r="C3243" s="25"/>
      <c r="D3243" s="25"/>
      <c r="E3243" s="25"/>
      <c r="F3243" s="25"/>
      <c r="G3243" s="26"/>
    </row>
    <row r="3244" spans="1:7" x14ac:dyDescent="0.3">
      <c r="A3244" s="11" t="s">
        <v>3061</v>
      </c>
      <c r="B3244" s="7">
        <v>58980</v>
      </c>
      <c r="C3244" s="7">
        <v>3.5870000000000002</v>
      </c>
      <c r="D3244" s="2">
        <f>C3244-C3242</f>
        <v>-1.7999999999999794E-2</v>
      </c>
      <c r="E3244" s="8">
        <f>E3242+F3242</f>
        <v>3.7466133408050557</v>
      </c>
      <c r="F3244" s="6">
        <f>F3242</f>
        <v>1.7746228926353151E-3</v>
      </c>
      <c r="G3244" s="12">
        <f t="shared" si="754"/>
        <v>-0.15961334080505551</v>
      </c>
    </row>
    <row r="3245" spans="1:7" x14ac:dyDescent="0.3">
      <c r="A3245" s="11" t="s">
        <v>3062</v>
      </c>
      <c r="B3245" s="7">
        <v>59000</v>
      </c>
      <c r="C3245" s="7">
        <v>3.577</v>
      </c>
      <c r="D3245" s="2">
        <f t="shared" si="752"/>
        <v>-1.0000000000000231E-2</v>
      </c>
      <c r="E3245" s="8">
        <f t="shared" si="753"/>
        <v>3.7483879636976911</v>
      </c>
      <c r="F3245" s="6">
        <f t="shared" si="749"/>
        <v>1.7746228926353151E-3</v>
      </c>
      <c r="G3245" s="12">
        <f t="shared" si="754"/>
        <v>-0.17138796369769116</v>
      </c>
    </row>
    <row r="3246" spans="1:7" x14ac:dyDescent="0.3">
      <c r="A3246" s="11" t="s">
        <v>3063</v>
      </c>
      <c r="B3246" s="7">
        <v>59020</v>
      </c>
      <c r="C3246" s="7">
        <v>3.5859999999999999</v>
      </c>
      <c r="D3246" s="2">
        <f t="shared" si="752"/>
        <v>8.999999999999897E-3</v>
      </c>
      <c r="E3246" s="8">
        <f t="shared" si="753"/>
        <v>3.7501625865903265</v>
      </c>
      <c r="F3246" s="6">
        <f t="shared" si="749"/>
        <v>1.7746228926353151E-3</v>
      </c>
      <c r="G3246" s="12">
        <f t="shared" si="754"/>
        <v>-0.16416258659032668</v>
      </c>
    </row>
    <row r="3247" spans="1:7" x14ac:dyDescent="0.3">
      <c r="A3247" s="11" t="s">
        <v>3064</v>
      </c>
      <c r="B3247" s="7">
        <v>59040</v>
      </c>
      <c r="C3247" s="7">
        <v>3.5939999999999999</v>
      </c>
      <c r="D3247" s="2">
        <f t="shared" si="752"/>
        <v>8.0000000000000071E-3</v>
      </c>
      <c r="E3247" s="8">
        <f t="shared" si="753"/>
        <v>3.7519372094829619</v>
      </c>
      <c r="F3247" s="6">
        <f t="shared" si="749"/>
        <v>1.7746228926353151E-3</v>
      </c>
      <c r="G3247" s="12">
        <f t="shared" si="754"/>
        <v>-0.15793720948296208</v>
      </c>
    </row>
    <row r="3248" spans="1:7" x14ac:dyDescent="0.3">
      <c r="A3248" s="11" t="s">
        <v>3065</v>
      </c>
      <c r="B3248" s="7">
        <v>59060</v>
      </c>
      <c r="C3248" s="7">
        <v>3.5880000000000001</v>
      </c>
      <c r="D3248" s="2">
        <f t="shared" si="752"/>
        <v>-5.9999999999997833E-3</v>
      </c>
      <c r="E3248" s="8">
        <f t="shared" si="753"/>
        <v>3.7537118323755974</v>
      </c>
      <c r="F3248" s="6">
        <f t="shared" si="749"/>
        <v>1.7746228926353151E-3</v>
      </c>
      <c r="G3248" s="12">
        <f t="shared" si="754"/>
        <v>-0.16571183237559728</v>
      </c>
    </row>
    <row r="3249" spans="1:18" x14ac:dyDescent="0.3">
      <c r="A3249" s="11" t="s">
        <v>3066</v>
      </c>
      <c r="B3249" s="7">
        <v>59080</v>
      </c>
      <c r="C3249" s="7">
        <v>3.5950000000000002</v>
      </c>
      <c r="D3249" s="2">
        <f t="shared" si="752"/>
        <v>7.0000000000001172E-3</v>
      </c>
      <c r="E3249" s="8">
        <f t="shared" si="753"/>
        <v>3.7554864552682328</v>
      </c>
      <c r="F3249" s="6">
        <f t="shared" si="749"/>
        <v>1.7746228926353151E-3</v>
      </c>
      <c r="G3249" s="12">
        <f t="shared" si="754"/>
        <v>-0.16048645526823258</v>
      </c>
    </row>
    <row r="3250" spans="1:18" x14ac:dyDescent="0.3">
      <c r="A3250" s="11" t="s">
        <v>3067</v>
      </c>
      <c r="B3250" s="7">
        <v>59100</v>
      </c>
      <c r="C3250" s="7">
        <v>3.613</v>
      </c>
      <c r="D3250" s="2">
        <f>C3250-C3249</f>
        <v>1.7999999999999794E-2</v>
      </c>
      <c r="E3250" s="8">
        <f>E3249+F3249</f>
        <v>3.7572610781608682</v>
      </c>
      <c r="F3250" s="6">
        <f>F3249</f>
        <v>1.7746228926353151E-3</v>
      </c>
      <c r="G3250" s="12">
        <f t="shared" si="754"/>
        <v>-0.14426107816086819</v>
      </c>
    </row>
    <row r="3251" spans="1:18" x14ac:dyDescent="0.3">
      <c r="A3251" s="11" t="s">
        <v>3068</v>
      </c>
      <c r="B3251" s="7">
        <v>59120</v>
      </c>
      <c r="C3251" s="7">
        <v>3.661</v>
      </c>
      <c r="D3251" s="2">
        <f t="shared" si="752"/>
        <v>4.8000000000000043E-2</v>
      </c>
      <c r="E3251" s="8">
        <f t="shared" si="753"/>
        <v>3.7590357010535036</v>
      </c>
      <c r="F3251" s="6">
        <f t="shared" si="749"/>
        <v>1.7746228926353151E-3</v>
      </c>
      <c r="G3251" s="12">
        <f t="shared" si="754"/>
        <v>-9.8035701053503566E-2</v>
      </c>
    </row>
    <row r="3252" spans="1:18" x14ac:dyDescent="0.3">
      <c r="A3252" s="11" t="s">
        <v>3069</v>
      </c>
      <c r="B3252" s="7">
        <v>59140</v>
      </c>
      <c r="C3252" s="7">
        <v>3.726</v>
      </c>
      <c r="D3252" s="2">
        <f>C3252-C3251</f>
        <v>6.4999999999999947E-2</v>
      </c>
      <c r="E3252" s="8">
        <f>E3251+F3252</f>
        <v>3.760810323946139</v>
      </c>
      <c r="F3252" s="6">
        <f>F3251</f>
        <v>1.7746228926353151E-3</v>
      </c>
      <c r="G3252" s="12">
        <f>C3252-E3252</f>
        <v>-3.4810323946139032E-2</v>
      </c>
      <c r="K3252" s="5"/>
      <c r="M3252" s="5"/>
    </row>
    <row r="3253" spans="1:18" x14ac:dyDescent="0.3">
      <c r="A3253" s="11" t="s">
        <v>3070</v>
      </c>
      <c r="B3253" s="7">
        <v>59160</v>
      </c>
      <c r="C3253" s="7">
        <v>3.8050000000000002</v>
      </c>
      <c r="D3253" s="2">
        <f t="shared" si="752"/>
        <v>7.9000000000000181E-2</v>
      </c>
      <c r="E3253" s="8">
        <f>E3252+F3252</f>
        <v>3.7625849468387744</v>
      </c>
      <c r="F3253" s="6">
        <f t="shared" ref="F3253" si="755">F3252</f>
        <v>1.7746228926353151E-3</v>
      </c>
      <c r="G3253" s="12">
        <f t="shared" ref="G3253" si="756">C3253-E3253</f>
        <v>4.2415053161225735E-2</v>
      </c>
    </row>
    <row r="3254" spans="1:18" x14ac:dyDescent="0.3">
      <c r="A3254" s="11" t="s">
        <v>3071</v>
      </c>
      <c r="B3254" s="7">
        <v>59180</v>
      </c>
      <c r="C3254" s="7">
        <v>3.8559999999999999</v>
      </c>
      <c r="D3254" s="2">
        <f t="shared" si="752"/>
        <v>5.0999999999999712E-2</v>
      </c>
      <c r="E3254" s="8">
        <f t="shared" ref="E3254:E3260" si="757">E3253+F3253</f>
        <v>3.7643595697314098</v>
      </c>
      <c r="F3254" s="6">
        <f t="shared" si="749"/>
        <v>1.7746228926353151E-3</v>
      </c>
      <c r="G3254" s="12">
        <f t="shared" si="754"/>
        <v>9.1640430268590034E-2</v>
      </c>
    </row>
    <row r="3255" spans="1:18" x14ac:dyDescent="0.3">
      <c r="A3255" s="11" t="s">
        <v>3072</v>
      </c>
      <c r="B3255" s="7">
        <v>59200</v>
      </c>
      <c r="C3255" s="7">
        <v>3.871</v>
      </c>
      <c r="D3255" s="2">
        <f t="shared" si="752"/>
        <v>1.5000000000000124E-2</v>
      </c>
      <c r="E3255" s="8">
        <f t="shared" si="757"/>
        <v>3.7661341926240453</v>
      </c>
      <c r="F3255" s="6">
        <f t="shared" si="749"/>
        <v>1.7746228926353151E-3</v>
      </c>
      <c r="G3255" s="12">
        <f t="shared" si="754"/>
        <v>0.10486580737595474</v>
      </c>
    </row>
    <row r="3256" spans="1:18" x14ac:dyDescent="0.3">
      <c r="A3256" s="11" t="s">
        <v>3073</v>
      </c>
      <c r="B3256" s="7">
        <v>59220</v>
      </c>
      <c r="C3256" s="7">
        <v>3.87</v>
      </c>
      <c r="D3256" s="2">
        <f t="shared" si="752"/>
        <v>-9.9999999999988987E-4</v>
      </c>
      <c r="E3256" s="8">
        <f t="shared" si="757"/>
        <v>3.7679088155166807</v>
      </c>
      <c r="F3256" s="6">
        <f t="shared" ref="F3256:F3322" si="758">F3255</f>
        <v>1.7746228926353151E-3</v>
      </c>
      <c r="G3256" s="12">
        <f t="shared" si="754"/>
        <v>0.10209118448331944</v>
      </c>
    </row>
    <row r="3257" spans="1:18" x14ac:dyDescent="0.3">
      <c r="A3257" s="11" t="s">
        <v>3074</v>
      </c>
      <c r="B3257" s="7">
        <v>59240</v>
      </c>
      <c r="C3257" s="7">
        <v>3.843</v>
      </c>
      <c r="D3257" s="2">
        <f t="shared" si="752"/>
        <v>-2.7000000000000135E-2</v>
      </c>
      <c r="E3257" s="8">
        <f t="shared" si="757"/>
        <v>3.7696834384093161</v>
      </c>
      <c r="F3257" s="6">
        <f t="shared" si="758"/>
        <v>1.7746228926353151E-3</v>
      </c>
      <c r="G3257" s="12">
        <f t="shared" si="754"/>
        <v>7.3316561590683893E-2</v>
      </c>
    </row>
    <row r="3258" spans="1:18" x14ac:dyDescent="0.3">
      <c r="A3258" s="11" t="s">
        <v>3075</v>
      </c>
      <c r="B3258" s="7">
        <v>59260</v>
      </c>
      <c r="C3258" s="7">
        <v>3.831</v>
      </c>
      <c r="D3258" s="2">
        <f t="shared" si="752"/>
        <v>-1.2000000000000011E-2</v>
      </c>
      <c r="E3258" s="8">
        <f t="shared" si="757"/>
        <v>3.7714580613019515</v>
      </c>
      <c r="F3258" s="6">
        <f t="shared" si="758"/>
        <v>1.7746228926353151E-3</v>
      </c>
      <c r="G3258" s="12">
        <f t="shared" si="754"/>
        <v>5.9541938698048469E-2</v>
      </c>
    </row>
    <row r="3259" spans="1:18" x14ac:dyDescent="0.3">
      <c r="A3259" s="11" t="s">
        <v>3076</v>
      </c>
      <c r="B3259" s="7">
        <v>59280</v>
      </c>
      <c r="C3259" s="7">
        <v>3.8039999999999998</v>
      </c>
      <c r="D3259" s="2">
        <f t="shared" si="752"/>
        <v>-2.7000000000000135E-2</v>
      </c>
      <c r="E3259" s="8">
        <f t="shared" si="757"/>
        <v>3.7732326841945869</v>
      </c>
      <c r="F3259" s="6">
        <f t="shared" si="758"/>
        <v>1.7746228926353151E-3</v>
      </c>
      <c r="G3259" s="12">
        <f t="shared" si="754"/>
        <v>3.076731580541292E-2</v>
      </c>
    </row>
    <row r="3260" spans="1:18" x14ac:dyDescent="0.3">
      <c r="A3260" s="11" t="s">
        <v>3077</v>
      </c>
      <c r="B3260" s="7">
        <v>59300</v>
      </c>
      <c r="C3260" s="7">
        <v>3.7749999999999999</v>
      </c>
      <c r="D3260" s="2">
        <f t="shared" si="752"/>
        <v>-2.8999999999999915E-2</v>
      </c>
      <c r="E3260" s="8">
        <f t="shared" si="757"/>
        <v>3.7750073070872223</v>
      </c>
      <c r="F3260" s="6">
        <f t="shared" si="758"/>
        <v>1.7746228926353151E-3</v>
      </c>
      <c r="G3260" s="12">
        <f t="shared" si="754"/>
        <v>-7.3070872224079153E-6</v>
      </c>
    </row>
    <row r="3261" spans="1:18" x14ac:dyDescent="0.3">
      <c r="A3261" s="21"/>
      <c r="B3261" s="22"/>
      <c r="C3261" s="22"/>
      <c r="D3261" s="22"/>
      <c r="E3261" s="22"/>
      <c r="F3261" s="22"/>
      <c r="G3261" s="23"/>
      <c r="H3261" s="4" t="s">
        <v>46</v>
      </c>
      <c r="J3261" s="4"/>
      <c r="O3261" s="3">
        <f>1/O3262</f>
        <v>1.3422818791946308E-3</v>
      </c>
      <c r="P3261" s="3">
        <f>O3261*20</f>
        <v>2.6845637583892617E-2</v>
      </c>
      <c r="Q3261" s="3" t="s">
        <v>3200</v>
      </c>
      <c r="R3261" s="3">
        <v>745</v>
      </c>
    </row>
    <row r="3262" spans="1:18" x14ac:dyDescent="0.3">
      <c r="A3262" s="11" t="s">
        <v>3078</v>
      </c>
      <c r="B3262" s="7">
        <v>59320</v>
      </c>
      <c r="C3262" s="7">
        <v>3.7410000000000001</v>
      </c>
      <c r="D3262" s="2">
        <f>C3262-C3260</f>
        <v>-3.3999999999999808E-2</v>
      </c>
      <c r="E3262" s="8">
        <f>E3260-F3262</f>
        <v>3.7481616695033297</v>
      </c>
      <c r="F3262" s="6">
        <f>P3261</f>
        <v>2.6845637583892617E-2</v>
      </c>
      <c r="G3262" s="12">
        <f>C3262-E3262</f>
        <v>-7.1616695033296374E-3</v>
      </c>
      <c r="H3262" s="3">
        <f>B3260</f>
        <v>59300</v>
      </c>
      <c r="I3262" s="3">
        <f>B3306</f>
        <v>60180</v>
      </c>
      <c r="J3262" s="3">
        <f>I3262-H3262</f>
        <v>880</v>
      </c>
      <c r="K3262" s="5">
        <f>E3260</f>
        <v>3.7750073070872223</v>
      </c>
      <c r="L3262" s="3">
        <f>C3306</f>
        <v>2.5939999999999999</v>
      </c>
      <c r="M3262" s="5">
        <f>L3262-K3262</f>
        <v>-1.1810073070872225</v>
      </c>
      <c r="N3262" s="3">
        <f>J3262/M3262</f>
        <v>-745.12663445782403</v>
      </c>
      <c r="O3262" s="3">
        <v>745</v>
      </c>
    </row>
    <row r="3263" spans="1:18" x14ac:dyDescent="0.3">
      <c r="A3263" s="11" t="s">
        <v>3079</v>
      </c>
      <c r="B3263" s="7">
        <v>59340</v>
      </c>
      <c r="C3263" s="7">
        <v>3.7029999999999998</v>
      </c>
      <c r="D3263" s="2">
        <f t="shared" si="752"/>
        <v>-3.8000000000000256E-2</v>
      </c>
      <c r="E3263" s="8">
        <f>E3262-F3262</f>
        <v>3.7213160319194372</v>
      </c>
      <c r="F3263" s="6">
        <f t="shared" ref="F3263" si="759">F3262</f>
        <v>2.6845637583892617E-2</v>
      </c>
      <c r="G3263" s="12">
        <f t="shared" ref="G3263" si="760">C3263-E3263</f>
        <v>-1.8316031919437314E-2</v>
      </c>
    </row>
    <row r="3264" spans="1:18" x14ac:dyDescent="0.3">
      <c r="A3264" s="11" t="s">
        <v>3080</v>
      </c>
      <c r="B3264" s="7">
        <v>59360</v>
      </c>
      <c r="C3264" s="7">
        <v>3.6539999999999999</v>
      </c>
      <c r="D3264" s="2">
        <f t="shared" si="752"/>
        <v>-4.8999999999999932E-2</v>
      </c>
      <c r="E3264" s="8">
        <f t="shared" ref="E3264:E3306" si="761">E3263-F3263</f>
        <v>3.6944703943355446</v>
      </c>
      <c r="F3264" s="6">
        <f t="shared" si="758"/>
        <v>2.6845637583892617E-2</v>
      </c>
      <c r="G3264" s="12">
        <f t="shared" si="754"/>
        <v>-4.0470394335544668E-2</v>
      </c>
    </row>
    <row r="3265" spans="1:7" x14ac:dyDescent="0.3">
      <c r="A3265" s="11" t="s">
        <v>3081</v>
      </c>
      <c r="B3265" s="7">
        <v>59380</v>
      </c>
      <c r="C3265" s="7">
        <v>3.585</v>
      </c>
      <c r="D3265" s="2">
        <f t="shared" si="752"/>
        <v>-6.899999999999995E-2</v>
      </c>
      <c r="E3265" s="8">
        <f t="shared" si="761"/>
        <v>3.667624756751652</v>
      </c>
      <c r="F3265" s="6">
        <f t="shared" si="758"/>
        <v>2.6845637583892617E-2</v>
      </c>
      <c r="G3265" s="12">
        <f t="shared" si="754"/>
        <v>-8.262475675165204E-2</v>
      </c>
    </row>
    <row r="3266" spans="1:7" x14ac:dyDescent="0.3">
      <c r="A3266" s="11" t="s">
        <v>3082</v>
      </c>
      <c r="B3266" s="7">
        <v>59400</v>
      </c>
      <c r="C3266" s="7">
        <v>3.5270000000000001</v>
      </c>
      <c r="D3266" s="2">
        <f t="shared" si="752"/>
        <v>-5.7999999999999829E-2</v>
      </c>
      <c r="E3266" s="8">
        <f t="shared" si="761"/>
        <v>3.6407791191677594</v>
      </c>
      <c r="F3266" s="6">
        <f t="shared" si="758"/>
        <v>2.6845637583892617E-2</v>
      </c>
      <c r="G3266" s="12">
        <f t="shared" si="754"/>
        <v>-0.11377911916775929</v>
      </c>
    </row>
    <row r="3267" spans="1:7" x14ac:dyDescent="0.3">
      <c r="A3267" s="11" t="s">
        <v>3083</v>
      </c>
      <c r="B3267" s="7">
        <v>59420</v>
      </c>
      <c r="C3267" s="7">
        <v>3.472</v>
      </c>
      <c r="D3267" s="2">
        <f t="shared" si="752"/>
        <v>-5.500000000000016E-2</v>
      </c>
      <c r="E3267" s="8">
        <f t="shared" si="761"/>
        <v>3.6139334815838668</v>
      </c>
      <c r="F3267" s="6">
        <f t="shared" si="758"/>
        <v>2.6845637583892617E-2</v>
      </c>
      <c r="G3267" s="12">
        <f t="shared" si="754"/>
        <v>-0.14193348158386687</v>
      </c>
    </row>
    <row r="3268" spans="1:7" x14ac:dyDescent="0.3">
      <c r="A3268" s="11" t="s">
        <v>3084</v>
      </c>
      <c r="B3268" s="7">
        <v>59440</v>
      </c>
      <c r="C3268" s="7">
        <v>3.4350000000000001</v>
      </c>
      <c r="D3268" s="2">
        <f t="shared" si="752"/>
        <v>-3.6999999999999922E-2</v>
      </c>
      <c r="E3268" s="8">
        <f t="shared" si="761"/>
        <v>3.5870878439999743</v>
      </c>
      <c r="F3268" s="6">
        <f t="shared" si="758"/>
        <v>2.6845637583892617E-2</v>
      </c>
      <c r="G3268" s="12">
        <f t="shared" si="754"/>
        <v>-0.15208784399997421</v>
      </c>
    </row>
    <row r="3269" spans="1:7" x14ac:dyDescent="0.3">
      <c r="A3269" s="11" t="s">
        <v>3085</v>
      </c>
      <c r="B3269" s="7">
        <v>59460</v>
      </c>
      <c r="C3269" s="7">
        <v>3.4220000000000002</v>
      </c>
      <c r="D3269" s="2">
        <f t="shared" si="752"/>
        <v>-1.2999999999999901E-2</v>
      </c>
      <c r="E3269" s="8">
        <f t="shared" si="761"/>
        <v>3.5602422064160817</v>
      </c>
      <c r="F3269" s="6">
        <f t="shared" si="758"/>
        <v>2.6845637583892617E-2</v>
      </c>
      <c r="G3269" s="12">
        <f t="shared" si="754"/>
        <v>-0.13824220641608154</v>
      </c>
    </row>
    <row r="3270" spans="1:7" x14ac:dyDescent="0.3">
      <c r="A3270" s="11" t="s">
        <v>3086</v>
      </c>
      <c r="B3270" s="7">
        <v>59480</v>
      </c>
      <c r="C3270" s="7">
        <v>3.3940000000000001</v>
      </c>
      <c r="D3270" s="2">
        <f t="shared" si="752"/>
        <v>-2.8000000000000025E-2</v>
      </c>
      <c r="E3270" s="8">
        <f t="shared" si="761"/>
        <v>3.5333965688321891</v>
      </c>
      <c r="F3270" s="6">
        <f t="shared" si="758"/>
        <v>2.6845637583892617E-2</v>
      </c>
      <c r="G3270" s="12">
        <f t="shared" si="754"/>
        <v>-0.13939656883218898</v>
      </c>
    </row>
    <row r="3271" spans="1:7" x14ac:dyDescent="0.3">
      <c r="A3271" s="11" t="s">
        <v>3087</v>
      </c>
      <c r="B3271" s="7">
        <v>59500</v>
      </c>
      <c r="C3271" s="7">
        <v>3.3660000000000001</v>
      </c>
      <c r="D3271" s="2">
        <f t="shared" si="752"/>
        <v>-2.8000000000000025E-2</v>
      </c>
      <c r="E3271" s="8">
        <f t="shared" si="761"/>
        <v>3.5065509312482965</v>
      </c>
      <c r="F3271" s="6">
        <f t="shared" si="758"/>
        <v>2.6845637583892617E-2</v>
      </c>
      <c r="G3271" s="12">
        <f t="shared" si="754"/>
        <v>-0.14055093124829643</v>
      </c>
    </row>
    <row r="3272" spans="1:7" x14ac:dyDescent="0.3">
      <c r="A3272" s="11" t="s">
        <v>3088</v>
      </c>
      <c r="B3272" s="7">
        <v>59520</v>
      </c>
      <c r="C3272" s="7">
        <v>3.34</v>
      </c>
      <c r="D3272" s="2">
        <f t="shared" si="752"/>
        <v>-2.6000000000000245E-2</v>
      </c>
      <c r="E3272" s="8">
        <f t="shared" si="761"/>
        <v>3.479705293664404</v>
      </c>
      <c r="F3272" s="6">
        <f t="shared" si="758"/>
        <v>2.6845637583892617E-2</v>
      </c>
      <c r="G3272" s="12">
        <f t="shared" ref="G3272:G3340" si="762">C3272-E3272</f>
        <v>-0.1397052936644041</v>
      </c>
    </row>
    <row r="3273" spans="1:7" x14ac:dyDescent="0.3">
      <c r="A3273" s="11" t="s">
        <v>3089</v>
      </c>
      <c r="B3273" s="7">
        <v>59540</v>
      </c>
      <c r="C3273" s="7">
        <v>3.3149999999999999</v>
      </c>
      <c r="D3273" s="2">
        <f t="shared" si="752"/>
        <v>-2.4999999999999911E-2</v>
      </c>
      <c r="E3273" s="8">
        <f t="shared" si="761"/>
        <v>3.4528596560805114</v>
      </c>
      <c r="F3273" s="6">
        <f t="shared" si="758"/>
        <v>2.6845637583892617E-2</v>
      </c>
      <c r="G3273" s="12">
        <f t="shared" si="762"/>
        <v>-0.13785965608051143</v>
      </c>
    </row>
    <row r="3274" spans="1:7" x14ac:dyDescent="0.3">
      <c r="A3274" s="11" t="s">
        <v>3090</v>
      </c>
      <c r="B3274" s="7">
        <v>59560</v>
      </c>
      <c r="C3274" s="7">
        <v>3.29</v>
      </c>
      <c r="D3274" s="2">
        <f t="shared" si="752"/>
        <v>-2.4999999999999911E-2</v>
      </c>
      <c r="E3274" s="8">
        <f t="shared" si="761"/>
        <v>3.4260140184966188</v>
      </c>
      <c r="F3274" s="6">
        <f t="shared" si="758"/>
        <v>2.6845637583892617E-2</v>
      </c>
      <c r="G3274" s="12">
        <f t="shared" si="762"/>
        <v>-0.13601401849661876</v>
      </c>
    </row>
    <row r="3275" spans="1:7" x14ac:dyDescent="0.3">
      <c r="A3275" s="11" t="s">
        <v>3091</v>
      </c>
      <c r="B3275" s="7">
        <v>59580</v>
      </c>
      <c r="C3275" s="7">
        <v>3.2559999999999998</v>
      </c>
      <c r="D3275" s="2">
        <f t="shared" si="752"/>
        <v>-3.4000000000000252E-2</v>
      </c>
      <c r="E3275" s="8">
        <f t="shared" si="761"/>
        <v>3.3991683809127262</v>
      </c>
      <c r="F3275" s="6">
        <f t="shared" si="758"/>
        <v>2.6845637583892617E-2</v>
      </c>
      <c r="G3275" s="12">
        <f t="shared" si="762"/>
        <v>-0.14316838091272643</v>
      </c>
    </row>
    <row r="3276" spans="1:7" x14ac:dyDescent="0.3">
      <c r="A3276" s="11" t="s">
        <v>3092</v>
      </c>
      <c r="B3276" s="7">
        <v>59600</v>
      </c>
      <c r="C3276" s="7">
        <v>3.23</v>
      </c>
      <c r="D3276" s="2">
        <f t="shared" si="752"/>
        <v>-2.5999999999999801E-2</v>
      </c>
      <c r="E3276" s="8">
        <f t="shared" si="761"/>
        <v>3.3723227433288336</v>
      </c>
      <c r="F3276" s="6">
        <f t="shared" si="758"/>
        <v>2.6845637583892617E-2</v>
      </c>
      <c r="G3276" s="12">
        <f t="shared" si="762"/>
        <v>-0.14232274332883366</v>
      </c>
    </row>
    <row r="3277" spans="1:7" x14ac:dyDescent="0.3">
      <c r="A3277" s="11" t="s">
        <v>3093</v>
      </c>
      <c r="B3277" s="7">
        <v>59620</v>
      </c>
      <c r="C3277" s="7">
        <v>3.2010000000000001</v>
      </c>
      <c r="D3277" s="2">
        <f t="shared" si="752"/>
        <v>-2.8999999999999915E-2</v>
      </c>
      <c r="E3277" s="8">
        <f t="shared" si="761"/>
        <v>3.3454771057449411</v>
      </c>
      <c r="F3277" s="6">
        <f t="shared" si="758"/>
        <v>2.6845637583892617E-2</v>
      </c>
      <c r="G3277" s="12">
        <f t="shared" si="762"/>
        <v>-0.14447710574494099</v>
      </c>
    </row>
    <row r="3278" spans="1:7" x14ac:dyDescent="0.3">
      <c r="A3278" s="11" t="s">
        <v>3094</v>
      </c>
      <c r="B3278" s="7">
        <v>59640</v>
      </c>
      <c r="C3278" s="7">
        <v>3.1779999999999999</v>
      </c>
      <c r="D3278" s="2">
        <f t="shared" si="752"/>
        <v>-2.3000000000000131E-2</v>
      </c>
      <c r="E3278" s="8">
        <f t="shared" si="761"/>
        <v>3.3186314681610485</v>
      </c>
      <c r="F3278" s="6">
        <f t="shared" si="758"/>
        <v>2.6845637583892617E-2</v>
      </c>
      <c r="G3278" s="12">
        <f t="shared" si="762"/>
        <v>-0.14063146816104855</v>
      </c>
    </row>
    <row r="3279" spans="1:7" x14ac:dyDescent="0.3">
      <c r="A3279" s="11" t="s">
        <v>3095</v>
      </c>
      <c r="B3279" s="7">
        <v>59660</v>
      </c>
      <c r="C3279" s="7">
        <v>3.17</v>
      </c>
      <c r="D3279" s="2">
        <f t="shared" si="752"/>
        <v>-8.0000000000000071E-3</v>
      </c>
      <c r="E3279" s="8">
        <f t="shared" si="761"/>
        <v>3.2917858305771559</v>
      </c>
      <c r="F3279" s="6">
        <f t="shared" si="758"/>
        <v>2.6845637583892617E-2</v>
      </c>
      <c r="G3279" s="12">
        <f t="shared" si="762"/>
        <v>-0.12178583057715597</v>
      </c>
    </row>
    <row r="3280" spans="1:7" x14ac:dyDescent="0.3">
      <c r="A3280" s="11" t="s">
        <v>3096</v>
      </c>
      <c r="B3280" s="7">
        <v>59680</v>
      </c>
      <c r="C3280" s="7">
        <v>3.1539999999999999</v>
      </c>
      <c r="D3280" s="2">
        <f t="shared" si="752"/>
        <v>-1.6000000000000014E-2</v>
      </c>
      <c r="E3280" s="8">
        <f t="shared" si="761"/>
        <v>3.2649401929932633</v>
      </c>
      <c r="F3280" s="6">
        <f t="shared" si="758"/>
        <v>2.6845637583892617E-2</v>
      </c>
      <c r="G3280" s="12">
        <f t="shared" si="762"/>
        <v>-0.11094019299326341</v>
      </c>
    </row>
    <row r="3281" spans="1:7" x14ac:dyDescent="0.3">
      <c r="A3281" s="11" t="s">
        <v>3097</v>
      </c>
      <c r="B3281" s="7">
        <v>59700</v>
      </c>
      <c r="C3281" s="7">
        <v>3.1179999999999999</v>
      </c>
      <c r="D3281" s="2">
        <f t="shared" si="752"/>
        <v>-3.6000000000000032E-2</v>
      </c>
      <c r="E3281" s="8">
        <f t="shared" si="761"/>
        <v>3.2380945554093707</v>
      </c>
      <c r="F3281" s="6">
        <f t="shared" si="758"/>
        <v>2.6845637583892617E-2</v>
      </c>
      <c r="G3281" s="12">
        <f t="shared" si="762"/>
        <v>-0.12009455540937086</v>
      </c>
    </row>
    <row r="3282" spans="1:7" x14ac:dyDescent="0.3">
      <c r="A3282" s="11" t="s">
        <v>3098</v>
      </c>
      <c r="B3282" s="7">
        <v>59720</v>
      </c>
      <c r="C3282" s="7">
        <v>3.0910000000000002</v>
      </c>
      <c r="D3282" s="2">
        <f t="shared" si="752"/>
        <v>-2.6999999999999691E-2</v>
      </c>
      <c r="E3282" s="8">
        <f t="shared" si="761"/>
        <v>3.2112489178254782</v>
      </c>
      <c r="F3282" s="6">
        <f t="shared" si="758"/>
        <v>2.6845637583892617E-2</v>
      </c>
      <c r="G3282" s="12">
        <f t="shared" si="762"/>
        <v>-0.12024891782547797</v>
      </c>
    </row>
    <row r="3283" spans="1:7" x14ac:dyDescent="0.3">
      <c r="A3283" s="11" t="s">
        <v>3099</v>
      </c>
      <c r="B3283" s="7">
        <v>59740</v>
      </c>
      <c r="C3283" s="7">
        <v>3.05</v>
      </c>
      <c r="D3283" s="2">
        <f t="shared" si="752"/>
        <v>-4.1000000000000369E-2</v>
      </c>
      <c r="E3283" s="8">
        <f t="shared" si="761"/>
        <v>3.1844032802415856</v>
      </c>
      <c r="F3283" s="6">
        <f t="shared" si="758"/>
        <v>2.6845637583892617E-2</v>
      </c>
      <c r="G3283" s="12">
        <f t="shared" si="762"/>
        <v>-0.13440328024158577</v>
      </c>
    </row>
    <row r="3284" spans="1:7" x14ac:dyDescent="0.3">
      <c r="A3284" s="11" t="s">
        <v>3100</v>
      </c>
      <c r="B3284" s="7">
        <v>59760</v>
      </c>
      <c r="C3284" s="7">
        <v>3.0259999999999998</v>
      </c>
      <c r="D3284" s="2">
        <f t="shared" si="752"/>
        <v>-2.4000000000000021E-2</v>
      </c>
      <c r="E3284" s="8">
        <f t="shared" si="761"/>
        <v>3.157557642657693</v>
      </c>
      <c r="F3284" s="6">
        <f t="shared" si="758"/>
        <v>2.6845637583892617E-2</v>
      </c>
      <c r="G3284" s="12">
        <f t="shared" si="762"/>
        <v>-0.13155764265769321</v>
      </c>
    </row>
    <row r="3285" spans="1:7" x14ac:dyDescent="0.3">
      <c r="A3285" s="11" t="s">
        <v>3101</v>
      </c>
      <c r="B3285" s="7">
        <v>59780</v>
      </c>
      <c r="C3285" s="7">
        <v>3.02</v>
      </c>
      <c r="D3285" s="2">
        <f t="shared" si="752"/>
        <v>-5.9999999999997833E-3</v>
      </c>
      <c r="E3285" s="8">
        <f t="shared" si="761"/>
        <v>3.1307120050738004</v>
      </c>
      <c r="F3285" s="6">
        <f t="shared" si="758"/>
        <v>2.6845637583892617E-2</v>
      </c>
      <c r="G3285" s="12">
        <f t="shared" si="762"/>
        <v>-0.11071200507380041</v>
      </c>
    </row>
    <row r="3286" spans="1:7" x14ac:dyDescent="0.3">
      <c r="A3286" s="11" t="s">
        <v>3102</v>
      </c>
      <c r="B3286" s="7">
        <v>59800</v>
      </c>
      <c r="C3286" s="7">
        <v>2.9990000000000001</v>
      </c>
      <c r="D3286" s="2">
        <f t="shared" si="752"/>
        <v>-2.0999999999999908E-2</v>
      </c>
      <c r="E3286" s="8">
        <f t="shared" si="761"/>
        <v>3.1038663674899079</v>
      </c>
      <c r="F3286" s="6">
        <f t="shared" si="758"/>
        <v>2.6845637583892617E-2</v>
      </c>
      <c r="G3286" s="12">
        <f t="shared" si="762"/>
        <v>-0.10486636748990774</v>
      </c>
    </row>
    <row r="3287" spans="1:7" x14ac:dyDescent="0.3">
      <c r="A3287" s="11" t="s">
        <v>3103</v>
      </c>
      <c r="B3287" s="7">
        <v>59820</v>
      </c>
      <c r="C3287" s="7">
        <v>2.9609999999999999</v>
      </c>
      <c r="D3287" s="2">
        <f t="shared" si="752"/>
        <v>-3.8000000000000256E-2</v>
      </c>
      <c r="E3287" s="8">
        <f t="shared" si="761"/>
        <v>3.0770207299060153</v>
      </c>
      <c r="F3287" s="6">
        <f t="shared" si="758"/>
        <v>2.6845637583892617E-2</v>
      </c>
      <c r="G3287" s="12">
        <f t="shared" si="762"/>
        <v>-0.11602072990601542</v>
      </c>
    </row>
    <row r="3288" spans="1:7" x14ac:dyDescent="0.3">
      <c r="A3288" s="11" t="s">
        <v>3104</v>
      </c>
      <c r="B3288" s="7">
        <v>59840</v>
      </c>
      <c r="C3288" s="7">
        <v>2.9409999999999998</v>
      </c>
      <c r="D3288" s="2">
        <f t="shared" si="752"/>
        <v>-2.0000000000000018E-2</v>
      </c>
      <c r="E3288" s="8">
        <f t="shared" si="761"/>
        <v>3.0501750923221227</v>
      </c>
      <c r="F3288" s="6">
        <f t="shared" si="758"/>
        <v>2.6845637583892617E-2</v>
      </c>
      <c r="G3288" s="12">
        <f t="shared" si="762"/>
        <v>-0.10917509232212286</v>
      </c>
    </row>
    <row r="3289" spans="1:7" x14ac:dyDescent="0.3">
      <c r="A3289" s="11" t="s">
        <v>3105</v>
      </c>
      <c r="B3289" s="7">
        <v>59860</v>
      </c>
      <c r="C3289" s="7">
        <v>2.93</v>
      </c>
      <c r="D3289" s="2">
        <f t="shared" si="752"/>
        <v>-1.0999999999999677E-2</v>
      </c>
      <c r="E3289" s="8">
        <f t="shared" si="761"/>
        <v>3.0233294547382301</v>
      </c>
      <c r="F3289" s="6">
        <f t="shared" si="758"/>
        <v>2.6845637583892617E-2</v>
      </c>
      <c r="G3289" s="12">
        <f t="shared" si="762"/>
        <v>-9.3329454738229956E-2</v>
      </c>
    </row>
    <row r="3290" spans="1:7" x14ac:dyDescent="0.3">
      <c r="A3290" s="11" t="s">
        <v>3106</v>
      </c>
      <c r="B3290" s="7">
        <v>59880</v>
      </c>
      <c r="C3290" s="7">
        <v>2.9260000000000002</v>
      </c>
      <c r="D3290" s="2">
        <f t="shared" si="752"/>
        <v>-4.0000000000000036E-3</v>
      </c>
      <c r="E3290" s="8">
        <f t="shared" si="761"/>
        <v>2.9964838171543375</v>
      </c>
      <c r="F3290" s="6">
        <f t="shared" si="758"/>
        <v>2.6845637583892617E-2</v>
      </c>
      <c r="G3290" s="12">
        <f t="shared" si="762"/>
        <v>-7.048381715433738E-2</v>
      </c>
    </row>
    <row r="3291" spans="1:7" x14ac:dyDescent="0.3">
      <c r="A3291" s="11" t="s">
        <v>3107</v>
      </c>
      <c r="B3291" s="7">
        <v>59900</v>
      </c>
      <c r="C3291" s="7">
        <v>2.923</v>
      </c>
      <c r="D3291" s="2">
        <f t="shared" si="752"/>
        <v>-3.0000000000001137E-3</v>
      </c>
      <c r="E3291" s="8">
        <f t="shared" si="761"/>
        <v>2.969638179570445</v>
      </c>
      <c r="F3291" s="6">
        <f t="shared" si="758"/>
        <v>2.6845637583892617E-2</v>
      </c>
      <c r="G3291" s="12">
        <f t="shared" si="762"/>
        <v>-4.6638179570444915E-2</v>
      </c>
    </row>
    <row r="3292" spans="1:7" x14ac:dyDescent="0.3">
      <c r="A3292" s="11" t="s">
        <v>3108</v>
      </c>
      <c r="B3292" s="7">
        <v>59920</v>
      </c>
      <c r="C3292" s="7">
        <v>2.915</v>
      </c>
      <c r="D3292" s="2">
        <f t="shared" si="752"/>
        <v>-8.0000000000000071E-3</v>
      </c>
      <c r="E3292" s="8">
        <f t="shared" si="761"/>
        <v>2.9427925419865524</v>
      </c>
      <c r="F3292" s="6">
        <f t="shared" si="758"/>
        <v>2.6845637583892617E-2</v>
      </c>
      <c r="G3292" s="12">
        <f t="shared" si="762"/>
        <v>-2.7792541986552344E-2</v>
      </c>
    </row>
    <row r="3293" spans="1:7" x14ac:dyDescent="0.3">
      <c r="A3293" s="11" t="s">
        <v>3109</v>
      </c>
      <c r="B3293" s="7">
        <v>59940</v>
      </c>
      <c r="C3293" s="7">
        <v>2.7850000000000001</v>
      </c>
      <c r="D3293" s="2">
        <f t="shared" si="752"/>
        <v>-0.12999999999999989</v>
      </c>
      <c r="E3293" s="8">
        <f t="shared" si="761"/>
        <v>2.9159469044026598</v>
      </c>
      <c r="F3293" s="6">
        <f t="shared" si="758"/>
        <v>2.6845637583892617E-2</v>
      </c>
      <c r="G3293" s="12">
        <f t="shared" si="762"/>
        <v>-0.13094690440265966</v>
      </c>
    </row>
    <row r="3294" spans="1:7" x14ac:dyDescent="0.3">
      <c r="A3294" s="11" t="s">
        <v>3110</v>
      </c>
      <c r="B3294" s="7">
        <v>59960</v>
      </c>
      <c r="C3294" s="7">
        <v>2.8140000000000001</v>
      </c>
      <c r="D3294" s="2">
        <f t="shared" si="752"/>
        <v>2.8999999999999915E-2</v>
      </c>
      <c r="E3294" s="8">
        <f t="shared" si="761"/>
        <v>2.8891012668187672</v>
      </c>
      <c r="F3294" s="6">
        <f t="shared" si="758"/>
        <v>2.6845637583892617E-2</v>
      </c>
      <c r="G3294" s="12">
        <f t="shared" si="762"/>
        <v>-7.5101266818767165E-2</v>
      </c>
    </row>
    <row r="3295" spans="1:7" x14ac:dyDescent="0.3">
      <c r="A3295" s="13" t="s">
        <v>3111</v>
      </c>
      <c r="B3295" s="24"/>
      <c r="C3295" s="25"/>
      <c r="D3295" s="25"/>
      <c r="E3295" s="25"/>
      <c r="F3295" s="25"/>
      <c r="G3295" s="26"/>
    </row>
    <row r="3296" spans="1:7" x14ac:dyDescent="0.3">
      <c r="A3296" s="11" t="s">
        <v>3112</v>
      </c>
      <c r="B3296" s="7">
        <v>59980</v>
      </c>
      <c r="C3296" s="7">
        <v>2.86</v>
      </c>
      <c r="D3296" s="2">
        <f>C3296-C3294</f>
        <v>4.5999999999999819E-2</v>
      </c>
      <c r="E3296" s="8">
        <f>E3294-F3294</f>
        <v>2.8622556292348746</v>
      </c>
      <c r="F3296" s="6">
        <f>F3294</f>
        <v>2.6845637583892617E-2</v>
      </c>
      <c r="G3296" s="12">
        <f t="shared" si="762"/>
        <v>-2.2556292348747675E-3</v>
      </c>
    </row>
    <row r="3297" spans="1:26" x14ac:dyDescent="0.3">
      <c r="A3297" s="11" t="s">
        <v>3113</v>
      </c>
      <c r="B3297" s="7">
        <v>60000</v>
      </c>
      <c r="C3297" s="7">
        <v>2.82</v>
      </c>
      <c r="D3297" s="2">
        <f t="shared" si="752"/>
        <v>-4.0000000000000036E-2</v>
      </c>
      <c r="E3297" s="8">
        <f t="shared" si="761"/>
        <v>2.8354099916509821</v>
      </c>
      <c r="F3297" s="6">
        <f t="shared" si="758"/>
        <v>2.6845637583892617E-2</v>
      </c>
      <c r="G3297" s="12">
        <f t="shared" si="762"/>
        <v>-1.5409991650982224E-2</v>
      </c>
    </row>
    <row r="3298" spans="1:26" x14ac:dyDescent="0.3">
      <c r="A3298" s="11" t="s">
        <v>3114</v>
      </c>
      <c r="B3298" s="7">
        <v>60020</v>
      </c>
      <c r="C3298" s="7">
        <v>2.7770000000000001</v>
      </c>
      <c r="D3298" s="2">
        <f t="shared" si="752"/>
        <v>-4.2999999999999705E-2</v>
      </c>
      <c r="E3298" s="8">
        <f t="shared" si="761"/>
        <v>2.8085643540670895</v>
      </c>
      <c r="F3298" s="6">
        <f t="shared" si="758"/>
        <v>2.6845637583892617E-2</v>
      </c>
      <c r="G3298" s="12">
        <f t="shared" si="762"/>
        <v>-3.1564354067089351E-2</v>
      </c>
    </row>
    <row r="3299" spans="1:26" x14ac:dyDescent="0.3">
      <c r="A3299" s="11" t="s">
        <v>3115</v>
      </c>
      <c r="B3299" s="7">
        <v>60040</v>
      </c>
      <c r="C3299" s="7">
        <v>2.738</v>
      </c>
      <c r="D3299" s="2">
        <f t="shared" si="752"/>
        <v>-3.9000000000000146E-2</v>
      </c>
      <c r="E3299" s="8">
        <f t="shared" si="761"/>
        <v>2.7817187164831969</v>
      </c>
      <c r="F3299" s="6">
        <f t="shared" si="758"/>
        <v>2.6845637583892617E-2</v>
      </c>
      <c r="G3299" s="12">
        <f t="shared" si="762"/>
        <v>-4.3718716483196918E-2</v>
      </c>
    </row>
    <row r="3300" spans="1:26" x14ac:dyDescent="0.3">
      <c r="A3300" s="11" t="s">
        <v>3116</v>
      </c>
      <c r="B3300" s="7">
        <v>60060</v>
      </c>
      <c r="C3300" s="7">
        <v>2.6920000000000002</v>
      </c>
      <c r="D3300" s="2">
        <f t="shared" si="752"/>
        <v>-4.5999999999999819E-2</v>
      </c>
      <c r="E3300" s="8">
        <f t="shared" si="761"/>
        <v>2.7548730788993043</v>
      </c>
      <c r="F3300" s="6">
        <f t="shared" si="758"/>
        <v>2.6845637583892617E-2</v>
      </c>
      <c r="G3300" s="12">
        <f t="shared" si="762"/>
        <v>-6.2873078899304158E-2</v>
      </c>
    </row>
    <row r="3301" spans="1:26" x14ac:dyDescent="0.3">
      <c r="A3301" s="11" t="s">
        <v>3117</v>
      </c>
      <c r="B3301" s="7">
        <v>60080</v>
      </c>
      <c r="C3301" s="7">
        <v>2.6549999999999998</v>
      </c>
      <c r="D3301" s="2">
        <f t="shared" si="752"/>
        <v>-3.7000000000000366E-2</v>
      </c>
      <c r="E3301" s="8">
        <f t="shared" si="761"/>
        <v>2.7280274413154117</v>
      </c>
      <c r="F3301" s="6">
        <f t="shared" si="758"/>
        <v>2.6845637583892617E-2</v>
      </c>
      <c r="G3301" s="12">
        <f t="shared" si="762"/>
        <v>-7.3027441315411945E-2</v>
      </c>
    </row>
    <row r="3302" spans="1:26" x14ac:dyDescent="0.3">
      <c r="A3302" s="11" t="s">
        <v>3118</v>
      </c>
      <c r="B3302" s="7">
        <v>60100</v>
      </c>
      <c r="C3302" s="7">
        <v>2.6379999999999999</v>
      </c>
      <c r="D3302" s="2">
        <f t="shared" si="752"/>
        <v>-1.6999999999999904E-2</v>
      </c>
      <c r="E3302" s="8">
        <f t="shared" si="761"/>
        <v>2.7011818037315192</v>
      </c>
      <c r="F3302" s="6">
        <f t="shared" si="758"/>
        <v>2.6845637583892617E-2</v>
      </c>
      <c r="G3302" s="12">
        <f t="shared" si="762"/>
        <v>-6.318180373151927E-2</v>
      </c>
    </row>
    <row r="3303" spans="1:26" x14ac:dyDescent="0.3">
      <c r="A3303" s="11" t="s">
        <v>3119</v>
      </c>
      <c r="B3303" s="7">
        <v>60120</v>
      </c>
      <c r="C3303" s="7">
        <v>2.63</v>
      </c>
      <c r="D3303" s="2">
        <f t="shared" si="752"/>
        <v>-8.0000000000000071E-3</v>
      </c>
      <c r="E3303" s="8">
        <f t="shared" si="761"/>
        <v>2.6743361661476266</v>
      </c>
      <c r="F3303" s="6">
        <f t="shared" si="758"/>
        <v>2.6845637583892617E-2</v>
      </c>
      <c r="G3303" s="12">
        <f t="shared" si="762"/>
        <v>-4.4336166147626699E-2</v>
      </c>
    </row>
    <row r="3304" spans="1:26" x14ac:dyDescent="0.3">
      <c r="A3304" s="11" t="s">
        <v>3120</v>
      </c>
      <c r="B3304" s="7">
        <v>60140</v>
      </c>
      <c r="C3304" s="7">
        <v>2.621</v>
      </c>
      <c r="D3304" s="2">
        <f t="shared" si="752"/>
        <v>-8.999999999999897E-3</v>
      </c>
      <c r="E3304" s="8">
        <f t="shared" si="761"/>
        <v>2.647490528563734</v>
      </c>
      <c r="F3304" s="6">
        <f t="shared" si="758"/>
        <v>2.6845637583892617E-2</v>
      </c>
      <c r="G3304" s="12">
        <f t="shared" si="762"/>
        <v>-2.6490528563734017E-2</v>
      </c>
    </row>
    <row r="3305" spans="1:26" x14ac:dyDescent="0.3">
      <c r="A3305" s="11" t="s">
        <v>3121</v>
      </c>
      <c r="B3305" s="7">
        <v>60160</v>
      </c>
      <c r="C3305" s="7">
        <v>2.5990000000000002</v>
      </c>
      <c r="D3305" s="2">
        <f t="shared" si="752"/>
        <v>-2.1999999999999797E-2</v>
      </c>
      <c r="E3305" s="8">
        <f t="shared" si="761"/>
        <v>2.6206448909798414</v>
      </c>
      <c r="F3305" s="6">
        <f t="shared" si="758"/>
        <v>2.6845637583892617E-2</v>
      </c>
      <c r="G3305" s="12">
        <f t="shared" si="762"/>
        <v>-2.1644890979841236E-2</v>
      </c>
    </row>
    <row r="3306" spans="1:26" x14ac:dyDescent="0.3">
      <c r="A3306" s="11" t="s">
        <v>3122</v>
      </c>
      <c r="B3306" s="7">
        <v>60180</v>
      </c>
      <c r="C3306" s="7">
        <v>2.5939999999999999</v>
      </c>
      <c r="D3306" s="2">
        <f t="shared" si="752"/>
        <v>-5.0000000000003375E-3</v>
      </c>
      <c r="E3306" s="8">
        <f t="shared" si="761"/>
        <v>2.5937992533959489</v>
      </c>
      <c r="F3306" s="6">
        <f t="shared" si="758"/>
        <v>2.6845637583892617E-2</v>
      </c>
      <c r="G3306" s="12">
        <f t="shared" si="762"/>
        <v>2.0074660405100531E-4</v>
      </c>
    </row>
    <row r="3307" spans="1:26" x14ac:dyDescent="0.3">
      <c r="A3307" s="21"/>
      <c r="B3307" s="22"/>
      <c r="C3307" s="22"/>
      <c r="D3307" s="22"/>
      <c r="E3307" s="22"/>
      <c r="F3307" s="22"/>
      <c r="G3307" s="23"/>
      <c r="H3307" s="4" t="s">
        <v>47</v>
      </c>
      <c r="J3307" s="4"/>
      <c r="O3307" s="3">
        <f>1/O3308</f>
        <v>6.5659881812212733E-4</v>
      </c>
      <c r="P3307" s="3">
        <f>O3307*20</f>
        <v>1.3131976362442547E-2</v>
      </c>
      <c r="Q3307" s="3" t="s">
        <v>3202</v>
      </c>
      <c r="R3307" s="3">
        <v>1523</v>
      </c>
    </row>
    <row r="3308" spans="1:26" x14ac:dyDescent="0.3">
      <c r="A3308" s="11" t="s">
        <v>3123</v>
      </c>
      <c r="B3308" s="7">
        <v>60200</v>
      </c>
      <c r="C3308" s="7">
        <v>2.6040000000000001</v>
      </c>
      <c r="D3308" s="2">
        <f>C3308-C3306</f>
        <v>1.0000000000000231E-2</v>
      </c>
      <c r="E3308" s="8">
        <f>E3306+F3308</f>
        <v>2.6069312297583913</v>
      </c>
      <c r="F3308" s="6">
        <f>P3307</f>
        <v>1.3131976362442547E-2</v>
      </c>
      <c r="G3308" s="12">
        <f>C3308-E3308</f>
        <v>-2.9312297583912184E-3</v>
      </c>
      <c r="H3308" s="3">
        <f>B3306</f>
        <v>60180</v>
      </c>
      <c r="I3308" s="3">
        <f>B3324</f>
        <v>60520</v>
      </c>
      <c r="J3308" s="3">
        <f>I3308-H3308</f>
        <v>340</v>
      </c>
      <c r="K3308" s="5">
        <f>E3306</f>
        <v>2.5937992533959489</v>
      </c>
      <c r="L3308" s="3">
        <f>C3324</f>
        <v>2.8170000000000002</v>
      </c>
      <c r="M3308" s="5">
        <f>L3308-K3308</f>
        <v>0.22320074660405131</v>
      </c>
      <c r="N3308" s="3">
        <f>J3308/M3308</f>
        <v>1523.2923956260129</v>
      </c>
      <c r="O3308" s="3">
        <v>1523</v>
      </c>
      <c r="Z3308" s="53"/>
    </row>
    <row r="3309" spans="1:26" x14ac:dyDescent="0.3">
      <c r="A3309" s="11" t="s">
        <v>3124</v>
      </c>
      <c r="B3309" s="7">
        <v>60220</v>
      </c>
      <c r="C3309" s="7">
        <v>2.6160000000000001</v>
      </c>
      <c r="D3309" s="2">
        <f t="shared" ref="D3309:D3382" si="763">C3309-C3308</f>
        <v>1.2000000000000011E-2</v>
      </c>
      <c r="E3309" s="8">
        <f>E3308+F3308</f>
        <v>2.6200632061208338</v>
      </c>
      <c r="F3309" s="6">
        <f t="shared" ref="F3309" si="764">F3308</f>
        <v>1.3131976362442547E-2</v>
      </c>
      <c r="G3309" s="12">
        <f t="shared" ref="G3309" si="765">C3309-E3309</f>
        <v>-4.0632061208336623E-3</v>
      </c>
    </row>
    <row r="3310" spans="1:26" x14ac:dyDescent="0.3">
      <c r="A3310" s="11" t="s">
        <v>3125</v>
      </c>
      <c r="B3310" s="7">
        <v>60240</v>
      </c>
      <c r="C3310" s="7">
        <v>2.6360000000000001</v>
      </c>
      <c r="D3310" s="2">
        <f t="shared" si="763"/>
        <v>2.0000000000000018E-2</v>
      </c>
      <c r="E3310" s="8">
        <f t="shared" ref="E3310:E3342" si="766">E3309+F3309</f>
        <v>2.6331951824832762</v>
      </c>
      <c r="F3310" s="6">
        <f t="shared" si="758"/>
        <v>1.3131976362442547E-2</v>
      </c>
      <c r="G3310" s="12">
        <f t="shared" si="762"/>
        <v>2.8048175167239009E-3</v>
      </c>
    </row>
    <row r="3311" spans="1:26" x14ac:dyDescent="0.3">
      <c r="A3311" s="11" t="s">
        <v>3126</v>
      </c>
      <c r="B3311" s="7">
        <v>60260</v>
      </c>
      <c r="C3311" s="7">
        <v>2.653</v>
      </c>
      <c r="D3311" s="2">
        <f t="shared" si="763"/>
        <v>1.6999999999999904E-2</v>
      </c>
      <c r="E3311" s="8">
        <f t="shared" si="766"/>
        <v>2.6463271588457187</v>
      </c>
      <c r="F3311" s="6">
        <f t="shared" si="758"/>
        <v>1.3131976362442547E-2</v>
      </c>
      <c r="G3311" s="12">
        <f t="shared" si="762"/>
        <v>6.6728411542813504E-3</v>
      </c>
    </row>
    <row r="3312" spans="1:26" x14ac:dyDescent="0.3">
      <c r="A3312" s="11" t="s">
        <v>3127</v>
      </c>
      <c r="B3312" s="7">
        <v>60280</v>
      </c>
      <c r="C3312" s="7">
        <v>2.6549999999999998</v>
      </c>
      <c r="D3312" s="2">
        <f t="shared" si="763"/>
        <v>1.9999999999997797E-3</v>
      </c>
      <c r="E3312" s="8">
        <f t="shared" si="766"/>
        <v>2.6594591352081611</v>
      </c>
      <c r="F3312" s="6">
        <f t="shared" si="758"/>
        <v>1.3131976362442547E-2</v>
      </c>
      <c r="G3312" s="12">
        <f t="shared" si="762"/>
        <v>-4.4591352081613245E-3</v>
      </c>
    </row>
    <row r="3313" spans="1:18" x14ac:dyDescent="0.3">
      <c r="A3313" s="11" t="s">
        <v>3128</v>
      </c>
      <c r="B3313" s="7">
        <v>60300</v>
      </c>
      <c r="C3313" s="7">
        <v>2.6339999999999999</v>
      </c>
      <c r="D3313" s="2">
        <f t="shared" si="763"/>
        <v>-2.0999999999999908E-2</v>
      </c>
      <c r="E3313" s="8">
        <f t="shared" si="766"/>
        <v>2.6725911115706036</v>
      </c>
      <c r="F3313" s="6">
        <f t="shared" si="758"/>
        <v>1.3131976362442547E-2</v>
      </c>
      <c r="G3313" s="12">
        <f t="shared" si="762"/>
        <v>-3.8591111570603687E-2</v>
      </c>
    </row>
    <row r="3314" spans="1:18" x14ac:dyDescent="0.3">
      <c r="A3314" s="11" t="s">
        <v>3129</v>
      </c>
      <c r="B3314" s="7">
        <v>60320</v>
      </c>
      <c r="C3314" s="7">
        <v>2.6379999999999999</v>
      </c>
      <c r="D3314" s="2">
        <f t="shared" si="763"/>
        <v>4.0000000000000036E-3</v>
      </c>
      <c r="E3314" s="8">
        <f t="shared" si="766"/>
        <v>2.685723087933046</v>
      </c>
      <c r="F3314" s="6">
        <f t="shared" si="758"/>
        <v>1.3131976362442547E-2</v>
      </c>
      <c r="G3314" s="12">
        <f t="shared" si="762"/>
        <v>-4.7723087933046138E-2</v>
      </c>
    </row>
    <row r="3315" spans="1:18" x14ac:dyDescent="0.3">
      <c r="A3315" s="11" t="s">
        <v>3130</v>
      </c>
      <c r="B3315" s="7">
        <v>60340</v>
      </c>
      <c r="C3315" s="7">
        <v>2.641</v>
      </c>
      <c r="D3315" s="2">
        <f t="shared" si="763"/>
        <v>3.0000000000001137E-3</v>
      </c>
      <c r="E3315" s="8">
        <f t="shared" si="766"/>
        <v>2.6988550642954885</v>
      </c>
      <c r="F3315" s="6">
        <f t="shared" si="758"/>
        <v>1.3131976362442547E-2</v>
      </c>
      <c r="G3315" s="12">
        <f t="shared" si="762"/>
        <v>-5.7855064295488479E-2</v>
      </c>
    </row>
    <row r="3316" spans="1:18" x14ac:dyDescent="0.3">
      <c r="A3316" s="11" t="s">
        <v>3131</v>
      </c>
      <c r="B3316" s="7">
        <v>60360</v>
      </c>
      <c r="C3316" s="7">
        <v>2.6360000000000001</v>
      </c>
      <c r="D3316" s="2">
        <f t="shared" si="763"/>
        <v>-4.9999999999998934E-3</v>
      </c>
      <c r="E3316" s="8">
        <f t="shared" si="766"/>
        <v>2.7119870406579309</v>
      </c>
      <c r="F3316" s="6">
        <f t="shared" si="758"/>
        <v>1.3131976362442547E-2</v>
      </c>
      <c r="G3316" s="12">
        <f t="shared" si="762"/>
        <v>-7.5987040657930827E-2</v>
      </c>
    </row>
    <row r="3317" spans="1:18" x14ac:dyDescent="0.3">
      <c r="A3317" s="11" t="s">
        <v>3132</v>
      </c>
      <c r="B3317" s="7">
        <v>60380</v>
      </c>
      <c r="C3317" s="7">
        <v>2.6539999999999999</v>
      </c>
      <c r="D3317" s="2">
        <f t="shared" si="763"/>
        <v>1.7999999999999794E-2</v>
      </c>
      <c r="E3317" s="8">
        <f t="shared" si="766"/>
        <v>2.7251190170203734</v>
      </c>
      <c r="F3317" s="6">
        <f t="shared" si="758"/>
        <v>1.3131976362442547E-2</v>
      </c>
      <c r="G3317" s="12">
        <f t="shared" si="762"/>
        <v>-7.1119017020373487E-2</v>
      </c>
    </row>
    <row r="3318" spans="1:18" x14ac:dyDescent="0.3">
      <c r="A3318" s="11" t="s">
        <v>3133</v>
      </c>
      <c r="B3318" s="7">
        <v>60400</v>
      </c>
      <c r="C3318" s="7">
        <v>2.67</v>
      </c>
      <c r="D3318" s="2">
        <f t="shared" si="763"/>
        <v>1.6000000000000014E-2</v>
      </c>
      <c r="E3318" s="8">
        <f t="shared" si="766"/>
        <v>2.7382509933828159</v>
      </c>
      <c r="F3318" s="6">
        <f t="shared" si="758"/>
        <v>1.3131976362442547E-2</v>
      </c>
      <c r="G3318" s="12">
        <f t="shared" si="762"/>
        <v>-6.8250993382815928E-2</v>
      </c>
    </row>
    <row r="3319" spans="1:18" x14ac:dyDescent="0.3">
      <c r="A3319" s="11" t="s">
        <v>3134</v>
      </c>
      <c r="B3319" s="7">
        <v>60420</v>
      </c>
      <c r="C3319" s="7">
        <v>2.6829999999999998</v>
      </c>
      <c r="D3319" s="2">
        <f t="shared" si="763"/>
        <v>1.2999999999999901E-2</v>
      </c>
      <c r="E3319" s="8">
        <f t="shared" si="766"/>
        <v>2.7513829697452583</v>
      </c>
      <c r="F3319" s="6">
        <f t="shared" si="758"/>
        <v>1.3131976362442547E-2</v>
      </c>
      <c r="G3319" s="12">
        <f t="shared" si="762"/>
        <v>-6.8382969745258482E-2</v>
      </c>
    </row>
    <row r="3320" spans="1:18" x14ac:dyDescent="0.3">
      <c r="A3320" s="11" t="s">
        <v>3135</v>
      </c>
      <c r="B3320" s="7">
        <v>60440</v>
      </c>
      <c r="C3320" s="7">
        <v>2.6970000000000001</v>
      </c>
      <c r="D3320" s="2">
        <f t="shared" si="763"/>
        <v>1.4000000000000234E-2</v>
      </c>
      <c r="E3320" s="8">
        <f t="shared" si="766"/>
        <v>2.7645149461077008</v>
      </c>
      <c r="F3320" s="6">
        <f t="shared" si="758"/>
        <v>1.3131976362442547E-2</v>
      </c>
      <c r="G3320" s="12">
        <f t="shared" si="762"/>
        <v>-6.7514946107700702E-2</v>
      </c>
    </row>
    <row r="3321" spans="1:18" x14ac:dyDescent="0.3">
      <c r="A3321" s="11" t="s">
        <v>3136</v>
      </c>
      <c r="B3321" s="7">
        <v>60460</v>
      </c>
      <c r="C3321" s="7">
        <v>2.7229999999999999</v>
      </c>
      <c r="D3321" s="2">
        <f t="shared" si="763"/>
        <v>2.5999999999999801E-2</v>
      </c>
      <c r="E3321" s="8">
        <f t="shared" si="766"/>
        <v>2.7776469224701432</v>
      </c>
      <c r="F3321" s="6">
        <f t="shared" si="758"/>
        <v>1.3131976362442547E-2</v>
      </c>
      <c r="G3321" s="12">
        <f t="shared" si="762"/>
        <v>-5.4646922470143355E-2</v>
      </c>
    </row>
    <row r="3322" spans="1:18" x14ac:dyDescent="0.3">
      <c r="A3322" s="11" t="s">
        <v>3137</v>
      </c>
      <c r="B3322" s="7">
        <v>60480</v>
      </c>
      <c r="C3322" s="7">
        <v>2.754</v>
      </c>
      <c r="D3322" s="2">
        <f t="shared" si="763"/>
        <v>3.1000000000000139E-2</v>
      </c>
      <c r="E3322" s="8">
        <f t="shared" si="766"/>
        <v>2.7907788988325857</v>
      </c>
      <c r="F3322" s="6">
        <f t="shared" si="758"/>
        <v>1.3131976362442547E-2</v>
      </c>
      <c r="G3322" s="12">
        <f t="shared" si="762"/>
        <v>-3.6778898832585671E-2</v>
      </c>
    </row>
    <row r="3323" spans="1:18" x14ac:dyDescent="0.3">
      <c r="A3323" s="11" t="s">
        <v>3138</v>
      </c>
      <c r="B3323" s="7">
        <v>60500</v>
      </c>
      <c r="C3323" s="7">
        <v>2.7770000000000001</v>
      </c>
      <c r="D3323" s="2">
        <f t="shared" si="763"/>
        <v>2.3000000000000131E-2</v>
      </c>
      <c r="E3323" s="8">
        <f t="shared" si="766"/>
        <v>2.8039108751950281</v>
      </c>
      <c r="F3323" s="6">
        <f t="shared" ref="F3323:F3386" si="767">F3322</f>
        <v>1.3131976362442547E-2</v>
      </c>
      <c r="G3323" s="12">
        <f t="shared" si="762"/>
        <v>-2.6910875195027995E-2</v>
      </c>
    </row>
    <row r="3324" spans="1:18" x14ac:dyDescent="0.3">
      <c r="A3324" s="11" t="s">
        <v>3139</v>
      </c>
      <c r="B3324" s="7">
        <v>60520</v>
      </c>
      <c r="C3324" s="7">
        <v>2.8170000000000002</v>
      </c>
      <c r="D3324" s="2">
        <f>C3324-C3323</f>
        <v>4.0000000000000036E-2</v>
      </c>
      <c r="E3324" s="8">
        <f>E3323+F3323</f>
        <v>2.8170428515574706</v>
      </c>
      <c r="F3324" s="6">
        <f>F3323</f>
        <v>1.3131976362442547E-2</v>
      </c>
      <c r="G3324" s="12">
        <f t="shared" si="762"/>
        <v>-4.2851557470413582E-5</v>
      </c>
    </row>
    <row r="3325" spans="1:18" x14ac:dyDescent="0.3">
      <c r="A3325" s="6" t="s">
        <v>3263</v>
      </c>
      <c r="B3325" s="65" t="s">
        <v>3194</v>
      </c>
      <c r="C3325" s="65"/>
      <c r="D3325" s="65"/>
      <c r="E3325" s="65"/>
      <c r="F3325" s="65"/>
      <c r="G3325" s="66"/>
      <c r="H3325" s="4" t="s">
        <v>3276</v>
      </c>
      <c r="J3325" s="4"/>
      <c r="O3325" s="3">
        <f>1/O3326</f>
        <v>4.2372881355932203E-3</v>
      </c>
      <c r="P3325" s="3">
        <f>O3325*20</f>
        <v>8.4745762711864403E-2</v>
      </c>
      <c r="Q3325" s="3" t="s">
        <v>3202</v>
      </c>
      <c r="R3325" s="3">
        <v>236</v>
      </c>
    </row>
    <row r="3326" spans="1:18" x14ac:dyDescent="0.3">
      <c r="A3326" s="11" t="s">
        <v>3140</v>
      </c>
      <c r="B3326" s="7">
        <v>60540</v>
      </c>
      <c r="C3326" s="7">
        <v>2.91</v>
      </c>
      <c r="D3326" s="2">
        <f>C3326-C3324</f>
        <v>9.2999999999999972E-2</v>
      </c>
      <c r="E3326" s="8">
        <f>E3324+F3326</f>
        <v>2.9017886142693348</v>
      </c>
      <c r="F3326" s="6">
        <f>P3325</f>
        <v>8.4745762711864403E-2</v>
      </c>
      <c r="G3326" s="12">
        <f>C3326-E3326</f>
        <v>8.211385730665377E-3</v>
      </c>
      <c r="H3326" s="3">
        <f>B3324</f>
        <v>60520</v>
      </c>
      <c r="I3326" s="3">
        <f>B3342</f>
        <v>60820</v>
      </c>
      <c r="J3326" s="3">
        <f>I3326-H3326</f>
        <v>300</v>
      </c>
      <c r="K3326" s="5">
        <f>E3324</f>
        <v>2.8170428515574706</v>
      </c>
      <c r="L3326" s="3">
        <f>C3342</f>
        <v>4.09</v>
      </c>
      <c r="M3326" s="5">
        <f>L3326-K3326</f>
        <v>1.2729571484425293</v>
      </c>
      <c r="N3326" s="3">
        <f>J3326/M3326</f>
        <v>235.6717194817216</v>
      </c>
      <c r="O3326" s="3">
        <v>236</v>
      </c>
    </row>
    <row r="3327" spans="1:18" x14ac:dyDescent="0.3">
      <c r="A3327" s="11" t="s">
        <v>3141</v>
      </c>
      <c r="B3327" s="7">
        <v>60560</v>
      </c>
      <c r="C3327" s="7">
        <v>3.0449999999999999</v>
      </c>
      <c r="D3327" s="2">
        <f t="shared" si="763"/>
        <v>0.13499999999999979</v>
      </c>
      <c r="E3327" s="8">
        <f>E3326+F3326</f>
        <v>2.9865343769811989</v>
      </c>
      <c r="F3327" s="6">
        <f t="shared" ref="F3327" si="768">F3326</f>
        <v>8.4745762711864403E-2</v>
      </c>
      <c r="G3327" s="12">
        <f t="shared" ref="G3327" si="769">C3327-E3327</f>
        <v>5.8465623018800983E-2</v>
      </c>
    </row>
    <row r="3328" spans="1:18" x14ac:dyDescent="0.3">
      <c r="A3328" s="11" t="s">
        <v>3275</v>
      </c>
      <c r="B3328" s="62" t="s">
        <v>3197</v>
      </c>
      <c r="C3328" s="63"/>
      <c r="D3328" s="63"/>
      <c r="E3328" s="63"/>
      <c r="F3328" s="63"/>
      <c r="G3328" s="64"/>
    </row>
    <row r="3329" spans="1:18" x14ac:dyDescent="0.3">
      <c r="A3329" s="11" t="s">
        <v>3142</v>
      </c>
      <c r="B3329" s="7">
        <v>60580</v>
      </c>
      <c r="C3329" s="7">
        <v>3.198</v>
      </c>
      <c r="D3329" s="2">
        <f>C3329-C3327</f>
        <v>0.15300000000000002</v>
      </c>
      <c r="E3329" s="8">
        <f>E3327+F3327</f>
        <v>3.0712801396930631</v>
      </c>
      <c r="F3329" s="6">
        <f>F3327</f>
        <v>8.4745762711864403E-2</v>
      </c>
      <c r="G3329" s="12">
        <f t="shared" si="762"/>
        <v>0.12671986030693683</v>
      </c>
    </row>
    <row r="3330" spans="1:18" x14ac:dyDescent="0.3">
      <c r="A3330" s="11" t="s">
        <v>3143</v>
      </c>
      <c r="B3330" s="7">
        <v>60600</v>
      </c>
      <c r="C3330" s="7">
        <v>3.3559999999999999</v>
      </c>
      <c r="D3330" s="2">
        <f t="shared" si="763"/>
        <v>0.15799999999999992</v>
      </c>
      <c r="E3330" s="8">
        <f t="shared" si="766"/>
        <v>3.1560259024049273</v>
      </c>
      <c r="F3330" s="6">
        <f t="shared" si="767"/>
        <v>8.4745762711864403E-2</v>
      </c>
      <c r="G3330" s="12">
        <f t="shared" si="762"/>
        <v>0.19997409759507256</v>
      </c>
    </row>
    <row r="3331" spans="1:18" x14ac:dyDescent="0.3">
      <c r="A3331" s="11" t="s">
        <v>3144</v>
      </c>
      <c r="B3331" s="7">
        <v>60620</v>
      </c>
      <c r="C3331" s="7">
        <v>3.5059999999999998</v>
      </c>
      <c r="D3331" s="2">
        <f t="shared" si="763"/>
        <v>0.14999999999999991</v>
      </c>
      <c r="E3331" s="8">
        <f t="shared" si="766"/>
        <v>3.2407716651167915</v>
      </c>
      <c r="F3331" s="6">
        <f t="shared" si="767"/>
        <v>8.4745762711864403E-2</v>
      </c>
      <c r="G3331" s="12">
        <f t="shared" si="762"/>
        <v>0.26522833488320829</v>
      </c>
    </row>
    <row r="3332" spans="1:18" x14ac:dyDescent="0.3">
      <c r="A3332" s="11" t="s">
        <v>3145</v>
      </c>
      <c r="B3332" s="7">
        <v>60640</v>
      </c>
      <c r="C3332" s="7">
        <v>3.58</v>
      </c>
      <c r="D3332" s="2">
        <f t="shared" si="763"/>
        <v>7.4000000000000288E-2</v>
      </c>
      <c r="E3332" s="8">
        <f t="shared" si="766"/>
        <v>3.3255174278286557</v>
      </c>
      <c r="F3332" s="6">
        <f t="shared" si="767"/>
        <v>8.4745762711864403E-2</v>
      </c>
      <c r="G3332" s="12">
        <f t="shared" si="762"/>
        <v>0.2544825721713444</v>
      </c>
    </row>
    <row r="3333" spans="1:18" x14ac:dyDescent="0.3">
      <c r="A3333" s="11" t="s">
        <v>3146</v>
      </c>
      <c r="B3333" s="7">
        <v>60660</v>
      </c>
      <c r="C3333" s="7">
        <v>3.5990000000000002</v>
      </c>
      <c r="D3333" s="2">
        <f>C3333-C3332</f>
        <v>1.9000000000000128E-2</v>
      </c>
      <c r="E3333" s="8">
        <f>E3332+F3333</f>
        <v>3.4102631905405199</v>
      </c>
      <c r="F3333" s="6">
        <f>F3332</f>
        <v>8.4745762711864403E-2</v>
      </c>
      <c r="G3333" s="12">
        <f>C3333-E3333</f>
        <v>0.18873680945948035</v>
      </c>
      <c r="K3333" s="5"/>
      <c r="M3333" s="5"/>
    </row>
    <row r="3334" spans="1:18" x14ac:dyDescent="0.3">
      <c r="A3334" s="11" t="s">
        <v>3274</v>
      </c>
      <c r="B3334" s="62" t="s">
        <v>3222</v>
      </c>
      <c r="C3334" s="63"/>
      <c r="D3334" s="63"/>
      <c r="E3334" s="63"/>
      <c r="F3334" s="63"/>
      <c r="G3334" s="64"/>
      <c r="K3334" s="5"/>
      <c r="M3334" s="5"/>
    </row>
    <row r="3335" spans="1:18" x14ac:dyDescent="0.3">
      <c r="A3335" s="11" t="s">
        <v>3147</v>
      </c>
      <c r="B3335" s="7">
        <v>60680</v>
      </c>
      <c r="C3335" s="7">
        <v>3.6179999999999999</v>
      </c>
      <c r="D3335" s="2">
        <f>C3335-C3333</f>
        <v>1.8999999999999684E-2</v>
      </c>
      <c r="E3335" s="8">
        <f>E3333+F3333</f>
        <v>3.495008953252384</v>
      </c>
      <c r="F3335" s="6">
        <f t="shared" ref="F3335" si="770">F3333</f>
        <v>8.4745762711864403E-2</v>
      </c>
      <c r="G3335" s="12">
        <f t="shared" ref="G3335" si="771">C3335-E3335</f>
        <v>0.12299104674761585</v>
      </c>
      <c r="K3335" s="5"/>
    </row>
    <row r="3336" spans="1:18" x14ac:dyDescent="0.3">
      <c r="A3336" s="11" t="s">
        <v>3148</v>
      </c>
      <c r="B3336" s="7">
        <v>60700</v>
      </c>
      <c r="C3336" s="7">
        <v>3.6779999999999999</v>
      </c>
      <c r="D3336" s="2">
        <f t="shared" si="763"/>
        <v>6.0000000000000053E-2</v>
      </c>
      <c r="E3336" s="8">
        <f t="shared" si="766"/>
        <v>3.5797547159642482</v>
      </c>
      <c r="F3336" s="6">
        <f t="shared" si="767"/>
        <v>8.4745762711864403E-2</v>
      </c>
      <c r="G3336" s="12">
        <f t="shared" si="762"/>
        <v>9.8245284035751723E-2</v>
      </c>
    </row>
    <row r="3337" spans="1:18" x14ac:dyDescent="0.3">
      <c r="A3337" s="11" t="s">
        <v>3149</v>
      </c>
      <c r="B3337" s="7">
        <v>60720</v>
      </c>
      <c r="C3337" s="7">
        <v>3.7629999999999999</v>
      </c>
      <c r="D3337" s="2">
        <f>C3337-C3336</f>
        <v>8.4999999999999964E-2</v>
      </c>
      <c r="E3337" s="8">
        <f>E3336+F3336</f>
        <v>3.6645004786761124</v>
      </c>
      <c r="F3337" s="6">
        <f>F3336</f>
        <v>8.4745762711864403E-2</v>
      </c>
      <c r="G3337" s="12">
        <f t="shared" si="762"/>
        <v>9.8499521323887507E-2</v>
      </c>
    </row>
    <row r="3338" spans="1:18" x14ac:dyDescent="0.3">
      <c r="A3338" s="11" t="s">
        <v>3150</v>
      </c>
      <c r="B3338" s="7">
        <v>60740</v>
      </c>
      <c r="C3338" s="7">
        <v>3.8420000000000001</v>
      </c>
      <c r="D3338" s="2">
        <f t="shared" si="763"/>
        <v>7.9000000000000181E-2</v>
      </c>
      <c r="E3338" s="8">
        <f t="shared" si="766"/>
        <v>3.7492462413879766</v>
      </c>
      <c r="F3338" s="6">
        <f t="shared" si="767"/>
        <v>8.4745762711864403E-2</v>
      </c>
      <c r="G3338" s="12">
        <f t="shared" si="762"/>
        <v>9.2753758612023507E-2</v>
      </c>
    </row>
    <row r="3339" spans="1:18" x14ac:dyDescent="0.3">
      <c r="A3339" s="11" t="s">
        <v>3151</v>
      </c>
      <c r="B3339" s="7">
        <v>60760</v>
      </c>
      <c r="C3339" s="7">
        <v>3.9329999999999998</v>
      </c>
      <c r="D3339" s="2">
        <f t="shared" si="763"/>
        <v>9.0999999999999748E-2</v>
      </c>
      <c r="E3339" s="8">
        <f t="shared" si="766"/>
        <v>3.8339920040998408</v>
      </c>
      <c r="F3339" s="6">
        <f t="shared" si="767"/>
        <v>8.4745762711864403E-2</v>
      </c>
      <c r="G3339" s="12">
        <f t="shared" si="762"/>
        <v>9.9007995900159074E-2</v>
      </c>
    </row>
    <row r="3340" spans="1:18" x14ac:dyDescent="0.3">
      <c r="A3340" s="11" t="s">
        <v>3152</v>
      </c>
      <c r="B3340" s="7">
        <v>60780</v>
      </c>
      <c r="C3340" s="7">
        <v>4.0330000000000004</v>
      </c>
      <c r="D3340" s="2">
        <f t="shared" si="763"/>
        <v>0.10000000000000053</v>
      </c>
      <c r="E3340" s="8">
        <f t="shared" si="766"/>
        <v>3.9187377668117049</v>
      </c>
      <c r="F3340" s="6">
        <f t="shared" si="767"/>
        <v>8.4745762711864403E-2</v>
      </c>
      <c r="G3340" s="12">
        <f t="shared" si="762"/>
        <v>0.11426223318829543</v>
      </c>
    </row>
    <row r="3341" spans="1:18" x14ac:dyDescent="0.3">
      <c r="A3341" s="11" t="s">
        <v>3153</v>
      </c>
      <c r="B3341" s="7">
        <v>60800</v>
      </c>
      <c r="C3341" s="7">
        <v>4.0839999999999996</v>
      </c>
      <c r="D3341" s="2">
        <f t="shared" si="763"/>
        <v>5.0999999999999268E-2</v>
      </c>
      <c r="E3341" s="8">
        <f t="shared" si="766"/>
        <v>4.0034835295235691</v>
      </c>
      <c r="F3341" s="6">
        <f t="shared" si="767"/>
        <v>8.4745762711864403E-2</v>
      </c>
      <c r="G3341" s="12">
        <f t="shared" ref="G3341:G3354" si="772">C3341-E3341</f>
        <v>8.0516470476430513E-2</v>
      </c>
    </row>
    <row r="3342" spans="1:18" x14ac:dyDescent="0.3">
      <c r="A3342" s="11" t="s">
        <v>3154</v>
      </c>
      <c r="B3342" s="7">
        <v>60820</v>
      </c>
      <c r="C3342" s="7">
        <v>4.09</v>
      </c>
      <c r="D3342" s="2">
        <f t="shared" si="763"/>
        <v>6.0000000000002274E-3</v>
      </c>
      <c r="E3342" s="8">
        <f t="shared" si="766"/>
        <v>4.0882292922354333</v>
      </c>
      <c r="F3342" s="6">
        <f t="shared" si="767"/>
        <v>8.4745762711864403E-2</v>
      </c>
      <c r="G3342" s="12">
        <f t="shared" si="772"/>
        <v>1.7707077645665592E-3</v>
      </c>
    </row>
    <row r="3343" spans="1:18" x14ac:dyDescent="0.3">
      <c r="A3343" s="11"/>
      <c r="B3343" s="7"/>
      <c r="C3343" s="7"/>
      <c r="D3343" s="2"/>
      <c r="E3343" s="8"/>
      <c r="F3343" s="6"/>
      <c r="G3343" s="12"/>
      <c r="H3343" s="4" t="s">
        <v>3277</v>
      </c>
      <c r="J3343" s="4"/>
      <c r="O3343" s="3">
        <f>1/O3344</f>
        <v>2.3364485981308409E-3</v>
      </c>
      <c r="P3343" s="3">
        <f>O3343*20</f>
        <v>4.6728971962616821E-2</v>
      </c>
      <c r="Q3343" s="3" t="s">
        <v>3200</v>
      </c>
      <c r="R3343" s="3">
        <v>428</v>
      </c>
    </row>
    <row r="3344" spans="1:18" x14ac:dyDescent="0.3">
      <c r="A3344" s="11" t="s">
        <v>3155</v>
      </c>
      <c r="B3344" s="7">
        <v>60840</v>
      </c>
      <c r="C3344" s="7">
        <v>4.0780000000000003</v>
      </c>
      <c r="D3344" s="2">
        <f>C3344-C3342</f>
        <v>-1.1999999999999567E-2</v>
      </c>
      <c r="E3344" s="8">
        <f>E3342-F3344</f>
        <v>4.0415003202728164</v>
      </c>
      <c r="F3344" s="6">
        <f>P3343</f>
        <v>4.6728971962616821E-2</v>
      </c>
      <c r="G3344" s="12">
        <f t="shared" si="772"/>
        <v>3.6499679727183931E-2</v>
      </c>
      <c r="H3344" s="3">
        <f>B3342</f>
        <v>60820</v>
      </c>
      <c r="I3344" s="3">
        <f>B3375</f>
        <v>61360</v>
      </c>
      <c r="J3344" s="3">
        <f>I3344-H3344</f>
        <v>540</v>
      </c>
      <c r="K3344" s="5">
        <f>E3342</f>
        <v>4.0882292922354333</v>
      </c>
      <c r="L3344" s="3">
        <f>C3375</f>
        <v>2.8279999999999998</v>
      </c>
      <c r="M3344" s="5">
        <f>L3344-K3344</f>
        <v>-1.2602292922354335</v>
      </c>
      <c r="N3344" s="3">
        <f>J3344/M3344</f>
        <v>-428.49345220513914</v>
      </c>
      <c r="O3344" s="3">
        <v>428</v>
      </c>
    </row>
    <row r="3345" spans="1:7" x14ac:dyDescent="0.3">
      <c r="A3345" s="11" t="s">
        <v>3156</v>
      </c>
      <c r="B3345" s="7">
        <v>60860</v>
      </c>
      <c r="C3345" s="7">
        <v>4.0650000000000004</v>
      </c>
      <c r="D3345" s="2">
        <f t="shared" si="763"/>
        <v>-1.2999999999999901E-2</v>
      </c>
      <c r="E3345" s="8">
        <f>E3344-F3344</f>
        <v>3.9947713483101994</v>
      </c>
      <c r="F3345" s="6">
        <f t="shared" si="767"/>
        <v>4.6728971962616821E-2</v>
      </c>
      <c r="G3345" s="12">
        <f t="shared" si="772"/>
        <v>7.0228651689800969E-2</v>
      </c>
    </row>
    <row r="3346" spans="1:7" x14ac:dyDescent="0.3">
      <c r="A3346" s="21"/>
      <c r="B3346" s="22"/>
      <c r="C3346" s="22"/>
      <c r="D3346" s="22"/>
      <c r="E3346" s="22"/>
      <c r="F3346" s="22"/>
      <c r="G3346" s="23"/>
    </row>
    <row r="3347" spans="1:7" x14ac:dyDescent="0.3">
      <c r="A3347" s="11" t="s">
        <v>3157</v>
      </c>
      <c r="B3347" s="7">
        <v>60880</v>
      </c>
      <c r="C3347" s="7">
        <v>4.0330000000000004</v>
      </c>
      <c r="D3347" s="2">
        <f>C3347-C3345</f>
        <v>-3.2000000000000028E-2</v>
      </c>
      <c r="E3347" s="8">
        <f>E3345-F3347</f>
        <v>3.9480423763475825</v>
      </c>
      <c r="F3347" s="6">
        <f>P3343</f>
        <v>4.6728971962616821E-2</v>
      </c>
      <c r="G3347" s="12">
        <f>C3347-E3347</f>
        <v>8.495762365241788E-2</v>
      </c>
    </row>
    <row r="3348" spans="1:7" x14ac:dyDescent="0.3">
      <c r="A3348" s="11" t="s">
        <v>3158</v>
      </c>
      <c r="B3348" s="7">
        <v>60900</v>
      </c>
      <c r="C3348" s="7">
        <v>3.96</v>
      </c>
      <c r="D3348" s="2">
        <f t="shared" si="763"/>
        <v>-7.3000000000000398E-2</v>
      </c>
      <c r="E3348" s="8">
        <f>E3347-F3347</f>
        <v>3.9013134043849655</v>
      </c>
      <c r="F3348" s="6">
        <f t="shared" ref="F3348" si="773">F3347</f>
        <v>4.6728971962616821E-2</v>
      </c>
      <c r="G3348" s="12">
        <f t="shared" ref="G3348" si="774">C3348-E3348</f>
        <v>5.868659561503442E-2</v>
      </c>
    </row>
    <row r="3349" spans="1:7" x14ac:dyDescent="0.3">
      <c r="A3349" s="11" t="s">
        <v>3159</v>
      </c>
      <c r="B3349" s="7">
        <v>60920</v>
      </c>
      <c r="C3349" s="7">
        <v>3.8759999999999999</v>
      </c>
      <c r="D3349" s="2">
        <f t="shared" si="763"/>
        <v>-8.4000000000000075E-2</v>
      </c>
      <c r="E3349" s="8">
        <f t="shared" ref="E3349:E3354" si="775">E3348-F3348</f>
        <v>3.8545844324223486</v>
      </c>
      <c r="F3349" s="6">
        <f t="shared" si="767"/>
        <v>4.6728971962616821E-2</v>
      </c>
      <c r="G3349" s="12">
        <f t="shared" si="772"/>
        <v>2.1415567577651284E-2</v>
      </c>
    </row>
    <row r="3350" spans="1:7" x14ac:dyDescent="0.3">
      <c r="A3350" s="11" t="s">
        <v>3160</v>
      </c>
      <c r="B3350" s="7">
        <v>60940</v>
      </c>
      <c r="C3350" s="7">
        <v>3.806</v>
      </c>
      <c r="D3350" s="2">
        <f t="shared" si="763"/>
        <v>-6.999999999999984E-2</v>
      </c>
      <c r="E3350" s="8">
        <f t="shared" si="775"/>
        <v>3.8078554604597317</v>
      </c>
      <c r="F3350" s="6">
        <f t="shared" si="767"/>
        <v>4.6728971962616821E-2</v>
      </c>
      <c r="G3350" s="12">
        <f t="shared" si="772"/>
        <v>-1.8554604597316171E-3</v>
      </c>
    </row>
    <row r="3351" spans="1:7" x14ac:dyDescent="0.3">
      <c r="A3351" s="13" t="s">
        <v>3161</v>
      </c>
      <c r="B3351" s="24"/>
      <c r="C3351" s="25"/>
      <c r="D3351" s="25"/>
      <c r="E3351" s="25"/>
      <c r="F3351" s="25"/>
      <c r="G3351" s="26"/>
    </row>
    <row r="3352" spans="1:7" x14ac:dyDescent="0.3">
      <c r="A3352" s="11" t="s">
        <v>3162</v>
      </c>
      <c r="B3352" s="7">
        <v>60960</v>
      </c>
      <c r="C3352" s="7">
        <v>3.7280000000000002</v>
      </c>
      <c r="D3352" s="2">
        <f>C3352-C3350</f>
        <v>-7.7999999999999847E-2</v>
      </c>
      <c r="E3352" s="8">
        <f>E3350-F3350</f>
        <v>3.7611264884971147</v>
      </c>
      <c r="F3352" s="6">
        <f>F3350</f>
        <v>4.6728971962616821E-2</v>
      </c>
      <c r="G3352" s="12">
        <f t="shared" si="772"/>
        <v>-3.3126488497114526E-2</v>
      </c>
    </row>
    <row r="3353" spans="1:7" x14ac:dyDescent="0.3">
      <c r="A3353" s="11" t="s">
        <v>3164</v>
      </c>
      <c r="B3353" s="7">
        <v>60980</v>
      </c>
      <c r="C3353" s="7">
        <v>3.6110000000000002</v>
      </c>
      <c r="D3353" s="2">
        <f t="shared" si="763"/>
        <v>-0.11699999999999999</v>
      </c>
      <c r="E3353" s="8">
        <f t="shared" si="775"/>
        <v>3.7143975165344978</v>
      </c>
      <c r="F3353" s="6">
        <f t="shared" si="767"/>
        <v>4.6728971962616821E-2</v>
      </c>
      <c r="G3353" s="12">
        <f t="shared" si="772"/>
        <v>-0.10339751653449758</v>
      </c>
    </row>
    <row r="3354" spans="1:7" x14ac:dyDescent="0.3">
      <c r="A3354" s="11" t="s">
        <v>3165</v>
      </c>
      <c r="B3354" s="7">
        <v>61000</v>
      </c>
      <c r="C3354" s="7">
        <v>3.5979999999999999</v>
      </c>
      <c r="D3354" s="2">
        <f t="shared" si="763"/>
        <v>-1.3000000000000345E-2</v>
      </c>
      <c r="E3354" s="8">
        <f t="shared" si="775"/>
        <v>3.6676685445718809</v>
      </c>
      <c r="F3354" s="6">
        <f t="shared" si="767"/>
        <v>4.6728971962616821E-2</v>
      </c>
      <c r="G3354" s="12">
        <f t="shared" si="772"/>
        <v>-6.9668544571880986E-2</v>
      </c>
    </row>
    <row r="3355" spans="1:7" x14ac:dyDescent="0.3">
      <c r="A3355" s="11" t="s">
        <v>3166</v>
      </c>
      <c r="B3355" s="7">
        <v>61020</v>
      </c>
      <c r="C3355" s="7">
        <v>3.5390000000000001</v>
      </c>
      <c r="D3355" s="2">
        <f t="shared" si="763"/>
        <v>-5.8999999999999719E-2</v>
      </c>
      <c r="E3355" s="8">
        <f t="shared" ref="E3355:E3367" si="776">E3354-F3354</f>
        <v>3.6209395726092639</v>
      </c>
      <c r="F3355" s="6">
        <f t="shared" si="767"/>
        <v>4.6728971962616821E-2</v>
      </c>
      <c r="G3355" s="12">
        <f t="shared" ref="G3355:G3367" si="777">C3355-E3355</f>
        <v>-8.1939572609263767E-2</v>
      </c>
    </row>
    <row r="3356" spans="1:7" x14ac:dyDescent="0.3">
      <c r="A3356" s="11" t="s">
        <v>3272</v>
      </c>
      <c r="B3356" s="62" t="s">
        <v>3273</v>
      </c>
      <c r="C3356" s="63"/>
      <c r="D3356" s="63"/>
      <c r="E3356" s="63"/>
      <c r="F3356" s="63"/>
      <c r="G3356" s="64"/>
    </row>
    <row r="3357" spans="1:7" x14ac:dyDescent="0.3">
      <c r="A3357" s="11" t="s">
        <v>3167</v>
      </c>
      <c r="B3357" s="7">
        <v>61040</v>
      </c>
      <c r="C3357" s="7">
        <v>3.4969999999999999</v>
      </c>
      <c r="D3357" s="2">
        <f>C3357-C3355</f>
        <v>-4.2000000000000259E-2</v>
      </c>
      <c r="E3357" s="8">
        <f>E3355-F3355</f>
        <v>3.574210600646647</v>
      </c>
      <c r="F3357" s="6">
        <f>F3355</f>
        <v>4.6728971962616821E-2</v>
      </c>
      <c r="G3357" s="12">
        <f t="shared" si="777"/>
        <v>-7.7210600646647087E-2</v>
      </c>
    </row>
    <row r="3358" spans="1:7" x14ac:dyDescent="0.3">
      <c r="A3358" s="11" t="s">
        <v>3168</v>
      </c>
      <c r="B3358" s="7">
        <v>61060</v>
      </c>
      <c r="C3358" s="7">
        <v>3.4660000000000002</v>
      </c>
      <c r="D3358" s="2">
        <f t="shared" si="763"/>
        <v>-3.0999999999999694E-2</v>
      </c>
      <c r="E3358" s="8">
        <f t="shared" si="776"/>
        <v>3.52748162868403</v>
      </c>
      <c r="F3358" s="6">
        <f t="shared" si="767"/>
        <v>4.6728971962616821E-2</v>
      </c>
      <c r="G3358" s="12">
        <f t="shared" si="777"/>
        <v>-6.1481628684029843E-2</v>
      </c>
    </row>
    <row r="3359" spans="1:7" x14ac:dyDescent="0.3">
      <c r="A3359" s="11" t="s">
        <v>3169</v>
      </c>
      <c r="B3359" s="7">
        <v>61080</v>
      </c>
      <c r="C3359" s="7">
        <v>3.4239999999999999</v>
      </c>
      <c r="D3359" s="2">
        <f t="shared" si="763"/>
        <v>-4.2000000000000259E-2</v>
      </c>
      <c r="E3359" s="8">
        <f t="shared" si="776"/>
        <v>3.4807526567214131</v>
      </c>
      <c r="F3359" s="6">
        <f t="shared" si="767"/>
        <v>4.6728971962616821E-2</v>
      </c>
      <c r="G3359" s="12">
        <f t="shared" si="777"/>
        <v>-5.6752656721413164E-2</v>
      </c>
    </row>
    <row r="3360" spans="1:7" x14ac:dyDescent="0.3">
      <c r="A3360" s="11" t="s">
        <v>3170</v>
      </c>
      <c r="B3360" s="7">
        <v>61100</v>
      </c>
      <c r="C3360" s="7">
        <v>3.3719999999999999</v>
      </c>
      <c r="D3360" s="2">
        <f t="shared" si="763"/>
        <v>-5.2000000000000046E-2</v>
      </c>
      <c r="E3360" s="8">
        <f t="shared" si="776"/>
        <v>3.4340236847587962</v>
      </c>
      <c r="F3360" s="6">
        <f t="shared" si="767"/>
        <v>4.6728971962616821E-2</v>
      </c>
      <c r="G3360" s="12">
        <f t="shared" si="777"/>
        <v>-6.2023684758796271E-2</v>
      </c>
    </row>
    <row r="3361" spans="1:18" x14ac:dyDescent="0.3">
      <c r="A3361" s="11" t="s">
        <v>3270</v>
      </c>
      <c r="B3361" s="62" t="s">
        <v>3271</v>
      </c>
      <c r="C3361" s="63"/>
      <c r="D3361" s="63"/>
      <c r="E3361" s="63"/>
      <c r="F3361" s="63"/>
      <c r="G3361" s="64"/>
    </row>
    <row r="3362" spans="1:18" x14ac:dyDescent="0.3">
      <c r="A3362" s="11" t="s">
        <v>3171</v>
      </c>
      <c r="B3362" s="7">
        <v>61120</v>
      </c>
      <c r="C3362" s="7">
        <v>3.3319999999999999</v>
      </c>
      <c r="D3362" s="2">
        <f>C3362-C3360</f>
        <v>-4.0000000000000036E-2</v>
      </c>
      <c r="E3362" s="8">
        <f>E3360-F3360</f>
        <v>3.3872947127961792</v>
      </c>
      <c r="F3362" s="6">
        <f>F3360</f>
        <v>4.6728971962616821E-2</v>
      </c>
      <c r="G3362" s="12">
        <f t="shared" si="777"/>
        <v>-5.5294712796179368E-2</v>
      </c>
    </row>
    <row r="3363" spans="1:18" x14ac:dyDescent="0.3">
      <c r="A3363" s="11" t="s">
        <v>3172</v>
      </c>
      <c r="B3363" s="7">
        <v>61140</v>
      </c>
      <c r="C3363" s="7">
        <v>3.3149999999999999</v>
      </c>
      <c r="D3363" s="2">
        <f t="shared" si="763"/>
        <v>-1.6999999999999904E-2</v>
      </c>
      <c r="E3363" s="8">
        <f t="shared" si="776"/>
        <v>3.3405657408335623</v>
      </c>
      <c r="F3363" s="6">
        <f t="shared" si="767"/>
        <v>4.6728971962616821E-2</v>
      </c>
      <c r="G3363" s="12">
        <f t="shared" si="777"/>
        <v>-2.5565740833562334E-2</v>
      </c>
    </row>
    <row r="3364" spans="1:18" x14ac:dyDescent="0.3">
      <c r="A3364" s="11" t="s">
        <v>3173</v>
      </c>
      <c r="B3364" s="7">
        <v>61160</v>
      </c>
      <c r="C3364" s="7">
        <v>3.302</v>
      </c>
      <c r="D3364" s="2">
        <f t="shared" si="763"/>
        <v>-1.2999999999999901E-2</v>
      </c>
      <c r="E3364" s="8">
        <f t="shared" si="776"/>
        <v>3.2938367688709453</v>
      </c>
      <c r="F3364" s="6">
        <f t="shared" si="767"/>
        <v>4.6728971962616821E-2</v>
      </c>
      <c r="G3364" s="12">
        <f t="shared" si="777"/>
        <v>8.1632311290547044E-3</v>
      </c>
    </row>
    <row r="3365" spans="1:18" x14ac:dyDescent="0.3">
      <c r="A3365" s="11" t="s">
        <v>3174</v>
      </c>
      <c r="B3365" s="7">
        <v>61180</v>
      </c>
      <c r="C3365" s="7">
        <v>3.2250000000000001</v>
      </c>
      <c r="D3365" s="2">
        <f t="shared" si="763"/>
        <v>-7.6999999999999957E-2</v>
      </c>
      <c r="E3365" s="8">
        <f t="shared" si="776"/>
        <v>3.2471077969083284</v>
      </c>
      <c r="F3365" s="6">
        <f t="shared" si="767"/>
        <v>4.6728971962616821E-2</v>
      </c>
      <c r="G3365" s="12">
        <f t="shared" si="777"/>
        <v>-2.2107796908328314E-2</v>
      </c>
    </row>
    <row r="3366" spans="1:18" x14ac:dyDescent="0.3">
      <c r="A3366" s="11" t="s">
        <v>3175</v>
      </c>
      <c r="B3366" s="7">
        <v>61200</v>
      </c>
      <c r="C3366" s="7">
        <v>3.1019999999999999</v>
      </c>
      <c r="D3366" s="2">
        <f t="shared" si="763"/>
        <v>-0.12300000000000022</v>
      </c>
      <c r="E3366" s="8">
        <f t="shared" si="776"/>
        <v>3.2003788249457115</v>
      </c>
      <c r="F3366" s="6">
        <f t="shared" si="767"/>
        <v>4.6728971962616821E-2</v>
      </c>
      <c r="G3366" s="12">
        <f t="shared" si="777"/>
        <v>-9.8378824945711596E-2</v>
      </c>
    </row>
    <row r="3367" spans="1:18" x14ac:dyDescent="0.3">
      <c r="A3367" s="11" t="s">
        <v>3176</v>
      </c>
      <c r="B3367" s="7">
        <v>61220</v>
      </c>
      <c r="C3367" s="7">
        <v>3.0329999999999999</v>
      </c>
      <c r="D3367" s="2">
        <f t="shared" si="763"/>
        <v>-6.899999999999995E-2</v>
      </c>
      <c r="E3367" s="8">
        <f t="shared" si="776"/>
        <v>3.1536498529830945</v>
      </c>
      <c r="F3367" s="6">
        <f t="shared" si="767"/>
        <v>4.6728971962616821E-2</v>
      </c>
      <c r="G3367" s="12">
        <f t="shared" si="777"/>
        <v>-0.12064985298309461</v>
      </c>
    </row>
    <row r="3368" spans="1:18" x14ac:dyDescent="0.3">
      <c r="A3368" s="11" t="s">
        <v>3177</v>
      </c>
      <c r="B3368" s="7">
        <v>61240</v>
      </c>
      <c r="C3368" s="7">
        <v>3.0259999999999998</v>
      </c>
      <c r="D3368" s="2">
        <f t="shared" si="763"/>
        <v>-7.0000000000001172E-3</v>
      </c>
      <c r="E3368" s="8">
        <f t="shared" ref="E3368:E3383" si="778">E3367-F3367</f>
        <v>3.1069208810204776</v>
      </c>
      <c r="F3368" s="6">
        <f t="shared" si="767"/>
        <v>4.6728971962616821E-2</v>
      </c>
      <c r="G3368" s="12">
        <f t="shared" ref="G3368:G3383" si="779">C3368-E3368</f>
        <v>-8.0920881020477786E-2</v>
      </c>
    </row>
    <row r="3369" spans="1:18" x14ac:dyDescent="0.3">
      <c r="A3369" s="11" t="s">
        <v>3269</v>
      </c>
      <c r="B3369" s="62" t="s">
        <v>3268</v>
      </c>
      <c r="C3369" s="63"/>
      <c r="D3369" s="63"/>
      <c r="E3369" s="63"/>
      <c r="F3369" s="63"/>
      <c r="G3369" s="64"/>
    </row>
    <row r="3370" spans="1:18" x14ac:dyDescent="0.3">
      <c r="A3370" s="11" t="s">
        <v>3178</v>
      </c>
      <c r="B3370" s="7">
        <v>61260</v>
      </c>
      <c r="C3370" s="7">
        <v>3.0129999999999999</v>
      </c>
      <c r="D3370" s="2">
        <f>C3370-C3368</f>
        <v>-1.2999999999999901E-2</v>
      </c>
      <c r="E3370" s="8">
        <f>E3368-F3368</f>
        <v>3.0601919090578606</v>
      </c>
      <c r="F3370" s="6">
        <f>F3368</f>
        <v>4.6728971962616821E-2</v>
      </c>
      <c r="G3370" s="12">
        <f t="shared" si="779"/>
        <v>-4.7191909057860748E-2</v>
      </c>
    </row>
    <row r="3371" spans="1:18" x14ac:dyDescent="0.3">
      <c r="A3371" s="11" t="s">
        <v>3179</v>
      </c>
      <c r="B3371" s="7">
        <v>61280</v>
      </c>
      <c r="C3371" s="7">
        <v>2.9649999999999999</v>
      </c>
      <c r="D3371" s="2">
        <f t="shared" si="763"/>
        <v>-4.8000000000000043E-2</v>
      </c>
      <c r="E3371" s="8">
        <f t="shared" si="778"/>
        <v>3.0134629370952437</v>
      </c>
      <c r="F3371" s="6">
        <f t="shared" si="767"/>
        <v>4.6728971962616821E-2</v>
      </c>
      <c r="G3371" s="12">
        <f t="shared" si="779"/>
        <v>-4.8462937095243852E-2</v>
      </c>
    </row>
    <row r="3372" spans="1:18" x14ac:dyDescent="0.3">
      <c r="A3372" s="11" t="s">
        <v>3180</v>
      </c>
      <c r="B3372" s="7">
        <v>61300</v>
      </c>
      <c r="C3372" s="7">
        <v>2.9660000000000002</v>
      </c>
      <c r="D3372" s="2">
        <f t="shared" si="763"/>
        <v>1.000000000000334E-3</v>
      </c>
      <c r="E3372" s="8">
        <f t="shared" si="778"/>
        <v>2.9667339651326268</v>
      </c>
      <c r="F3372" s="6">
        <f t="shared" si="767"/>
        <v>4.6728971962616821E-2</v>
      </c>
      <c r="G3372" s="12">
        <f t="shared" si="779"/>
        <v>-7.3396513262657948E-4</v>
      </c>
    </row>
    <row r="3373" spans="1:18" x14ac:dyDescent="0.3">
      <c r="A3373" s="11" t="s">
        <v>3181</v>
      </c>
      <c r="B3373" s="7">
        <v>61320</v>
      </c>
      <c r="C3373" s="7">
        <v>2.972</v>
      </c>
      <c r="D3373" s="2">
        <f>C3373-C3372</f>
        <v>5.9999999999997833E-3</v>
      </c>
      <c r="E3373" s="8">
        <f>E3372-F3372</f>
        <v>2.9200049931700098</v>
      </c>
      <c r="F3373" s="6">
        <f>F3372</f>
        <v>4.6728971962616821E-2</v>
      </c>
      <c r="G3373" s="12">
        <f t="shared" si="779"/>
        <v>5.1995006829990142E-2</v>
      </c>
    </row>
    <row r="3374" spans="1:18" x14ac:dyDescent="0.3">
      <c r="A3374" s="11" t="s">
        <v>3182</v>
      </c>
      <c r="B3374" s="7">
        <v>61340</v>
      </c>
      <c r="C3374" s="7">
        <v>2.88</v>
      </c>
      <c r="D3374" s="2">
        <f t="shared" si="763"/>
        <v>-9.2000000000000082E-2</v>
      </c>
      <c r="E3374" s="8">
        <f t="shared" si="778"/>
        <v>2.8732760212073929</v>
      </c>
      <c r="F3374" s="6">
        <f t="shared" si="767"/>
        <v>4.6728971962616821E-2</v>
      </c>
      <c r="G3374" s="12">
        <f t="shared" si="779"/>
        <v>6.7239787926069994E-3</v>
      </c>
    </row>
    <row r="3375" spans="1:18" x14ac:dyDescent="0.3">
      <c r="A3375" s="11" t="s">
        <v>3183</v>
      </c>
      <c r="B3375" s="7">
        <v>61360</v>
      </c>
      <c r="C3375" s="7">
        <v>2.8279999999999998</v>
      </c>
      <c r="D3375" s="2">
        <f t="shared" si="763"/>
        <v>-5.2000000000000046E-2</v>
      </c>
      <c r="E3375" s="8">
        <f t="shared" si="778"/>
        <v>2.826547049244776</v>
      </c>
      <c r="F3375" s="6">
        <f t="shared" si="767"/>
        <v>4.6728971962616821E-2</v>
      </c>
      <c r="G3375" s="12">
        <f t="shared" si="779"/>
        <v>1.4529507552238918E-3</v>
      </c>
      <c r="P3375" s="3">
        <f>O3376*14.938</f>
        <v>8.8233904311872426E-3</v>
      </c>
    </row>
    <row r="3376" spans="1:18" x14ac:dyDescent="0.3">
      <c r="A3376" s="21"/>
      <c r="B3376" s="22"/>
      <c r="C3376" s="22"/>
      <c r="D3376" s="22"/>
      <c r="E3376" s="22"/>
      <c r="F3376" s="22"/>
      <c r="G3376" s="23"/>
      <c r="H3376" s="4" t="s">
        <v>3280</v>
      </c>
      <c r="J3376" s="4"/>
      <c r="O3376" s="3">
        <f>1/O3377</f>
        <v>5.9066745422327229E-4</v>
      </c>
      <c r="P3376" s="3">
        <f>O3376*20</f>
        <v>1.1813349084465446E-2</v>
      </c>
      <c r="Q3376" s="3" t="s">
        <v>3200</v>
      </c>
      <c r="R3376" s="3">
        <v>1693</v>
      </c>
    </row>
    <row r="3377" spans="1:15" x14ac:dyDescent="0.3">
      <c r="A3377" s="11" t="s">
        <v>3184</v>
      </c>
      <c r="B3377" s="7">
        <v>61380</v>
      </c>
      <c r="C3377" s="7">
        <v>2.8260000000000001</v>
      </c>
      <c r="D3377" s="2">
        <f>C3377-C3375</f>
        <v>-1.9999999999997797E-3</v>
      </c>
      <c r="E3377" s="8">
        <f>E3375-F3377</f>
        <v>2.8147337001603105</v>
      </c>
      <c r="F3377" s="6">
        <f>P3376</f>
        <v>1.1813349084465446E-2</v>
      </c>
      <c r="G3377" s="12">
        <f>C3377-E3377</f>
        <v>1.126629983968952E-2</v>
      </c>
      <c r="H3377" s="3">
        <f>B3375</f>
        <v>61360</v>
      </c>
      <c r="I3377" s="3">
        <f>B3386</f>
        <v>61514.938000000002</v>
      </c>
      <c r="J3377" s="3">
        <f>I3377-H3377</f>
        <v>154.93800000000192</v>
      </c>
      <c r="K3377" s="5">
        <f>E3375</f>
        <v>2.826547049244776</v>
      </c>
      <c r="L3377" s="3">
        <f>C3386</f>
        <v>2.7349999999999999</v>
      </c>
      <c r="M3377" s="5">
        <f>L3377-K3377</f>
        <v>-9.154704924477608E-2</v>
      </c>
      <c r="N3377" s="3">
        <f>J3377/M3377</f>
        <v>-1692.4412231543672</v>
      </c>
      <c r="O3377" s="3">
        <v>1693</v>
      </c>
    </row>
    <row r="3378" spans="1:15" x14ac:dyDescent="0.3">
      <c r="A3378" s="11" t="s">
        <v>3185</v>
      </c>
      <c r="B3378" s="7">
        <v>61400</v>
      </c>
      <c r="C3378" s="7">
        <v>2.8559999999999999</v>
      </c>
      <c r="D3378" s="2">
        <f t="shared" si="763"/>
        <v>2.9999999999999805E-2</v>
      </c>
      <c r="E3378" s="8">
        <f>E3377-F3377</f>
        <v>2.8029203510758451</v>
      </c>
      <c r="F3378" s="6">
        <f t="shared" ref="F3378" si="780">F3377</f>
        <v>1.1813349084465446E-2</v>
      </c>
      <c r="G3378" s="12">
        <f t="shared" ref="G3378" si="781">C3378-E3378</f>
        <v>5.3079648924154732E-2</v>
      </c>
    </row>
    <row r="3379" spans="1:15" x14ac:dyDescent="0.3">
      <c r="A3379" s="11" t="s">
        <v>3266</v>
      </c>
      <c r="B3379" s="62" t="s">
        <v>3267</v>
      </c>
      <c r="C3379" s="63"/>
      <c r="D3379" s="63"/>
      <c r="E3379" s="63"/>
      <c r="F3379" s="63"/>
      <c r="G3379" s="64"/>
    </row>
    <row r="3380" spans="1:15" x14ac:dyDescent="0.3">
      <c r="A3380" s="11" t="s">
        <v>3186</v>
      </c>
      <c r="B3380" s="7">
        <v>61420</v>
      </c>
      <c r="C3380" s="7">
        <v>2.883</v>
      </c>
      <c r="D3380" s="2">
        <f>C3380-C3378</f>
        <v>2.7000000000000135E-2</v>
      </c>
      <c r="E3380" s="8">
        <f>E3378-F3378</f>
        <v>2.7911070019913797</v>
      </c>
      <c r="F3380" s="6">
        <f>F3378</f>
        <v>1.1813349084465446E-2</v>
      </c>
      <c r="G3380" s="12">
        <f t="shared" si="779"/>
        <v>9.1892998008620275E-2</v>
      </c>
    </row>
    <row r="3381" spans="1:15" x14ac:dyDescent="0.3">
      <c r="A3381" s="11" t="s">
        <v>3187</v>
      </c>
      <c r="B3381" s="7">
        <v>61440</v>
      </c>
      <c r="C3381" s="7">
        <v>2.927</v>
      </c>
      <c r="D3381" s="2">
        <f t="shared" si="763"/>
        <v>4.4000000000000039E-2</v>
      </c>
      <c r="E3381" s="8">
        <f t="shared" si="778"/>
        <v>2.7792936529069143</v>
      </c>
      <c r="F3381" s="6">
        <f t="shared" si="767"/>
        <v>1.1813349084465446E-2</v>
      </c>
      <c r="G3381" s="12">
        <f t="shared" si="779"/>
        <v>0.14770634709308572</v>
      </c>
    </row>
    <row r="3382" spans="1:15" x14ac:dyDescent="0.3">
      <c r="A3382" s="11" t="s">
        <v>3188</v>
      </c>
      <c r="B3382" s="7">
        <v>61460</v>
      </c>
      <c r="C3382" s="7">
        <v>2.9449999999999998</v>
      </c>
      <c r="D3382" s="2">
        <f t="shared" si="763"/>
        <v>1.7999999999999794E-2</v>
      </c>
      <c r="E3382" s="8">
        <f t="shared" si="778"/>
        <v>2.7674803038224489</v>
      </c>
      <c r="F3382" s="6">
        <f t="shared" si="767"/>
        <v>1.1813349084465446E-2</v>
      </c>
      <c r="G3382" s="12">
        <f t="shared" si="779"/>
        <v>0.17751969617755092</v>
      </c>
    </row>
    <row r="3383" spans="1:15" x14ac:dyDescent="0.3">
      <c r="A3383" s="11" t="s">
        <v>3189</v>
      </c>
      <c r="B3383" s="7">
        <v>61480</v>
      </c>
      <c r="C3383" s="7">
        <v>2.8849999999999998</v>
      </c>
      <c r="D3383" s="2">
        <f t="shared" ref="D3383:D3386" si="782">C3383-C3382</f>
        <v>-6.0000000000000053E-2</v>
      </c>
      <c r="E3383" s="8">
        <f t="shared" si="778"/>
        <v>2.7556669547379835</v>
      </c>
      <c r="F3383" s="6">
        <f t="shared" si="767"/>
        <v>1.1813349084465446E-2</v>
      </c>
      <c r="G3383" s="12">
        <f t="shared" si="779"/>
        <v>0.12933304526201628</v>
      </c>
    </row>
    <row r="3384" spans="1:15" x14ac:dyDescent="0.3">
      <c r="A3384" s="11" t="s">
        <v>3264</v>
      </c>
      <c r="B3384" s="62" t="s">
        <v>3265</v>
      </c>
      <c r="C3384" s="63"/>
      <c r="D3384" s="63"/>
      <c r="E3384" s="63"/>
      <c r="F3384" s="63"/>
      <c r="G3384" s="64"/>
    </row>
    <row r="3385" spans="1:15" x14ac:dyDescent="0.3">
      <c r="A3385" s="11" t="s">
        <v>3190</v>
      </c>
      <c r="B3385" s="7">
        <v>61500</v>
      </c>
      <c r="C3385" s="7">
        <v>2.7789999999999999</v>
      </c>
      <c r="D3385" s="2">
        <f>C3385-C3383</f>
        <v>-0.10599999999999987</v>
      </c>
      <c r="E3385" s="8">
        <f>E3383-F3383</f>
        <v>2.7438536056535181</v>
      </c>
      <c r="F3385" s="6">
        <f>P3375</f>
        <v>8.8233904311872426E-3</v>
      </c>
      <c r="G3385" s="12">
        <f t="shared" ref="G3385:G3386" si="783">C3385-E3385</f>
        <v>3.5146394346481813E-2</v>
      </c>
    </row>
    <row r="3386" spans="1:15" ht="17.399999999999999" thickBot="1" x14ac:dyDescent="0.35">
      <c r="A3386" s="14" t="s">
        <v>3191</v>
      </c>
      <c r="B3386" s="15">
        <v>61514.938000000002</v>
      </c>
      <c r="C3386" s="15">
        <v>2.7349999999999999</v>
      </c>
      <c r="D3386" s="16">
        <f t="shared" si="782"/>
        <v>-4.4000000000000039E-2</v>
      </c>
      <c r="E3386" s="17">
        <f t="shared" ref="E3386" si="784">E3385-F3385</f>
        <v>2.7350302152223307</v>
      </c>
      <c r="F3386" s="18">
        <f t="shared" si="767"/>
        <v>8.8233904311872426E-3</v>
      </c>
      <c r="G3386" s="19">
        <f t="shared" si="783"/>
        <v>-3.0215222330820524E-5</v>
      </c>
    </row>
  </sheetData>
  <autoFilter ref="R1:R3387" xr:uid="{02471D28-27FA-4DDA-9822-F62EF06807EB}"/>
  <mergeCells count="2">
    <mergeCell ref="E1:G1"/>
    <mergeCell ref="E2:G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4D5A-AF7A-4B22-A1F9-ABD101437C61}">
  <sheetPr filterMode="1"/>
  <dimension ref="A1:H259"/>
  <sheetViews>
    <sheetView topLeftCell="A37" workbookViewId="0">
      <selection activeCell="H107" sqref="H107"/>
    </sheetView>
  </sheetViews>
  <sheetFormatPr defaultRowHeight="14.4" x14ac:dyDescent="0.3"/>
  <cols>
    <col min="1" max="1" width="8.88671875" style="78"/>
    <col min="2" max="2" width="8.33203125" style="76" customWidth="1"/>
    <col min="3" max="3" width="10.77734375" customWidth="1"/>
    <col min="4" max="8" width="13.88671875" customWidth="1"/>
  </cols>
  <sheetData>
    <row r="1" spans="1:8" s="77" customFormat="1" ht="18.600000000000001" customHeight="1" x14ac:dyDescent="0.3">
      <c r="A1" s="77" t="s">
        <v>3513</v>
      </c>
      <c r="B1" s="77" t="s">
        <v>3508</v>
      </c>
      <c r="C1" s="77" t="s">
        <v>3509</v>
      </c>
      <c r="D1" s="77" t="s">
        <v>3510</v>
      </c>
      <c r="E1" s="77" t="s">
        <v>3289</v>
      </c>
      <c r="F1" s="77" t="s">
        <v>3511</v>
      </c>
      <c r="G1" s="77" t="s">
        <v>3512</v>
      </c>
      <c r="H1" s="77" t="s">
        <v>3286</v>
      </c>
    </row>
    <row r="2" spans="1:8" x14ac:dyDescent="0.3">
      <c r="A2" s="78" t="str">
        <f t="shared" ref="A2:A65" si="0">IF(MOD(B2,1)=0,"a","o")</f>
        <v>a</v>
      </c>
      <c r="B2" s="76">
        <v>1</v>
      </c>
      <c r="C2" t="s">
        <v>3300</v>
      </c>
    </row>
    <row r="3" spans="1:8" x14ac:dyDescent="0.3">
      <c r="A3" s="78" t="str">
        <f t="shared" si="0"/>
        <v>a</v>
      </c>
      <c r="B3" s="76">
        <v>2</v>
      </c>
      <c r="C3" t="s">
        <v>3299</v>
      </c>
    </row>
    <row r="4" spans="1:8" x14ac:dyDescent="0.3">
      <c r="A4" s="78" t="str">
        <f t="shared" si="0"/>
        <v>a</v>
      </c>
      <c r="B4" s="76">
        <v>3</v>
      </c>
      <c r="C4" t="s">
        <v>3326</v>
      </c>
    </row>
    <row r="5" spans="1:8" x14ac:dyDescent="0.3">
      <c r="A5" s="78" t="str">
        <f t="shared" si="0"/>
        <v>a</v>
      </c>
      <c r="B5" s="76">
        <v>4</v>
      </c>
      <c r="C5" t="s">
        <v>3325</v>
      </c>
    </row>
    <row r="6" spans="1:8" x14ac:dyDescent="0.3">
      <c r="A6" s="78" t="str">
        <f t="shared" si="0"/>
        <v>a</v>
      </c>
      <c r="B6" s="76">
        <v>5</v>
      </c>
      <c r="C6" t="s">
        <v>3327</v>
      </c>
    </row>
    <row r="7" spans="1:8" x14ac:dyDescent="0.3">
      <c r="A7" s="78" t="str">
        <f t="shared" si="0"/>
        <v>a</v>
      </c>
      <c r="B7" s="76">
        <v>6</v>
      </c>
      <c r="C7" t="s">
        <v>3328</v>
      </c>
    </row>
    <row r="8" spans="1:8" x14ac:dyDescent="0.3">
      <c r="A8" s="78" t="str">
        <f t="shared" si="0"/>
        <v>a</v>
      </c>
      <c r="B8" s="76">
        <v>7</v>
      </c>
      <c r="C8" t="s">
        <v>3</v>
      </c>
    </row>
    <row r="9" spans="1:8" x14ac:dyDescent="0.3">
      <c r="A9" s="78" t="str">
        <f t="shared" si="0"/>
        <v>a</v>
      </c>
      <c r="B9" s="76">
        <v>8</v>
      </c>
      <c r="C9" t="s">
        <v>3472</v>
      </c>
    </row>
    <row r="10" spans="1:8" x14ac:dyDescent="0.3">
      <c r="A10" s="78" t="str">
        <f t="shared" si="0"/>
        <v>a</v>
      </c>
      <c r="B10" s="76">
        <v>9</v>
      </c>
      <c r="C10" t="s">
        <v>4</v>
      </c>
    </row>
    <row r="11" spans="1:8" x14ac:dyDescent="0.3">
      <c r="A11" s="78" t="str">
        <f t="shared" si="0"/>
        <v>a</v>
      </c>
      <c r="B11" s="76">
        <v>10</v>
      </c>
      <c r="C11" t="s">
        <v>3473</v>
      </c>
    </row>
    <row r="12" spans="1:8" x14ac:dyDescent="0.3">
      <c r="A12" s="78" t="str">
        <f t="shared" si="0"/>
        <v>a</v>
      </c>
      <c r="B12" s="76">
        <v>11</v>
      </c>
      <c r="C12" t="s">
        <v>3474</v>
      </c>
    </row>
    <row r="13" spans="1:8" x14ac:dyDescent="0.3">
      <c r="A13" s="78" t="str">
        <f t="shared" si="0"/>
        <v>a</v>
      </c>
      <c r="B13" s="76">
        <v>12</v>
      </c>
      <c r="C13" t="s">
        <v>3475</v>
      </c>
    </row>
    <row r="14" spans="1:8" x14ac:dyDescent="0.3">
      <c r="A14" s="78" t="str">
        <f t="shared" si="0"/>
        <v>a</v>
      </c>
      <c r="B14" s="76">
        <v>13</v>
      </c>
      <c r="C14" t="s">
        <v>5</v>
      </c>
    </row>
    <row r="15" spans="1:8" x14ac:dyDescent="0.3">
      <c r="A15" s="78" t="str">
        <f t="shared" si="0"/>
        <v>a</v>
      </c>
      <c r="B15" s="76">
        <v>14</v>
      </c>
      <c r="C15" t="s">
        <v>6</v>
      </c>
    </row>
    <row r="16" spans="1:8" x14ac:dyDescent="0.3">
      <c r="A16" s="78" t="str">
        <f t="shared" si="0"/>
        <v>a</v>
      </c>
      <c r="B16" s="76">
        <v>15</v>
      </c>
      <c r="C16" t="s">
        <v>3294</v>
      </c>
    </row>
    <row r="17" spans="1:3" x14ac:dyDescent="0.3">
      <c r="A17" s="78" t="str">
        <f t="shared" si="0"/>
        <v>a</v>
      </c>
      <c r="B17" s="76">
        <v>16</v>
      </c>
      <c r="C17" t="s">
        <v>3476</v>
      </c>
    </row>
    <row r="18" spans="1:3" x14ac:dyDescent="0.3">
      <c r="A18" s="78" t="str">
        <f t="shared" si="0"/>
        <v>a</v>
      </c>
      <c r="B18" s="76">
        <v>17</v>
      </c>
      <c r="C18" t="s">
        <v>45</v>
      </c>
    </row>
    <row r="19" spans="1:3" x14ac:dyDescent="0.3">
      <c r="A19" s="78" t="str">
        <f t="shared" si="0"/>
        <v>a</v>
      </c>
      <c r="B19" s="76">
        <v>18</v>
      </c>
      <c r="C19" t="s">
        <v>3203</v>
      </c>
    </row>
    <row r="20" spans="1:3" x14ac:dyDescent="0.3">
      <c r="A20" s="78" t="str">
        <f t="shared" si="0"/>
        <v>a</v>
      </c>
      <c r="B20" s="76">
        <v>19</v>
      </c>
      <c r="C20" t="s">
        <v>3204</v>
      </c>
    </row>
    <row r="21" spans="1:3" x14ac:dyDescent="0.3">
      <c r="A21" s="78" t="str">
        <f t="shared" si="0"/>
        <v>a</v>
      </c>
      <c r="B21" s="76">
        <v>20</v>
      </c>
      <c r="C21" t="s">
        <v>7</v>
      </c>
    </row>
    <row r="22" spans="1:3" x14ac:dyDescent="0.3">
      <c r="A22" s="78" t="str">
        <f t="shared" si="0"/>
        <v>a</v>
      </c>
      <c r="B22" s="76">
        <v>21</v>
      </c>
      <c r="C22" t="s">
        <v>8</v>
      </c>
    </row>
    <row r="23" spans="1:3" x14ac:dyDescent="0.3">
      <c r="A23" s="78" t="str">
        <f t="shared" si="0"/>
        <v>a</v>
      </c>
      <c r="B23" s="76">
        <v>22</v>
      </c>
      <c r="C23" t="s">
        <v>9</v>
      </c>
    </row>
    <row r="24" spans="1:3" x14ac:dyDescent="0.3">
      <c r="A24" s="78" t="str">
        <f t="shared" si="0"/>
        <v>a</v>
      </c>
      <c r="B24" s="76">
        <v>23</v>
      </c>
      <c r="C24" t="s">
        <v>10</v>
      </c>
    </row>
    <row r="25" spans="1:3" x14ac:dyDescent="0.3">
      <c r="A25" s="78" t="str">
        <f t="shared" si="0"/>
        <v>a</v>
      </c>
      <c r="B25" s="76">
        <v>24</v>
      </c>
      <c r="C25" t="s">
        <v>3301</v>
      </c>
    </row>
    <row r="26" spans="1:3" x14ac:dyDescent="0.3">
      <c r="A26" s="78" t="str">
        <f t="shared" si="0"/>
        <v>a</v>
      </c>
      <c r="B26" s="76">
        <v>25</v>
      </c>
      <c r="C26" t="s">
        <v>3205</v>
      </c>
    </row>
    <row r="27" spans="1:3" x14ac:dyDescent="0.3">
      <c r="A27" s="78" t="str">
        <f t="shared" si="0"/>
        <v>a</v>
      </c>
      <c r="B27" s="76">
        <v>26</v>
      </c>
      <c r="C27" t="s">
        <v>3302</v>
      </c>
    </row>
    <row r="28" spans="1:3" x14ac:dyDescent="0.3">
      <c r="A28" s="78" t="str">
        <f t="shared" si="0"/>
        <v>a</v>
      </c>
      <c r="B28" s="76">
        <v>27</v>
      </c>
      <c r="C28" t="s">
        <v>12</v>
      </c>
    </row>
    <row r="29" spans="1:3" x14ac:dyDescent="0.3">
      <c r="A29" s="78" t="str">
        <f t="shared" si="0"/>
        <v>a</v>
      </c>
      <c r="B29" s="76">
        <v>28</v>
      </c>
      <c r="C29" t="s">
        <v>11</v>
      </c>
    </row>
    <row r="30" spans="1:3" x14ac:dyDescent="0.3">
      <c r="A30" s="78" t="str">
        <f t="shared" si="0"/>
        <v>a</v>
      </c>
      <c r="B30" s="76">
        <v>29</v>
      </c>
      <c r="C30" t="s">
        <v>3303</v>
      </c>
    </row>
    <row r="31" spans="1:3" x14ac:dyDescent="0.3">
      <c r="A31" s="78" t="str">
        <f t="shared" si="0"/>
        <v>a</v>
      </c>
      <c r="B31" s="76">
        <v>30</v>
      </c>
      <c r="C31" t="s">
        <v>13</v>
      </c>
    </row>
    <row r="32" spans="1:3" x14ac:dyDescent="0.3">
      <c r="A32" s="78" t="str">
        <f t="shared" si="0"/>
        <v>a</v>
      </c>
      <c r="B32" s="76">
        <v>31</v>
      </c>
      <c r="C32" t="s">
        <v>48</v>
      </c>
    </row>
    <row r="33" spans="1:3" x14ac:dyDescent="0.3">
      <c r="A33" s="78" t="str">
        <f t="shared" si="0"/>
        <v>a</v>
      </c>
      <c r="B33" s="76">
        <v>32</v>
      </c>
      <c r="C33" t="s">
        <v>14</v>
      </c>
    </row>
    <row r="34" spans="1:3" x14ac:dyDescent="0.3">
      <c r="A34" s="78" t="str">
        <f t="shared" si="0"/>
        <v>a</v>
      </c>
      <c r="B34" s="76">
        <v>33</v>
      </c>
      <c r="C34" t="s">
        <v>15</v>
      </c>
    </row>
    <row r="35" spans="1:3" x14ac:dyDescent="0.3">
      <c r="A35" s="78" t="str">
        <f t="shared" si="0"/>
        <v>a</v>
      </c>
      <c r="B35" s="76">
        <v>34</v>
      </c>
      <c r="C35" t="s">
        <v>3201</v>
      </c>
    </row>
    <row r="36" spans="1:3" x14ac:dyDescent="0.3">
      <c r="A36" s="78" t="str">
        <f t="shared" si="0"/>
        <v>a</v>
      </c>
      <c r="B36" s="76">
        <v>35</v>
      </c>
      <c r="C36" t="s">
        <v>3206</v>
      </c>
    </row>
    <row r="37" spans="1:3" x14ac:dyDescent="0.3">
      <c r="A37" s="78" t="str">
        <f t="shared" si="0"/>
        <v>a</v>
      </c>
      <c r="B37" s="76">
        <v>36</v>
      </c>
      <c r="C37" t="s">
        <v>3207</v>
      </c>
    </row>
    <row r="38" spans="1:3" x14ac:dyDescent="0.3">
      <c r="A38" s="78" t="str">
        <f t="shared" si="0"/>
        <v>a</v>
      </c>
      <c r="B38" s="76">
        <v>37</v>
      </c>
      <c r="C38" t="s">
        <v>3195</v>
      </c>
    </row>
    <row r="39" spans="1:3" x14ac:dyDescent="0.3">
      <c r="A39" s="78" t="str">
        <f t="shared" si="0"/>
        <v>a</v>
      </c>
      <c r="B39" s="76">
        <v>38</v>
      </c>
      <c r="C39" t="s">
        <v>3163</v>
      </c>
    </row>
    <row r="40" spans="1:3" x14ac:dyDescent="0.3">
      <c r="A40" s="78" t="str">
        <f t="shared" si="0"/>
        <v>a</v>
      </c>
      <c r="B40" s="76">
        <v>39</v>
      </c>
      <c r="C40" t="s">
        <v>3295</v>
      </c>
    </row>
    <row r="41" spans="1:3" x14ac:dyDescent="0.3">
      <c r="A41" s="78" t="str">
        <f t="shared" si="0"/>
        <v>a</v>
      </c>
      <c r="B41" s="76">
        <v>40</v>
      </c>
      <c r="C41" t="s">
        <v>3477</v>
      </c>
    </row>
    <row r="42" spans="1:3" x14ac:dyDescent="0.3">
      <c r="A42" s="78" t="str">
        <f t="shared" si="0"/>
        <v>a</v>
      </c>
      <c r="B42" s="76">
        <v>41</v>
      </c>
      <c r="C42" t="s">
        <v>3478</v>
      </c>
    </row>
    <row r="43" spans="1:3" x14ac:dyDescent="0.3">
      <c r="A43" s="78" t="str">
        <f t="shared" si="0"/>
        <v>a</v>
      </c>
      <c r="B43" s="76">
        <v>42</v>
      </c>
      <c r="C43" t="s">
        <v>16</v>
      </c>
    </row>
    <row r="44" spans="1:3" x14ac:dyDescent="0.3">
      <c r="A44" s="78" t="str">
        <f t="shared" si="0"/>
        <v>a</v>
      </c>
      <c r="B44" s="76">
        <v>43</v>
      </c>
      <c r="C44" t="s">
        <v>17</v>
      </c>
    </row>
    <row r="45" spans="1:3" x14ac:dyDescent="0.3">
      <c r="A45" s="78" t="str">
        <f t="shared" si="0"/>
        <v>a</v>
      </c>
      <c r="B45" s="76">
        <v>44</v>
      </c>
      <c r="C45" t="s">
        <v>3479</v>
      </c>
    </row>
    <row r="46" spans="1:3" x14ac:dyDescent="0.3">
      <c r="A46" s="78" t="str">
        <f t="shared" si="0"/>
        <v>a</v>
      </c>
      <c r="B46" s="76">
        <v>45</v>
      </c>
      <c r="C46" t="s">
        <v>3360</v>
      </c>
    </row>
    <row r="47" spans="1:3" x14ac:dyDescent="0.3">
      <c r="A47" s="78" t="str">
        <f t="shared" si="0"/>
        <v>a</v>
      </c>
      <c r="B47" s="76">
        <v>46</v>
      </c>
      <c r="C47" t="s">
        <v>18</v>
      </c>
    </row>
    <row r="48" spans="1:3" x14ac:dyDescent="0.3">
      <c r="A48" s="78" t="str">
        <f t="shared" si="0"/>
        <v>a</v>
      </c>
      <c r="B48" s="76">
        <v>47</v>
      </c>
      <c r="C48" t="s">
        <v>3304</v>
      </c>
    </row>
    <row r="49" spans="1:3" x14ac:dyDescent="0.3">
      <c r="A49" s="78" t="str">
        <f t="shared" si="0"/>
        <v>a</v>
      </c>
      <c r="B49" s="76">
        <v>48</v>
      </c>
      <c r="C49" t="s">
        <v>3480</v>
      </c>
    </row>
    <row r="50" spans="1:3" x14ac:dyDescent="0.3">
      <c r="A50" s="78" t="str">
        <f t="shared" si="0"/>
        <v>a</v>
      </c>
      <c r="B50" s="76">
        <v>49</v>
      </c>
      <c r="C50" t="s">
        <v>3481</v>
      </c>
    </row>
    <row r="51" spans="1:3" x14ac:dyDescent="0.3">
      <c r="A51" s="78" t="str">
        <f t="shared" si="0"/>
        <v>a</v>
      </c>
      <c r="B51" s="76">
        <v>50</v>
      </c>
      <c r="C51" t="s">
        <v>3482</v>
      </c>
    </row>
    <row r="52" spans="1:3" x14ac:dyDescent="0.3">
      <c r="A52" s="78" t="str">
        <f t="shared" si="0"/>
        <v>a</v>
      </c>
      <c r="B52" s="76">
        <v>51</v>
      </c>
      <c r="C52" t="s">
        <v>3163</v>
      </c>
    </row>
    <row r="53" spans="1:3" x14ac:dyDescent="0.3">
      <c r="A53" s="78" t="str">
        <f t="shared" si="0"/>
        <v>a</v>
      </c>
      <c r="B53" s="76">
        <v>52</v>
      </c>
      <c r="C53" t="s">
        <v>20</v>
      </c>
    </row>
    <row r="54" spans="1:3" x14ac:dyDescent="0.3">
      <c r="A54" s="78" t="str">
        <f t="shared" si="0"/>
        <v>a</v>
      </c>
      <c r="B54" s="76">
        <v>53</v>
      </c>
      <c r="C54" t="s">
        <v>21</v>
      </c>
    </row>
    <row r="55" spans="1:3" x14ac:dyDescent="0.3">
      <c r="A55" s="78" t="str">
        <f t="shared" si="0"/>
        <v>a</v>
      </c>
      <c r="B55" s="76">
        <v>54</v>
      </c>
      <c r="C55" t="s">
        <v>3483</v>
      </c>
    </row>
    <row r="56" spans="1:3" x14ac:dyDescent="0.3">
      <c r="A56" s="78" t="str">
        <f t="shared" si="0"/>
        <v>a</v>
      </c>
      <c r="B56" s="76">
        <v>55</v>
      </c>
      <c r="C56" t="s">
        <v>3484</v>
      </c>
    </row>
    <row r="57" spans="1:3" x14ac:dyDescent="0.3">
      <c r="A57" s="78" t="str">
        <f t="shared" si="0"/>
        <v>a</v>
      </c>
      <c r="B57" s="76">
        <v>56</v>
      </c>
      <c r="C57" t="s">
        <v>3485</v>
      </c>
    </row>
    <row r="58" spans="1:3" x14ac:dyDescent="0.3">
      <c r="A58" s="78" t="str">
        <f t="shared" si="0"/>
        <v>a</v>
      </c>
      <c r="B58" s="76">
        <v>57</v>
      </c>
      <c r="C58" t="s">
        <v>3218</v>
      </c>
    </row>
    <row r="59" spans="1:3" x14ac:dyDescent="0.3">
      <c r="A59" s="78" t="str">
        <f t="shared" si="0"/>
        <v>a</v>
      </c>
      <c r="B59" s="76">
        <v>58</v>
      </c>
      <c r="C59" t="s">
        <v>3215</v>
      </c>
    </row>
    <row r="60" spans="1:3" x14ac:dyDescent="0.3">
      <c r="A60" s="78" t="str">
        <f t="shared" si="0"/>
        <v>a</v>
      </c>
      <c r="B60" s="76">
        <v>59</v>
      </c>
      <c r="C60" t="s">
        <v>3217</v>
      </c>
    </row>
    <row r="61" spans="1:3" x14ac:dyDescent="0.3">
      <c r="A61" s="78" t="str">
        <f t="shared" si="0"/>
        <v>a</v>
      </c>
      <c r="B61" s="76">
        <v>60</v>
      </c>
      <c r="C61" t="s">
        <v>22</v>
      </c>
    </row>
    <row r="62" spans="1:3" x14ac:dyDescent="0.3">
      <c r="A62" s="78" t="str">
        <f t="shared" si="0"/>
        <v>a</v>
      </c>
      <c r="B62" s="76">
        <v>61</v>
      </c>
      <c r="C62" t="s">
        <v>3216</v>
      </c>
    </row>
    <row r="63" spans="1:3" x14ac:dyDescent="0.3">
      <c r="A63" s="78" t="str">
        <f t="shared" si="0"/>
        <v>a</v>
      </c>
      <c r="B63" s="76">
        <v>62</v>
      </c>
      <c r="C63" t="s">
        <v>23</v>
      </c>
    </row>
    <row r="64" spans="1:3" x14ac:dyDescent="0.3">
      <c r="A64" s="78" t="str">
        <f t="shared" si="0"/>
        <v>a</v>
      </c>
      <c r="B64" s="76">
        <v>63</v>
      </c>
      <c r="C64" t="s">
        <v>3223</v>
      </c>
    </row>
    <row r="65" spans="1:3" x14ac:dyDescent="0.3">
      <c r="A65" s="78" t="str">
        <f t="shared" si="0"/>
        <v>a</v>
      </c>
      <c r="B65" s="76">
        <v>64</v>
      </c>
      <c r="C65" t="s">
        <v>3224</v>
      </c>
    </row>
    <row r="66" spans="1:3" x14ac:dyDescent="0.3">
      <c r="A66" s="78" t="str">
        <f t="shared" ref="A66:A129" si="1">IF(MOD(B66,1)=0,"a","o")</f>
        <v>a</v>
      </c>
      <c r="B66" s="76">
        <v>65</v>
      </c>
      <c r="C66" t="s">
        <v>3229</v>
      </c>
    </row>
    <row r="67" spans="1:3" x14ac:dyDescent="0.3">
      <c r="A67" s="78" t="str">
        <f t="shared" si="1"/>
        <v>a</v>
      </c>
      <c r="B67" s="76">
        <v>66</v>
      </c>
      <c r="C67" t="s">
        <v>3288</v>
      </c>
    </row>
    <row r="68" spans="1:3" x14ac:dyDescent="0.3">
      <c r="A68" s="78" t="str">
        <f t="shared" si="1"/>
        <v>a</v>
      </c>
      <c r="B68" s="76">
        <v>67</v>
      </c>
      <c r="C68" t="s">
        <v>3486</v>
      </c>
    </row>
    <row r="69" spans="1:3" x14ac:dyDescent="0.3">
      <c r="A69" s="78" t="str">
        <f t="shared" si="1"/>
        <v>a</v>
      </c>
      <c r="B69" s="76">
        <v>68</v>
      </c>
      <c r="C69" t="s">
        <v>3296</v>
      </c>
    </row>
    <row r="70" spans="1:3" x14ac:dyDescent="0.3">
      <c r="A70" s="78" t="str">
        <f t="shared" si="1"/>
        <v>a</v>
      </c>
      <c r="B70" s="76">
        <v>69</v>
      </c>
      <c r="C70" t="s">
        <v>3487</v>
      </c>
    </row>
    <row r="71" spans="1:3" x14ac:dyDescent="0.3">
      <c r="A71" s="78" t="str">
        <f t="shared" si="1"/>
        <v>a</v>
      </c>
      <c r="B71" s="76">
        <v>70</v>
      </c>
      <c r="C71" t="s">
        <v>3488</v>
      </c>
    </row>
    <row r="72" spans="1:3" x14ac:dyDescent="0.3">
      <c r="A72" s="78" t="str">
        <f t="shared" si="1"/>
        <v>a</v>
      </c>
      <c r="B72" s="76">
        <v>71</v>
      </c>
      <c r="C72" t="s">
        <v>3489</v>
      </c>
    </row>
    <row r="73" spans="1:3" x14ac:dyDescent="0.3">
      <c r="A73" s="78" t="str">
        <f t="shared" si="1"/>
        <v>a</v>
      </c>
      <c r="B73" s="76">
        <v>72</v>
      </c>
      <c r="C73" t="s">
        <v>3490</v>
      </c>
    </row>
    <row r="74" spans="1:3" x14ac:dyDescent="0.3">
      <c r="A74" s="78" t="str">
        <f t="shared" si="1"/>
        <v>a</v>
      </c>
      <c r="B74" s="76">
        <v>73</v>
      </c>
      <c r="C74" t="s">
        <v>24</v>
      </c>
    </row>
    <row r="75" spans="1:3" x14ac:dyDescent="0.3">
      <c r="A75" s="78" t="str">
        <f t="shared" si="1"/>
        <v>a</v>
      </c>
      <c r="B75" s="76">
        <v>74</v>
      </c>
      <c r="C75" t="s">
        <v>3491</v>
      </c>
    </row>
    <row r="76" spans="1:3" x14ac:dyDescent="0.3">
      <c r="A76" s="78" t="str">
        <f t="shared" si="1"/>
        <v>a</v>
      </c>
      <c r="B76" s="76">
        <v>75</v>
      </c>
      <c r="C76" t="s">
        <v>3163</v>
      </c>
    </row>
    <row r="77" spans="1:3" x14ac:dyDescent="0.3">
      <c r="A77" s="78" t="str">
        <f t="shared" si="1"/>
        <v>a</v>
      </c>
      <c r="B77" s="76">
        <v>76</v>
      </c>
      <c r="C77" t="s">
        <v>25</v>
      </c>
    </row>
    <row r="78" spans="1:3" x14ac:dyDescent="0.3">
      <c r="A78" s="78" t="str">
        <f t="shared" si="1"/>
        <v>a</v>
      </c>
      <c r="B78" s="76">
        <v>77</v>
      </c>
      <c r="C78" t="s">
        <v>26</v>
      </c>
    </row>
    <row r="79" spans="1:3" x14ac:dyDescent="0.3">
      <c r="A79" s="78" t="str">
        <f t="shared" si="1"/>
        <v>a</v>
      </c>
      <c r="B79" s="76">
        <v>78</v>
      </c>
      <c r="C79" t="s">
        <v>27</v>
      </c>
    </row>
    <row r="80" spans="1:3" x14ac:dyDescent="0.3">
      <c r="A80" s="78" t="str">
        <f t="shared" si="1"/>
        <v>a</v>
      </c>
      <c r="B80" s="76">
        <v>79</v>
      </c>
      <c r="C80" t="s">
        <v>28</v>
      </c>
    </row>
    <row r="81" spans="1:3" x14ac:dyDescent="0.3">
      <c r="A81" s="78" t="str">
        <f t="shared" si="1"/>
        <v>a</v>
      </c>
      <c r="B81" s="76">
        <v>80</v>
      </c>
      <c r="C81" t="s">
        <v>3234</v>
      </c>
    </row>
    <row r="82" spans="1:3" x14ac:dyDescent="0.3">
      <c r="A82" s="78" t="str">
        <f t="shared" si="1"/>
        <v>a</v>
      </c>
      <c r="B82" s="76">
        <v>81</v>
      </c>
      <c r="C82" t="s">
        <v>19</v>
      </c>
    </row>
    <row r="83" spans="1:3" x14ac:dyDescent="0.3">
      <c r="A83" s="78" t="str">
        <f t="shared" si="1"/>
        <v>a</v>
      </c>
      <c r="B83" s="76">
        <v>82</v>
      </c>
      <c r="C83" t="s">
        <v>3235</v>
      </c>
    </row>
    <row r="84" spans="1:3" x14ac:dyDescent="0.3">
      <c r="A84" s="78" t="str">
        <f t="shared" si="1"/>
        <v>a</v>
      </c>
      <c r="B84" s="76">
        <v>83</v>
      </c>
      <c r="C84" t="s">
        <v>3236</v>
      </c>
    </row>
    <row r="85" spans="1:3" x14ac:dyDescent="0.3">
      <c r="A85" s="78" t="str">
        <f t="shared" si="1"/>
        <v>a</v>
      </c>
      <c r="B85" s="76">
        <v>84</v>
      </c>
      <c r="C85" t="s">
        <v>29</v>
      </c>
    </row>
    <row r="86" spans="1:3" x14ac:dyDescent="0.3">
      <c r="A86" s="78" t="str">
        <f t="shared" si="1"/>
        <v>a</v>
      </c>
      <c r="B86" s="76">
        <v>85</v>
      </c>
      <c r="C86" t="s">
        <v>30</v>
      </c>
    </row>
    <row r="87" spans="1:3" x14ac:dyDescent="0.3">
      <c r="A87" s="78" t="str">
        <f t="shared" si="1"/>
        <v>a</v>
      </c>
      <c r="B87" s="76">
        <v>86</v>
      </c>
      <c r="C87" t="s">
        <v>3492</v>
      </c>
    </row>
    <row r="88" spans="1:3" x14ac:dyDescent="0.3">
      <c r="A88" s="78" t="str">
        <f t="shared" si="1"/>
        <v>a</v>
      </c>
      <c r="B88" s="76">
        <v>87</v>
      </c>
      <c r="C88" t="s">
        <v>3493</v>
      </c>
    </row>
    <row r="89" spans="1:3" x14ac:dyDescent="0.3">
      <c r="A89" s="78" t="str">
        <f t="shared" si="1"/>
        <v>a</v>
      </c>
      <c r="B89" s="76">
        <v>88</v>
      </c>
      <c r="C89" t="s">
        <v>3494</v>
      </c>
    </row>
    <row r="90" spans="1:3" x14ac:dyDescent="0.3">
      <c r="A90" s="78" t="str">
        <f t="shared" si="1"/>
        <v>a</v>
      </c>
      <c r="B90" s="76">
        <v>89</v>
      </c>
      <c r="C90" t="s">
        <v>3246</v>
      </c>
    </row>
    <row r="91" spans="1:3" x14ac:dyDescent="0.3">
      <c r="A91" s="78" t="str">
        <f t="shared" si="1"/>
        <v>a</v>
      </c>
      <c r="B91" s="76">
        <v>90</v>
      </c>
      <c r="C91" t="s">
        <v>31</v>
      </c>
    </row>
    <row r="92" spans="1:3" x14ac:dyDescent="0.3">
      <c r="A92" s="78" t="str">
        <f t="shared" si="1"/>
        <v>a</v>
      </c>
      <c r="B92" s="76">
        <v>91</v>
      </c>
      <c r="C92" t="s">
        <v>3368</v>
      </c>
    </row>
    <row r="93" spans="1:3" x14ac:dyDescent="0.3">
      <c r="A93" s="78" t="str">
        <f t="shared" si="1"/>
        <v>a</v>
      </c>
      <c r="B93" s="76">
        <v>92</v>
      </c>
      <c r="C93" t="s">
        <v>3495</v>
      </c>
    </row>
    <row r="94" spans="1:3" x14ac:dyDescent="0.3">
      <c r="A94" s="78" t="str">
        <f t="shared" si="1"/>
        <v>a</v>
      </c>
      <c r="B94" s="76">
        <v>93</v>
      </c>
      <c r="C94" t="s">
        <v>32</v>
      </c>
    </row>
    <row r="95" spans="1:3" x14ac:dyDescent="0.3">
      <c r="A95" s="78" t="str">
        <f t="shared" si="1"/>
        <v>a</v>
      </c>
      <c r="B95" s="76">
        <v>94</v>
      </c>
      <c r="C95" t="s">
        <v>3496</v>
      </c>
    </row>
    <row r="96" spans="1:3" x14ac:dyDescent="0.3">
      <c r="A96" s="78" t="str">
        <f t="shared" si="1"/>
        <v>a</v>
      </c>
      <c r="B96" s="76">
        <v>95</v>
      </c>
      <c r="C96" t="s">
        <v>33</v>
      </c>
    </row>
    <row r="97" spans="1:3" x14ac:dyDescent="0.3">
      <c r="A97" s="78" t="str">
        <f t="shared" si="1"/>
        <v>a</v>
      </c>
      <c r="B97" s="76">
        <v>96</v>
      </c>
      <c r="C97" t="s">
        <v>34</v>
      </c>
    </row>
    <row r="98" spans="1:3" x14ac:dyDescent="0.3">
      <c r="A98" s="78" t="str">
        <f t="shared" si="1"/>
        <v>a</v>
      </c>
      <c r="B98" s="76">
        <v>97</v>
      </c>
      <c r="C98" t="s">
        <v>35</v>
      </c>
    </row>
    <row r="99" spans="1:3" x14ac:dyDescent="0.3">
      <c r="A99" s="78" t="str">
        <f t="shared" si="1"/>
        <v>a</v>
      </c>
      <c r="B99" s="76">
        <v>98</v>
      </c>
      <c r="C99" t="s">
        <v>36</v>
      </c>
    </row>
    <row r="100" spans="1:3" x14ac:dyDescent="0.3">
      <c r="A100" s="78" t="str">
        <f t="shared" si="1"/>
        <v>a</v>
      </c>
      <c r="B100" s="76">
        <v>99</v>
      </c>
      <c r="C100" t="s">
        <v>3</v>
      </c>
    </row>
    <row r="101" spans="1:3" x14ac:dyDescent="0.3">
      <c r="A101" s="78" t="str">
        <f t="shared" si="1"/>
        <v>a</v>
      </c>
      <c r="B101" s="76">
        <v>100</v>
      </c>
      <c r="C101" t="s">
        <v>49</v>
      </c>
    </row>
    <row r="102" spans="1:3" x14ac:dyDescent="0.3">
      <c r="A102" s="78" t="str">
        <f t="shared" si="1"/>
        <v>a</v>
      </c>
      <c r="B102" s="76">
        <v>101</v>
      </c>
      <c r="C102" t="s">
        <v>50</v>
      </c>
    </row>
    <row r="103" spans="1:3" x14ac:dyDescent="0.3">
      <c r="A103" s="78" t="str">
        <f t="shared" si="1"/>
        <v>a</v>
      </c>
      <c r="B103" s="76">
        <v>102</v>
      </c>
      <c r="C103" t="s">
        <v>3497</v>
      </c>
    </row>
    <row r="104" spans="1:3" x14ac:dyDescent="0.3">
      <c r="A104" s="78" t="str">
        <f t="shared" si="1"/>
        <v>a</v>
      </c>
      <c r="B104" s="76">
        <v>103</v>
      </c>
      <c r="C104" t="s">
        <v>3498</v>
      </c>
    </row>
    <row r="105" spans="1:3" x14ac:dyDescent="0.3">
      <c r="A105" s="78" t="str">
        <f t="shared" si="1"/>
        <v>a</v>
      </c>
      <c r="B105" s="76">
        <v>104</v>
      </c>
      <c r="C105" t="s">
        <v>3499</v>
      </c>
    </row>
    <row r="106" spans="1:3" x14ac:dyDescent="0.3">
      <c r="A106" s="78" t="str">
        <f t="shared" si="1"/>
        <v>a</v>
      </c>
      <c r="B106" s="76">
        <v>105</v>
      </c>
      <c r="C106" t="s">
        <v>37</v>
      </c>
    </row>
    <row r="107" spans="1:3" x14ac:dyDescent="0.3">
      <c r="A107" s="78" t="str">
        <f t="shared" si="1"/>
        <v>a</v>
      </c>
      <c r="B107" s="76">
        <v>106</v>
      </c>
      <c r="C107" t="s">
        <v>38</v>
      </c>
    </row>
    <row r="108" spans="1:3" x14ac:dyDescent="0.3">
      <c r="A108" s="78" t="str">
        <f t="shared" si="1"/>
        <v>a</v>
      </c>
      <c r="B108" s="76">
        <v>107</v>
      </c>
      <c r="C108" t="s">
        <v>3500</v>
      </c>
    </row>
    <row r="109" spans="1:3" x14ac:dyDescent="0.3">
      <c r="A109" s="78" t="str">
        <f t="shared" si="1"/>
        <v>a</v>
      </c>
      <c r="B109" s="76">
        <v>108</v>
      </c>
      <c r="C109" t="s">
        <v>39</v>
      </c>
    </row>
    <row r="110" spans="1:3" x14ac:dyDescent="0.3">
      <c r="A110" s="78" t="str">
        <f t="shared" si="1"/>
        <v>a</v>
      </c>
      <c r="B110" s="76">
        <v>109</v>
      </c>
      <c r="C110" t="s">
        <v>40</v>
      </c>
    </row>
    <row r="111" spans="1:3" x14ac:dyDescent="0.3">
      <c r="A111" s="78" t="str">
        <f t="shared" si="1"/>
        <v>a</v>
      </c>
      <c r="B111" s="76">
        <v>110</v>
      </c>
      <c r="C111" t="s">
        <v>41</v>
      </c>
    </row>
    <row r="112" spans="1:3" x14ac:dyDescent="0.3">
      <c r="A112" s="78" t="str">
        <f t="shared" si="1"/>
        <v>a</v>
      </c>
      <c r="B112" s="76">
        <v>111</v>
      </c>
      <c r="C112" t="s">
        <v>42</v>
      </c>
    </row>
    <row r="113" spans="1:3" x14ac:dyDescent="0.3">
      <c r="A113" s="78" t="str">
        <f t="shared" si="1"/>
        <v>a</v>
      </c>
      <c r="B113" s="76">
        <v>112</v>
      </c>
      <c r="C113" t="s">
        <v>43</v>
      </c>
    </row>
    <row r="114" spans="1:3" x14ac:dyDescent="0.3">
      <c r="A114" s="78" t="str">
        <f t="shared" si="1"/>
        <v>a</v>
      </c>
      <c r="B114" s="76">
        <v>113</v>
      </c>
      <c r="C114" t="s">
        <v>44</v>
      </c>
    </row>
    <row r="115" spans="1:3" x14ac:dyDescent="0.3">
      <c r="A115" s="78" t="str">
        <f t="shared" si="1"/>
        <v>a</v>
      </c>
      <c r="B115" s="76">
        <v>114</v>
      </c>
      <c r="C115" t="s">
        <v>3502</v>
      </c>
    </row>
    <row r="116" spans="1:3" x14ac:dyDescent="0.3">
      <c r="A116" s="78" t="str">
        <f t="shared" si="1"/>
        <v>a</v>
      </c>
      <c r="B116" s="76">
        <v>115</v>
      </c>
      <c r="C116" t="s">
        <v>3501</v>
      </c>
    </row>
    <row r="117" spans="1:3" x14ac:dyDescent="0.3">
      <c r="A117" s="78" t="str">
        <f t="shared" si="1"/>
        <v>a</v>
      </c>
      <c r="B117" s="76">
        <v>116</v>
      </c>
      <c r="C117" t="s">
        <v>3503</v>
      </c>
    </row>
    <row r="118" spans="1:3" x14ac:dyDescent="0.3">
      <c r="A118" s="78" t="str">
        <f t="shared" si="1"/>
        <v>a</v>
      </c>
      <c r="B118" s="76">
        <v>117</v>
      </c>
      <c r="C118" t="s">
        <v>3504</v>
      </c>
    </row>
    <row r="119" spans="1:3" x14ac:dyDescent="0.3">
      <c r="A119" s="78" t="str">
        <f t="shared" si="1"/>
        <v>a</v>
      </c>
      <c r="B119" s="76">
        <v>118</v>
      </c>
      <c r="C119" t="s">
        <v>3163</v>
      </c>
    </row>
    <row r="120" spans="1:3" x14ac:dyDescent="0.3">
      <c r="A120" s="78" t="str">
        <f t="shared" si="1"/>
        <v>a</v>
      </c>
      <c r="B120" s="76">
        <v>119</v>
      </c>
      <c r="C120" t="s">
        <v>3505</v>
      </c>
    </row>
    <row r="121" spans="1:3" x14ac:dyDescent="0.3">
      <c r="A121" s="78" t="str">
        <f t="shared" si="1"/>
        <v>a</v>
      </c>
      <c r="B121" s="76">
        <v>120</v>
      </c>
      <c r="C121" t="s">
        <v>3506</v>
      </c>
    </row>
    <row r="122" spans="1:3" x14ac:dyDescent="0.3">
      <c r="A122" s="78" t="str">
        <f t="shared" si="1"/>
        <v>a</v>
      </c>
      <c r="B122" s="76">
        <v>121</v>
      </c>
      <c r="C122" t="s">
        <v>3507</v>
      </c>
    </row>
    <row r="123" spans="1:3" x14ac:dyDescent="0.3">
      <c r="A123" s="78" t="str">
        <f t="shared" si="1"/>
        <v>a</v>
      </c>
      <c r="B123" s="76">
        <v>122</v>
      </c>
      <c r="C123" t="s">
        <v>3163</v>
      </c>
    </row>
    <row r="124" spans="1:3" x14ac:dyDescent="0.3">
      <c r="A124" s="78" t="str">
        <f t="shared" si="1"/>
        <v>a</v>
      </c>
      <c r="B124" s="76">
        <v>123</v>
      </c>
      <c r="C124" t="s">
        <v>3279</v>
      </c>
    </row>
    <row r="125" spans="1:3" x14ac:dyDescent="0.3">
      <c r="A125" s="78" t="str">
        <f t="shared" si="1"/>
        <v>a</v>
      </c>
      <c r="B125" s="76">
        <v>124</v>
      </c>
      <c r="C125" t="s">
        <v>3278</v>
      </c>
    </row>
    <row r="126" spans="1:3" x14ac:dyDescent="0.3">
      <c r="A126" s="78" t="str">
        <f t="shared" si="1"/>
        <v>a</v>
      </c>
      <c r="B126" s="76">
        <v>125</v>
      </c>
      <c r="C126" t="s">
        <v>46</v>
      </c>
    </row>
    <row r="127" spans="1:3" x14ac:dyDescent="0.3">
      <c r="A127" s="78" t="str">
        <f t="shared" si="1"/>
        <v>a</v>
      </c>
      <c r="B127" s="76">
        <v>126</v>
      </c>
      <c r="C127" t="s">
        <v>47</v>
      </c>
    </row>
    <row r="128" spans="1:3" x14ac:dyDescent="0.3">
      <c r="A128" s="78" t="str">
        <f t="shared" si="1"/>
        <v>a</v>
      </c>
      <c r="B128" s="76">
        <v>127</v>
      </c>
      <c r="C128" t="s">
        <v>3276</v>
      </c>
    </row>
    <row r="129" spans="1:8" x14ac:dyDescent="0.3">
      <c r="A129" s="78" t="str">
        <f t="shared" si="1"/>
        <v>a</v>
      </c>
      <c r="B129" s="76">
        <v>128</v>
      </c>
      <c r="C129" t="s">
        <v>3277</v>
      </c>
    </row>
    <row r="130" spans="1:8" x14ac:dyDescent="0.3">
      <c r="A130" s="78" t="str">
        <f t="shared" ref="A130:A193" si="2">IF(MOD(B130,1)=0,"a","o")</f>
        <v>a</v>
      </c>
      <c r="B130" s="76">
        <v>129</v>
      </c>
      <c r="C130" t="s">
        <v>3280</v>
      </c>
    </row>
    <row r="131" spans="1:8" hidden="1" x14ac:dyDescent="0.3">
      <c r="A131" s="78" t="str">
        <f t="shared" si="2"/>
        <v>o</v>
      </c>
      <c r="B131" s="76">
        <v>1.5</v>
      </c>
      <c r="C131">
        <v>0</v>
      </c>
      <c r="D131">
        <v>600</v>
      </c>
      <c r="E131">
        <v>600</v>
      </c>
      <c r="F131">
        <v>36.531999999999996</v>
      </c>
      <c r="G131">
        <v>37.012999999999998</v>
      </c>
      <c r="H131">
        <v>0.48100000000000165</v>
      </c>
    </row>
    <row r="132" spans="1:8" hidden="1" x14ac:dyDescent="0.3">
      <c r="A132" s="78" t="str">
        <f t="shared" si="2"/>
        <v>o</v>
      </c>
      <c r="B132" s="76">
        <v>2.5</v>
      </c>
      <c r="C132">
        <v>600</v>
      </c>
      <c r="D132">
        <v>1300</v>
      </c>
      <c r="E132">
        <v>700</v>
      </c>
      <c r="F132">
        <v>37.013154771451525</v>
      </c>
      <c r="G132">
        <v>39.771999999999998</v>
      </c>
      <c r="H132">
        <v>2.7588452285484735</v>
      </c>
    </row>
    <row r="133" spans="1:8" hidden="1" x14ac:dyDescent="0.3">
      <c r="A133" s="78" t="str">
        <f t="shared" si="2"/>
        <v>o</v>
      </c>
      <c r="B133" s="76">
        <v>3.5</v>
      </c>
      <c r="C133">
        <v>1300</v>
      </c>
      <c r="D133">
        <v>1460</v>
      </c>
      <c r="E133">
        <v>160</v>
      </c>
      <c r="F133">
        <v>39.769060283262668</v>
      </c>
      <c r="G133">
        <v>39.75</v>
      </c>
      <c r="H133">
        <v>-1.9060283262668065E-2</v>
      </c>
    </row>
    <row r="134" spans="1:8" hidden="1" x14ac:dyDescent="0.3">
      <c r="A134" s="78" t="str">
        <f t="shared" si="2"/>
        <v>o</v>
      </c>
      <c r="B134" s="76">
        <v>4.5</v>
      </c>
      <c r="C134">
        <v>1460</v>
      </c>
      <c r="D134">
        <v>1760</v>
      </c>
      <c r="E134">
        <v>300</v>
      </c>
      <c r="F134">
        <v>39.749999049047751</v>
      </c>
      <c r="G134">
        <v>38.692999999999998</v>
      </c>
      <c r="H134">
        <v>-1.0569990490477537</v>
      </c>
    </row>
    <row r="135" spans="1:8" hidden="1" x14ac:dyDescent="0.3">
      <c r="A135" s="78" t="str">
        <f t="shared" si="2"/>
        <v>o</v>
      </c>
      <c r="B135" s="76">
        <v>5.5</v>
      </c>
      <c r="C135">
        <v>1760</v>
      </c>
      <c r="D135">
        <v>2060</v>
      </c>
      <c r="E135">
        <v>300</v>
      </c>
      <c r="F135">
        <v>38.693661020878785</v>
      </c>
      <c r="G135">
        <v>38.148000000000003</v>
      </c>
      <c r="H135">
        <v>-0.54566102087878221</v>
      </c>
    </row>
    <row r="136" spans="1:8" hidden="1" x14ac:dyDescent="0.3">
      <c r="A136" s="78" t="str">
        <f t="shared" si="2"/>
        <v>o</v>
      </c>
      <c r="B136" s="76">
        <v>6.5</v>
      </c>
      <c r="C136">
        <v>2060</v>
      </c>
      <c r="D136">
        <v>3000</v>
      </c>
      <c r="E136">
        <v>940</v>
      </c>
      <c r="F136">
        <v>38.148206475424203</v>
      </c>
      <c r="G136">
        <v>37.97</v>
      </c>
      <c r="H136">
        <v>-0.17820647542420431</v>
      </c>
    </row>
    <row r="137" spans="1:8" hidden="1" x14ac:dyDescent="0.3">
      <c r="A137" s="78" t="str">
        <f t="shared" si="2"/>
        <v>o</v>
      </c>
      <c r="B137" s="76">
        <v>7.5</v>
      </c>
      <c r="C137">
        <v>3000</v>
      </c>
      <c r="D137">
        <v>3580</v>
      </c>
      <c r="E137">
        <v>580</v>
      </c>
      <c r="F137">
        <v>37.970007423291563</v>
      </c>
      <c r="G137">
        <v>38.966000000000001</v>
      </c>
      <c r="H137">
        <v>0.99599257670843855</v>
      </c>
    </row>
    <row r="138" spans="1:8" hidden="1" x14ac:dyDescent="0.3">
      <c r="A138" s="78" t="str">
        <f t="shared" si="2"/>
        <v>o</v>
      </c>
      <c r="B138" s="76">
        <v>8.5</v>
      </c>
      <c r="C138">
        <v>3580</v>
      </c>
      <c r="D138">
        <v>3740</v>
      </c>
      <c r="E138">
        <v>160</v>
      </c>
      <c r="F138">
        <v>38.966570997174721</v>
      </c>
      <c r="G138">
        <v>39.756999999999998</v>
      </c>
      <c r="H138">
        <v>0.79042900282527739</v>
      </c>
    </row>
    <row r="139" spans="1:8" hidden="1" x14ac:dyDescent="0.3">
      <c r="A139" s="78" t="str">
        <f t="shared" si="2"/>
        <v>o</v>
      </c>
      <c r="B139" s="76">
        <v>9.5</v>
      </c>
      <c r="C139">
        <v>3740</v>
      </c>
      <c r="D139">
        <v>4060</v>
      </c>
      <c r="E139">
        <v>320</v>
      </c>
      <c r="F139">
        <v>39.758650205095499</v>
      </c>
      <c r="G139">
        <v>42.44</v>
      </c>
      <c r="H139">
        <v>2.6813497949044987</v>
      </c>
    </row>
    <row r="140" spans="1:8" hidden="1" x14ac:dyDescent="0.3">
      <c r="A140" s="78" t="str">
        <f t="shared" si="2"/>
        <v>o</v>
      </c>
      <c r="B140" s="76">
        <v>10.5</v>
      </c>
      <c r="C140">
        <v>4060</v>
      </c>
      <c r="D140">
        <v>4360</v>
      </c>
      <c r="E140">
        <v>300</v>
      </c>
      <c r="F140">
        <v>42.44772583534759</v>
      </c>
      <c r="G140">
        <v>43.576000000000001</v>
      </c>
      <c r="H140">
        <v>1.1282741646524101</v>
      </c>
    </row>
    <row r="141" spans="1:8" hidden="1" x14ac:dyDescent="0.3">
      <c r="A141" s="78" t="str">
        <f t="shared" si="2"/>
        <v>o</v>
      </c>
      <c r="B141" s="76">
        <v>11.5</v>
      </c>
      <c r="C141">
        <v>4360</v>
      </c>
      <c r="D141">
        <v>4900</v>
      </c>
      <c r="E141">
        <v>540</v>
      </c>
      <c r="F141">
        <v>43.575545384219772</v>
      </c>
      <c r="G141">
        <v>44.881999999999998</v>
      </c>
      <c r="H141">
        <v>1.3064546157802255</v>
      </c>
    </row>
    <row r="142" spans="1:8" hidden="1" x14ac:dyDescent="0.3">
      <c r="A142" s="78" t="str">
        <f t="shared" si="2"/>
        <v>o</v>
      </c>
      <c r="B142" s="76">
        <v>12.5</v>
      </c>
      <c r="C142">
        <v>4900</v>
      </c>
      <c r="D142">
        <v>5480</v>
      </c>
      <c r="E142">
        <v>580</v>
      </c>
      <c r="F142">
        <v>44.883051437488575</v>
      </c>
      <c r="G142">
        <v>45.572000000000003</v>
      </c>
      <c r="H142">
        <v>0.68894856251142755</v>
      </c>
    </row>
    <row r="143" spans="1:8" hidden="1" x14ac:dyDescent="0.3">
      <c r="A143" s="78" t="str">
        <f t="shared" si="2"/>
        <v>o</v>
      </c>
      <c r="B143" s="76">
        <v>13.5</v>
      </c>
      <c r="C143">
        <v>5480</v>
      </c>
      <c r="D143">
        <v>6280</v>
      </c>
      <c r="E143">
        <v>800</v>
      </c>
      <c r="F143">
        <v>45.571887542001654</v>
      </c>
      <c r="G143">
        <v>48.911000000000001</v>
      </c>
      <c r="H143">
        <v>3.3391124579983469</v>
      </c>
    </row>
    <row r="144" spans="1:8" hidden="1" x14ac:dyDescent="0.3">
      <c r="A144" s="78" t="str">
        <f t="shared" si="2"/>
        <v>o</v>
      </c>
      <c r="B144" s="76">
        <v>14.5</v>
      </c>
      <c r="C144">
        <v>6280</v>
      </c>
      <c r="D144">
        <v>6500</v>
      </c>
      <c r="E144">
        <v>220</v>
      </c>
      <c r="F144">
        <v>48.905220875335083</v>
      </c>
      <c r="G144">
        <v>50.180999999999997</v>
      </c>
      <c r="H144">
        <v>1.2757791246649148</v>
      </c>
    </row>
    <row r="145" spans="1:8" hidden="1" x14ac:dyDescent="0.3">
      <c r="A145" s="78" t="str">
        <f t="shared" si="2"/>
        <v>o</v>
      </c>
      <c r="B145" s="76">
        <v>15.5</v>
      </c>
      <c r="C145">
        <v>6500</v>
      </c>
      <c r="D145">
        <v>6980</v>
      </c>
      <c r="E145">
        <v>480</v>
      </c>
      <c r="F145">
        <v>50.184290642776965</v>
      </c>
      <c r="G145">
        <v>51.478999999999999</v>
      </c>
      <c r="H145">
        <v>1.2947093572230344</v>
      </c>
    </row>
    <row r="146" spans="1:8" hidden="1" x14ac:dyDescent="0.3">
      <c r="A146" s="78" t="str">
        <f t="shared" si="2"/>
        <v>o</v>
      </c>
      <c r="B146" s="76">
        <v>16.5</v>
      </c>
      <c r="C146">
        <v>6980</v>
      </c>
      <c r="D146">
        <v>7200</v>
      </c>
      <c r="E146">
        <v>220</v>
      </c>
      <c r="F146">
        <v>51.478091181860599</v>
      </c>
      <c r="G146">
        <v>51.395000000000003</v>
      </c>
      <c r="H146">
        <v>-8.3091181860595498E-2</v>
      </c>
    </row>
    <row r="147" spans="1:8" hidden="1" x14ac:dyDescent="0.3">
      <c r="A147" s="78" t="str">
        <f t="shared" si="2"/>
        <v>o</v>
      </c>
      <c r="B147" s="76">
        <v>17.5</v>
      </c>
      <c r="C147">
        <v>7200</v>
      </c>
      <c r="D147">
        <v>7580</v>
      </c>
      <c r="E147">
        <v>380</v>
      </c>
      <c r="F147">
        <v>51.395009610863617</v>
      </c>
      <c r="G147">
        <v>50.622</v>
      </c>
      <c r="H147">
        <v>-0.77300961086361752</v>
      </c>
    </row>
    <row r="148" spans="1:8" hidden="1" x14ac:dyDescent="0.3">
      <c r="A148" s="78" t="str">
        <f t="shared" si="2"/>
        <v>o</v>
      </c>
      <c r="B148" s="76">
        <v>18.5</v>
      </c>
      <c r="C148">
        <v>7580</v>
      </c>
      <c r="D148">
        <v>7780</v>
      </c>
      <c r="E148">
        <v>200</v>
      </c>
      <c r="F148">
        <v>50.622651887286409</v>
      </c>
      <c r="G148">
        <v>49.99</v>
      </c>
      <c r="H148">
        <v>-0.63265188728640709</v>
      </c>
    </row>
    <row r="149" spans="1:8" hidden="1" x14ac:dyDescent="0.3">
      <c r="A149" s="78" t="str">
        <f t="shared" si="2"/>
        <v>o</v>
      </c>
      <c r="B149" s="76">
        <v>19.5</v>
      </c>
      <c r="C149">
        <v>7780</v>
      </c>
      <c r="D149">
        <v>8560</v>
      </c>
      <c r="E149">
        <v>780</v>
      </c>
      <c r="F149">
        <v>49.98974049488136</v>
      </c>
      <c r="G149">
        <v>49.146000000000001</v>
      </c>
      <c r="H149">
        <v>-0.84374049488135938</v>
      </c>
    </row>
    <row r="150" spans="1:8" hidden="1" x14ac:dyDescent="0.3">
      <c r="A150" s="78" t="str">
        <f t="shared" si="2"/>
        <v>o</v>
      </c>
      <c r="B150" s="76">
        <v>20.5</v>
      </c>
      <c r="C150">
        <v>8560</v>
      </c>
      <c r="D150">
        <v>8760</v>
      </c>
      <c r="E150">
        <v>200</v>
      </c>
      <c r="F150">
        <v>49.145584650725532</v>
      </c>
      <c r="G150">
        <v>48.302999999999997</v>
      </c>
      <c r="H150">
        <v>-0.84258465072553435</v>
      </c>
    </row>
    <row r="151" spans="1:8" hidden="1" x14ac:dyDescent="0.3">
      <c r="A151" s="78" t="str">
        <f t="shared" si="2"/>
        <v>o</v>
      </c>
      <c r="B151" s="76">
        <v>21.5</v>
      </c>
      <c r="C151">
        <v>8760</v>
      </c>
      <c r="D151">
        <v>9400</v>
      </c>
      <c r="E151">
        <v>640</v>
      </c>
      <c r="F151">
        <v>48.301702794185466</v>
      </c>
      <c r="G151">
        <v>43.523000000000003</v>
      </c>
      <c r="H151">
        <v>-4.7787027941854632</v>
      </c>
    </row>
    <row r="152" spans="1:8" hidden="1" x14ac:dyDescent="0.3">
      <c r="A152" s="78" t="str">
        <f t="shared" si="2"/>
        <v>o</v>
      </c>
      <c r="B152" s="76">
        <v>22.5</v>
      </c>
      <c r="C152">
        <v>9400</v>
      </c>
      <c r="D152">
        <v>9660</v>
      </c>
      <c r="E152">
        <v>260</v>
      </c>
      <c r="F152">
        <v>43.525583391200307</v>
      </c>
      <c r="G152">
        <v>43.027000000000001</v>
      </c>
      <c r="H152">
        <v>-0.49858339120030593</v>
      </c>
    </row>
    <row r="153" spans="1:8" hidden="1" x14ac:dyDescent="0.3">
      <c r="A153" s="78" t="str">
        <f t="shared" si="2"/>
        <v>o</v>
      </c>
      <c r="B153" s="76">
        <v>23.5</v>
      </c>
      <c r="C153">
        <v>9660</v>
      </c>
      <c r="D153">
        <v>10020</v>
      </c>
      <c r="E153">
        <v>360</v>
      </c>
      <c r="F153">
        <v>43.026543084098577</v>
      </c>
      <c r="G153">
        <v>43.598999999999997</v>
      </c>
      <c r="H153">
        <v>0.57245691590141945</v>
      </c>
    </row>
    <row r="154" spans="1:8" hidden="1" x14ac:dyDescent="0.3">
      <c r="A154" s="78" t="str">
        <f t="shared" si="2"/>
        <v>o</v>
      </c>
      <c r="B154" s="76">
        <v>24.5</v>
      </c>
      <c r="C154">
        <v>10020</v>
      </c>
      <c r="D154">
        <v>10340</v>
      </c>
      <c r="E154">
        <v>320</v>
      </c>
      <c r="F154">
        <v>43.598880127023833</v>
      </c>
      <c r="G154">
        <v>43.646999999999998</v>
      </c>
      <c r="H154">
        <v>4.8119872976165823E-2</v>
      </c>
    </row>
    <row r="155" spans="1:8" hidden="1" x14ac:dyDescent="0.3">
      <c r="A155" s="78" t="str">
        <f t="shared" si="2"/>
        <v>o</v>
      </c>
      <c r="B155" s="76">
        <v>25.5</v>
      </c>
      <c r="C155">
        <v>10340</v>
      </c>
      <c r="D155">
        <v>10660</v>
      </c>
      <c r="E155">
        <v>320</v>
      </c>
      <c r="F155">
        <v>43.647000427775694</v>
      </c>
      <c r="G155">
        <v>43.298999999999999</v>
      </c>
      <c r="H155">
        <v>-0.34800042777569473</v>
      </c>
    </row>
    <row r="156" spans="1:8" hidden="1" x14ac:dyDescent="0.3">
      <c r="A156" s="78" t="str">
        <f t="shared" si="2"/>
        <v>o</v>
      </c>
      <c r="B156" s="76">
        <v>26.5</v>
      </c>
      <c r="C156">
        <v>10660</v>
      </c>
      <c r="D156">
        <v>11200</v>
      </c>
      <c r="E156">
        <v>540</v>
      </c>
      <c r="F156">
        <v>43.299174340819192</v>
      </c>
      <c r="G156">
        <v>43.491999999999997</v>
      </c>
      <c r="H156">
        <v>0.19282565918080508</v>
      </c>
    </row>
    <row r="157" spans="1:8" hidden="1" x14ac:dyDescent="0.3">
      <c r="A157" s="78" t="str">
        <f t="shared" si="2"/>
        <v>o</v>
      </c>
      <c r="B157" s="76">
        <v>27.5</v>
      </c>
      <c r="C157">
        <v>11200</v>
      </c>
      <c r="D157">
        <v>11360</v>
      </c>
      <c r="E157">
        <v>160</v>
      </c>
      <c r="F157">
        <v>43.492031483676406</v>
      </c>
      <c r="G157">
        <v>43.234000000000002</v>
      </c>
      <c r="H157">
        <v>-0.2580314836764046</v>
      </c>
    </row>
    <row r="158" spans="1:8" hidden="1" x14ac:dyDescent="0.3">
      <c r="A158" s="78" t="str">
        <f t="shared" si="2"/>
        <v>o</v>
      </c>
      <c r="B158" s="76">
        <v>28.5</v>
      </c>
      <c r="C158">
        <v>11360</v>
      </c>
      <c r="D158">
        <v>11860</v>
      </c>
      <c r="E158">
        <v>500</v>
      </c>
      <c r="F158">
        <v>43.233966967547381</v>
      </c>
      <c r="G158">
        <v>40.914999999999999</v>
      </c>
      <c r="H158">
        <v>-2.3189669675473823</v>
      </c>
    </row>
    <row r="159" spans="1:8" hidden="1" x14ac:dyDescent="0.3">
      <c r="A159" s="78" t="str">
        <f t="shared" si="2"/>
        <v>o</v>
      </c>
      <c r="B159" s="76">
        <v>29.5</v>
      </c>
      <c r="C159">
        <v>11860</v>
      </c>
      <c r="D159">
        <v>12100</v>
      </c>
      <c r="E159">
        <v>240</v>
      </c>
      <c r="F159">
        <v>40.919152152732501</v>
      </c>
      <c r="G159">
        <v>40.804000000000002</v>
      </c>
      <c r="H159">
        <v>-0.11515215273249879</v>
      </c>
    </row>
    <row r="160" spans="1:8" hidden="1" x14ac:dyDescent="0.3">
      <c r="A160" s="78" t="str">
        <f t="shared" si="2"/>
        <v>o</v>
      </c>
      <c r="B160" s="76">
        <v>30.5</v>
      </c>
      <c r="C160">
        <v>12100</v>
      </c>
      <c r="D160">
        <v>12300</v>
      </c>
      <c r="E160">
        <v>200</v>
      </c>
      <c r="F160">
        <v>40.803989004939815</v>
      </c>
      <c r="G160">
        <v>41.027999999999999</v>
      </c>
      <c r="H160">
        <v>0.2240109950601834</v>
      </c>
    </row>
    <row r="161" spans="1:8" hidden="1" x14ac:dyDescent="0.3">
      <c r="A161" s="78" t="str">
        <f t="shared" si="2"/>
        <v>o</v>
      </c>
      <c r="B161" s="76">
        <v>31.5</v>
      </c>
      <c r="C161">
        <v>12300</v>
      </c>
      <c r="D161">
        <v>12480</v>
      </c>
      <c r="E161">
        <v>180</v>
      </c>
      <c r="F161">
        <v>41.027953170673321</v>
      </c>
      <c r="G161">
        <v>40.825000000000003</v>
      </c>
      <c r="H161">
        <v>-0.20295317067331808</v>
      </c>
    </row>
    <row r="162" spans="1:8" hidden="1" x14ac:dyDescent="0.3">
      <c r="A162" s="78" t="str">
        <f t="shared" si="2"/>
        <v>o</v>
      </c>
      <c r="B162" s="76">
        <v>32.5</v>
      </c>
      <c r="C162">
        <v>12480</v>
      </c>
      <c r="D162">
        <v>12920</v>
      </c>
      <c r="E162">
        <v>440</v>
      </c>
      <c r="F162">
        <v>40.82502194181199</v>
      </c>
      <c r="G162">
        <v>36.462000000000003</v>
      </c>
      <c r="H162">
        <v>-4.3630219418119864</v>
      </c>
    </row>
    <row r="163" spans="1:8" hidden="1" x14ac:dyDescent="0.3">
      <c r="A163" s="78" t="str">
        <f t="shared" si="2"/>
        <v>o</v>
      </c>
      <c r="B163" s="76">
        <v>33.5</v>
      </c>
      <c r="C163">
        <v>12920</v>
      </c>
      <c r="D163">
        <v>13060</v>
      </c>
      <c r="E163">
        <v>140</v>
      </c>
      <c r="F163">
        <v>36.468586298247708</v>
      </c>
      <c r="G163">
        <v>35.840000000000003</v>
      </c>
      <c r="H163">
        <v>-0.62858629824770418</v>
      </c>
    </row>
    <row r="164" spans="1:8" hidden="1" x14ac:dyDescent="0.3">
      <c r="A164" s="78" t="str">
        <f t="shared" si="2"/>
        <v>o</v>
      </c>
      <c r="B164" s="76">
        <v>34.5</v>
      </c>
      <c r="C164">
        <v>13060</v>
      </c>
      <c r="D164">
        <v>13880</v>
      </c>
      <c r="E164">
        <v>820</v>
      </c>
      <c r="F164">
        <v>35.84078360766474</v>
      </c>
      <c r="G164">
        <v>35.575000000000003</v>
      </c>
      <c r="H164">
        <v>-0.26578360766473708</v>
      </c>
    </row>
    <row r="165" spans="1:8" hidden="1" x14ac:dyDescent="0.3">
      <c r="A165" s="78" t="str">
        <f t="shared" si="2"/>
        <v>o</v>
      </c>
      <c r="B165" s="76">
        <v>35.5</v>
      </c>
      <c r="C165">
        <v>13880</v>
      </c>
      <c r="D165">
        <v>14500</v>
      </c>
      <c r="E165">
        <v>620</v>
      </c>
      <c r="F165">
        <v>35.574981338621086</v>
      </c>
      <c r="G165">
        <v>29.890999999999998</v>
      </c>
      <c r="H165">
        <v>-5.6839813386210878</v>
      </c>
    </row>
    <row r="166" spans="1:8" hidden="1" x14ac:dyDescent="0.3">
      <c r="A166" s="78" t="str">
        <f t="shared" si="2"/>
        <v>o</v>
      </c>
      <c r="B166" s="76">
        <v>36.5</v>
      </c>
      <c r="C166">
        <v>14500</v>
      </c>
      <c r="D166">
        <v>15280</v>
      </c>
      <c r="E166">
        <v>780</v>
      </c>
      <c r="F166">
        <v>29.886907944125625</v>
      </c>
      <c r="G166">
        <v>28.234999999999999</v>
      </c>
      <c r="H166">
        <v>-1.6519079441256252</v>
      </c>
    </row>
    <row r="167" spans="1:8" hidden="1" x14ac:dyDescent="0.3">
      <c r="A167" s="78" t="str">
        <f t="shared" si="2"/>
        <v>o</v>
      </c>
      <c r="B167" s="76">
        <v>37.5</v>
      </c>
      <c r="C167">
        <v>15280</v>
      </c>
      <c r="D167">
        <v>15600</v>
      </c>
      <c r="E167">
        <v>320</v>
      </c>
      <c r="F167">
        <v>28.234365571244325</v>
      </c>
      <c r="G167">
        <v>25.48</v>
      </c>
      <c r="H167">
        <v>-2.7543655712443247</v>
      </c>
    </row>
    <row r="168" spans="1:8" hidden="1" x14ac:dyDescent="0.3">
      <c r="A168" s="78" t="str">
        <f t="shared" si="2"/>
        <v>o</v>
      </c>
      <c r="B168" s="76">
        <v>38.5</v>
      </c>
      <c r="C168">
        <v>15600</v>
      </c>
      <c r="D168">
        <v>15920</v>
      </c>
      <c r="E168">
        <v>320</v>
      </c>
      <c r="F168">
        <v>25.475744881589151</v>
      </c>
      <c r="G168">
        <v>25.463000000000001</v>
      </c>
      <c r="H168">
        <v>-1.274488158914977E-2</v>
      </c>
    </row>
    <row r="169" spans="1:8" hidden="1" x14ac:dyDescent="0.3">
      <c r="A169" s="78" t="str">
        <f t="shared" si="2"/>
        <v>o</v>
      </c>
      <c r="B169" s="76">
        <v>39.5</v>
      </c>
      <c r="C169">
        <v>15920</v>
      </c>
      <c r="D169">
        <v>16460</v>
      </c>
      <c r="E169">
        <v>540</v>
      </c>
      <c r="F169">
        <v>25.463000000000001</v>
      </c>
      <c r="G169">
        <v>24.138000000000002</v>
      </c>
      <c r="H169">
        <v>-1.3249999999999993</v>
      </c>
    </row>
    <row r="170" spans="1:8" hidden="1" x14ac:dyDescent="0.3">
      <c r="A170" s="78" t="str">
        <f t="shared" si="2"/>
        <v>o</v>
      </c>
      <c r="B170" s="76">
        <v>40.5</v>
      </c>
      <c r="C170">
        <v>16460</v>
      </c>
      <c r="D170">
        <v>16780</v>
      </c>
      <c r="E170">
        <v>320</v>
      </c>
      <c r="F170">
        <v>24.139470527973177</v>
      </c>
      <c r="G170">
        <v>23.161999999999999</v>
      </c>
      <c r="H170">
        <v>-0.97747052797317835</v>
      </c>
    </row>
    <row r="171" spans="1:8" hidden="1" x14ac:dyDescent="0.3">
      <c r="A171" s="78" t="str">
        <f t="shared" si="2"/>
        <v>o</v>
      </c>
      <c r="B171" s="76">
        <v>41.5</v>
      </c>
      <c r="C171">
        <v>16780</v>
      </c>
      <c r="D171">
        <v>17120</v>
      </c>
      <c r="E171">
        <v>340</v>
      </c>
      <c r="F171">
        <v>23.160877255801896</v>
      </c>
      <c r="G171">
        <v>22.872</v>
      </c>
      <c r="H171">
        <v>-0.28887725580189638</v>
      </c>
    </row>
    <row r="172" spans="1:8" hidden="1" x14ac:dyDescent="0.3">
      <c r="A172" s="78" t="str">
        <f t="shared" si="2"/>
        <v>o</v>
      </c>
      <c r="B172" s="76">
        <v>42.5</v>
      </c>
      <c r="C172">
        <v>17120</v>
      </c>
      <c r="D172">
        <v>17300</v>
      </c>
      <c r="E172">
        <v>180</v>
      </c>
      <c r="F172">
        <v>22.872007247305724</v>
      </c>
      <c r="G172">
        <v>23.539000000000001</v>
      </c>
      <c r="H172">
        <v>0.66699275269427716</v>
      </c>
    </row>
    <row r="173" spans="1:8" hidden="1" x14ac:dyDescent="0.3">
      <c r="A173" s="78" t="str">
        <f t="shared" si="2"/>
        <v>o</v>
      </c>
      <c r="B173" s="76">
        <v>43.5</v>
      </c>
      <c r="C173">
        <v>17300</v>
      </c>
      <c r="D173">
        <v>17420</v>
      </c>
      <c r="E173">
        <v>120</v>
      </c>
      <c r="F173">
        <v>23.538673913972378</v>
      </c>
      <c r="G173">
        <v>23.04</v>
      </c>
      <c r="H173">
        <v>-0.49867391397237881</v>
      </c>
    </row>
    <row r="174" spans="1:8" hidden="1" x14ac:dyDescent="0.3">
      <c r="A174" s="78" t="str">
        <f t="shared" si="2"/>
        <v>o</v>
      </c>
      <c r="B174" s="76">
        <v>44.5</v>
      </c>
      <c r="C174">
        <v>17420</v>
      </c>
      <c r="D174">
        <v>18660</v>
      </c>
      <c r="E174">
        <v>1240</v>
      </c>
      <c r="F174">
        <v>23.04074860276906</v>
      </c>
      <c r="G174">
        <v>22.936</v>
      </c>
      <c r="H174">
        <v>-0.10474860276906028</v>
      </c>
    </row>
    <row r="175" spans="1:8" hidden="1" x14ac:dyDescent="0.3">
      <c r="A175" s="78" t="str">
        <f t="shared" si="2"/>
        <v>o</v>
      </c>
      <c r="B175" s="76">
        <v>45.5</v>
      </c>
      <c r="C175">
        <v>18660</v>
      </c>
      <c r="D175">
        <v>19440</v>
      </c>
      <c r="E175">
        <v>780</v>
      </c>
      <c r="F175">
        <v>22.936001179217822</v>
      </c>
      <c r="G175">
        <v>23.097999999999999</v>
      </c>
      <c r="H175">
        <v>0.16199882078217698</v>
      </c>
    </row>
    <row r="176" spans="1:8" hidden="1" x14ac:dyDescent="0.3">
      <c r="A176" s="78" t="str">
        <f t="shared" si="2"/>
        <v>o</v>
      </c>
      <c r="B176" s="76">
        <v>46.5</v>
      </c>
      <c r="C176">
        <v>19440</v>
      </c>
      <c r="D176">
        <v>20060</v>
      </c>
      <c r="E176">
        <v>620</v>
      </c>
      <c r="F176">
        <v>23.097994948688221</v>
      </c>
      <c r="G176">
        <v>24.056000000000001</v>
      </c>
      <c r="H176">
        <v>0.95800505131177971</v>
      </c>
    </row>
    <row r="177" spans="1:8" hidden="1" x14ac:dyDescent="0.3">
      <c r="A177" s="78" t="str">
        <f t="shared" si="2"/>
        <v>o</v>
      </c>
      <c r="B177" s="76">
        <v>47.5</v>
      </c>
      <c r="C177">
        <v>20060</v>
      </c>
      <c r="D177">
        <v>20920</v>
      </c>
      <c r="E177">
        <v>860</v>
      </c>
      <c r="F177">
        <v>24.056263882227682</v>
      </c>
      <c r="G177">
        <v>23.21</v>
      </c>
      <c r="H177">
        <v>-0.84626388222768156</v>
      </c>
    </row>
    <row r="178" spans="1:8" hidden="1" x14ac:dyDescent="0.3">
      <c r="A178" s="78" t="str">
        <f t="shared" si="2"/>
        <v>o</v>
      </c>
      <c r="B178" s="76">
        <v>48.5</v>
      </c>
      <c r="C178">
        <v>20920</v>
      </c>
      <c r="D178">
        <v>21100</v>
      </c>
      <c r="E178">
        <v>180</v>
      </c>
      <c r="F178">
        <v>23.209807189314336</v>
      </c>
      <c r="G178">
        <v>23.366</v>
      </c>
      <c r="H178">
        <v>0.15619281068566337</v>
      </c>
    </row>
    <row r="179" spans="1:8" hidden="1" x14ac:dyDescent="0.3">
      <c r="A179" s="78" t="str">
        <f t="shared" si="2"/>
        <v>o</v>
      </c>
      <c r="B179" s="76">
        <v>49.5</v>
      </c>
      <c r="C179">
        <v>21100</v>
      </c>
      <c r="D179">
        <v>21380</v>
      </c>
      <c r="E179">
        <v>280</v>
      </c>
      <c r="F179">
        <v>23.366057189314333</v>
      </c>
      <c r="G179">
        <v>22.364000000000001</v>
      </c>
      <c r="H179">
        <v>-1.002057189314332</v>
      </c>
    </row>
    <row r="180" spans="1:8" hidden="1" x14ac:dyDescent="0.3">
      <c r="A180" s="78" t="str">
        <f t="shared" si="2"/>
        <v>o</v>
      </c>
      <c r="B180" s="76">
        <v>50.5</v>
      </c>
      <c r="C180">
        <v>21380</v>
      </c>
      <c r="D180">
        <v>21740</v>
      </c>
      <c r="E180">
        <v>360</v>
      </c>
      <c r="F180">
        <v>22.362472959923636</v>
      </c>
      <c r="G180">
        <v>22.096</v>
      </c>
      <c r="H180">
        <v>-0.26647295992363595</v>
      </c>
    </row>
    <row r="181" spans="1:8" hidden="1" x14ac:dyDescent="0.3">
      <c r="A181" s="78" t="str">
        <f t="shared" si="2"/>
        <v>o</v>
      </c>
      <c r="B181" s="76">
        <v>51.5</v>
      </c>
      <c r="C181">
        <v>21740</v>
      </c>
      <c r="D181">
        <v>22380</v>
      </c>
      <c r="E181">
        <v>640</v>
      </c>
      <c r="F181">
        <v>22.096003677910339</v>
      </c>
      <c r="G181">
        <v>22.091000000000001</v>
      </c>
      <c r="H181">
        <v>-5.0036779103379558E-3</v>
      </c>
    </row>
    <row r="182" spans="1:8" hidden="1" x14ac:dyDescent="0.3">
      <c r="A182" s="78" t="str">
        <f t="shared" si="2"/>
        <v>o</v>
      </c>
      <c r="B182" s="76">
        <v>52.5</v>
      </c>
      <c r="C182">
        <v>22380</v>
      </c>
      <c r="D182">
        <v>23380</v>
      </c>
      <c r="E182">
        <v>1000</v>
      </c>
      <c r="F182">
        <v>22.09100000333688</v>
      </c>
      <c r="G182">
        <v>22.702000000000002</v>
      </c>
      <c r="H182">
        <v>0.61099999666312144</v>
      </c>
    </row>
    <row r="183" spans="1:8" hidden="1" x14ac:dyDescent="0.3">
      <c r="A183" s="78" t="str">
        <f t="shared" si="2"/>
        <v>o</v>
      </c>
      <c r="B183" s="76">
        <v>53.5</v>
      </c>
      <c r="C183">
        <v>23380</v>
      </c>
      <c r="D183">
        <v>23720</v>
      </c>
      <c r="E183">
        <v>340</v>
      </c>
      <c r="F183">
        <v>22.701873552512275</v>
      </c>
      <c r="G183">
        <v>23.081</v>
      </c>
      <c r="H183">
        <v>0.3791264474877245</v>
      </c>
    </row>
    <row r="184" spans="1:8" hidden="1" x14ac:dyDescent="0.3">
      <c r="A184" s="78" t="str">
        <f t="shared" si="2"/>
        <v>o</v>
      </c>
      <c r="B184" s="76">
        <v>54.5</v>
      </c>
      <c r="C184">
        <v>23720</v>
      </c>
      <c r="D184">
        <v>24040</v>
      </c>
      <c r="E184">
        <v>320</v>
      </c>
      <c r="F184">
        <v>23.080914801118766</v>
      </c>
      <c r="G184">
        <v>20.734000000000002</v>
      </c>
      <c r="H184">
        <v>-2.3469148011187642</v>
      </c>
    </row>
    <row r="185" spans="1:8" hidden="1" x14ac:dyDescent="0.3">
      <c r="A185" s="78" t="str">
        <f t="shared" si="2"/>
        <v>o</v>
      </c>
      <c r="B185" s="76">
        <v>55.5</v>
      </c>
      <c r="C185">
        <v>24040</v>
      </c>
      <c r="D185">
        <v>24200</v>
      </c>
      <c r="E185">
        <v>160</v>
      </c>
      <c r="F185">
        <v>20.727973624648158</v>
      </c>
      <c r="G185">
        <v>20.109000000000002</v>
      </c>
      <c r="H185">
        <v>-0.61897362464815586</v>
      </c>
    </row>
    <row r="186" spans="1:8" hidden="1" x14ac:dyDescent="0.3">
      <c r="A186" s="78" t="str">
        <f t="shared" si="2"/>
        <v>o</v>
      </c>
      <c r="B186" s="76">
        <v>56.5</v>
      </c>
      <c r="C186">
        <v>24200</v>
      </c>
      <c r="D186">
        <v>24440</v>
      </c>
      <c r="E186">
        <v>240</v>
      </c>
      <c r="F186">
        <v>20.107818585888467</v>
      </c>
      <c r="G186">
        <v>20.026</v>
      </c>
      <c r="H186">
        <v>-8.1818585888466799E-2</v>
      </c>
    </row>
    <row r="187" spans="1:8" hidden="1" x14ac:dyDescent="0.3">
      <c r="A187" s="78" t="str">
        <f t="shared" si="2"/>
        <v>o</v>
      </c>
      <c r="B187" s="76">
        <v>57.5</v>
      </c>
      <c r="C187">
        <v>24440</v>
      </c>
      <c r="D187">
        <v>24800</v>
      </c>
      <c r="E187">
        <v>360</v>
      </c>
      <c r="F187">
        <v>20.025991105492963</v>
      </c>
      <c r="G187">
        <v>21.582999999999998</v>
      </c>
      <c r="H187">
        <v>1.5570088945070353</v>
      </c>
    </row>
    <row r="188" spans="1:8" hidden="1" x14ac:dyDescent="0.3">
      <c r="A188" s="78" t="str">
        <f t="shared" si="2"/>
        <v>o</v>
      </c>
      <c r="B188" s="76">
        <v>58.5</v>
      </c>
      <c r="C188">
        <v>24800</v>
      </c>
      <c r="D188">
        <v>25200</v>
      </c>
      <c r="E188">
        <v>400</v>
      </c>
      <c r="F188">
        <v>21.584432663934493</v>
      </c>
      <c r="G188">
        <v>19.152000000000001</v>
      </c>
      <c r="H188">
        <v>-2.4324326639344918</v>
      </c>
    </row>
    <row r="189" spans="1:8" hidden="1" x14ac:dyDescent="0.3">
      <c r="A189" s="78" t="str">
        <f t="shared" si="2"/>
        <v>o</v>
      </c>
      <c r="B189" s="76">
        <v>59.5</v>
      </c>
      <c r="C189">
        <v>25200</v>
      </c>
      <c r="D189">
        <v>25320</v>
      </c>
      <c r="E189">
        <v>120</v>
      </c>
      <c r="F189">
        <v>19.145408273690606</v>
      </c>
      <c r="G189">
        <v>18.702999999999999</v>
      </c>
      <c r="H189">
        <v>-0.44240827369060653</v>
      </c>
    </row>
    <row r="190" spans="1:8" hidden="1" x14ac:dyDescent="0.3">
      <c r="A190" s="78" t="str">
        <f t="shared" si="2"/>
        <v>o</v>
      </c>
      <c r="B190" s="76">
        <v>60.5</v>
      </c>
      <c r="C190">
        <v>25320</v>
      </c>
      <c r="D190">
        <v>25480</v>
      </c>
      <c r="E190">
        <v>160</v>
      </c>
      <c r="F190">
        <v>18.702603845646316</v>
      </c>
      <c r="G190">
        <v>17.225000000000001</v>
      </c>
      <c r="H190">
        <v>-1.4776038456463141</v>
      </c>
    </row>
    <row r="191" spans="1:8" hidden="1" x14ac:dyDescent="0.3">
      <c r="A191" s="78" t="str">
        <f t="shared" si="2"/>
        <v>o</v>
      </c>
      <c r="B191" s="76">
        <v>61.5</v>
      </c>
      <c r="C191">
        <v>25480</v>
      </c>
      <c r="D191">
        <v>25820</v>
      </c>
      <c r="E191">
        <v>340</v>
      </c>
      <c r="F191">
        <v>17.22112236416482</v>
      </c>
      <c r="G191">
        <v>16.603000000000002</v>
      </c>
      <c r="H191">
        <v>-0.6181223641648188</v>
      </c>
    </row>
    <row r="192" spans="1:8" hidden="1" x14ac:dyDescent="0.3">
      <c r="A192" s="78" t="str">
        <f t="shared" si="2"/>
        <v>o</v>
      </c>
      <c r="B192" s="76">
        <v>62.5</v>
      </c>
      <c r="C192">
        <v>25820</v>
      </c>
      <c r="D192">
        <v>26500</v>
      </c>
      <c r="E192">
        <v>680</v>
      </c>
      <c r="F192">
        <v>16.602940545983021</v>
      </c>
      <c r="G192">
        <v>15.641999999999999</v>
      </c>
      <c r="H192">
        <v>-0.96094054598302137</v>
      </c>
    </row>
    <row r="193" spans="1:8" hidden="1" x14ac:dyDescent="0.3">
      <c r="A193" s="78" t="str">
        <f t="shared" si="2"/>
        <v>o</v>
      </c>
      <c r="B193" s="76">
        <v>63.5</v>
      </c>
      <c r="C193">
        <v>26500</v>
      </c>
      <c r="D193">
        <v>27480</v>
      </c>
      <c r="E193">
        <v>980</v>
      </c>
      <c r="F193">
        <v>15.642488568581866</v>
      </c>
      <c r="G193">
        <v>14.808</v>
      </c>
      <c r="H193">
        <v>-0.83448856858186637</v>
      </c>
    </row>
    <row r="194" spans="1:8" hidden="1" x14ac:dyDescent="0.3">
      <c r="A194" s="78" t="str">
        <f t="shared" ref="A194:A257" si="3">IF(MOD(B194,1)=0,"a","o")</f>
        <v>o</v>
      </c>
      <c r="B194" s="76">
        <v>64.5</v>
      </c>
      <c r="C194">
        <v>27480</v>
      </c>
      <c r="D194">
        <v>28080</v>
      </c>
      <c r="E194">
        <v>600</v>
      </c>
      <c r="F194">
        <v>14.807735587321229</v>
      </c>
      <c r="G194">
        <v>14.749000000000001</v>
      </c>
      <c r="H194">
        <v>-5.8735587321228522E-2</v>
      </c>
    </row>
    <row r="195" spans="1:8" hidden="1" x14ac:dyDescent="0.3">
      <c r="A195" s="78" t="str">
        <f t="shared" si="3"/>
        <v>o</v>
      </c>
      <c r="B195" s="76">
        <v>65.5</v>
      </c>
      <c r="C195">
        <v>28080</v>
      </c>
      <c r="D195">
        <v>28360</v>
      </c>
      <c r="E195">
        <v>280</v>
      </c>
      <c r="F195">
        <v>14.748998436073073</v>
      </c>
      <c r="G195">
        <v>14.836</v>
      </c>
      <c r="H195">
        <v>8.7001563926927261E-2</v>
      </c>
    </row>
    <row r="196" spans="1:8" hidden="1" x14ac:dyDescent="0.3">
      <c r="A196" s="78" t="str">
        <f t="shared" si="3"/>
        <v>o</v>
      </c>
      <c r="B196" s="76">
        <v>66.5</v>
      </c>
      <c r="C196">
        <v>28360</v>
      </c>
      <c r="D196">
        <v>28680</v>
      </c>
      <c r="E196">
        <v>320</v>
      </c>
      <c r="F196">
        <v>14.836009001641749</v>
      </c>
      <c r="G196">
        <v>14.601000000000001</v>
      </c>
      <c r="H196">
        <v>-0.23500900164174787</v>
      </c>
    </row>
    <row r="197" spans="1:8" hidden="1" x14ac:dyDescent="0.3">
      <c r="A197" s="78" t="str">
        <f t="shared" si="3"/>
        <v>o</v>
      </c>
      <c r="B197" s="76">
        <v>67.5</v>
      </c>
      <c r="C197">
        <v>28680</v>
      </c>
      <c r="D197">
        <v>29240</v>
      </c>
      <c r="E197">
        <v>560</v>
      </c>
      <c r="F197">
        <v>14.601060396649082</v>
      </c>
      <c r="G197">
        <v>14.659000000000001</v>
      </c>
      <c r="H197">
        <v>5.7939603350918745E-2</v>
      </c>
    </row>
    <row r="198" spans="1:8" hidden="1" x14ac:dyDescent="0.3">
      <c r="A198" s="78" t="str">
        <f t="shared" si="3"/>
        <v>o</v>
      </c>
      <c r="B198" s="76">
        <v>68.5</v>
      </c>
      <c r="C198">
        <v>29240</v>
      </c>
      <c r="D198">
        <v>30000</v>
      </c>
      <c r="E198">
        <v>760</v>
      </c>
      <c r="F198">
        <v>14.659001420963598</v>
      </c>
      <c r="G198">
        <v>13.56</v>
      </c>
      <c r="H198">
        <v>-1.0990014209635977</v>
      </c>
    </row>
    <row r="199" spans="1:8" hidden="1" x14ac:dyDescent="0.3">
      <c r="A199" s="78" t="str">
        <f t="shared" si="3"/>
        <v>o</v>
      </c>
      <c r="B199" s="76">
        <v>69.5</v>
      </c>
      <c r="C199">
        <v>30000</v>
      </c>
      <c r="D199">
        <v>31100</v>
      </c>
      <c r="E199">
        <v>1100</v>
      </c>
      <c r="F199">
        <v>13.560735525009839</v>
      </c>
      <c r="G199">
        <v>12.656000000000001</v>
      </c>
      <c r="H199">
        <v>-0.90473552500983878</v>
      </c>
    </row>
    <row r="200" spans="1:8" hidden="1" x14ac:dyDescent="0.3">
      <c r="A200" s="78" t="str">
        <f t="shared" si="3"/>
        <v>o</v>
      </c>
      <c r="B200" s="76">
        <v>70.5</v>
      </c>
      <c r="C200">
        <v>31100</v>
      </c>
      <c r="D200">
        <v>31420</v>
      </c>
      <c r="E200">
        <v>320</v>
      </c>
      <c r="F200">
        <v>12.656130261851919</v>
      </c>
      <c r="G200">
        <v>12.811999999999999</v>
      </c>
      <c r="H200">
        <v>0.15586973814808047</v>
      </c>
    </row>
    <row r="201" spans="1:8" hidden="1" x14ac:dyDescent="0.3">
      <c r="A201" s="78" t="str">
        <f t="shared" si="3"/>
        <v>o</v>
      </c>
      <c r="B201" s="76">
        <v>71.5</v>
      </c>
      <c r="C201">
        <v>31420</v>
      </c>
      <c r="D201">
        <v>32300</v>
      </c>
      <c r="E201">
        <v>880</v>
      </c>
      <c r="F201">
        <v>12.811999721179737</v>
      </c>
      <c r="G201">
        <v>12.621</v>
      </c>
      <c r="H201">
        <v>-0.19099972117973607</v>
      </c>
    </row>
    <row r="202" spans="1:8" hidden="1" x14ac:dyDescent="0.3">
      <c r="A202" s="78" t="str">
        <f t="shared" si="3"/>
        <v>o</v>
      </c>
      <c r="B202" s="76">
        <v>72.5</v>
      </c>
      <c r="C202">
        <v>32300</v>
      </c>
      <c r="D202">
        <v>32740</v>
      </c>
      <c r="E202">
        <v>440</v>
      </c>
      <c r="F202">
        <v>12.620986046337078</v>
      </c>
      <c r="G202">
        <v>12.531000000000001</v>
      </c>
      <c r="H202">
        <v>-8.9986046337077852E-2</v>
      </c>
    </row>
    <row r="203" spans="1:8" hidden="1" x14ac:dyDescent="0.3">
      <c r="A203" s="78" t="str">
        <f t="shared" si="3"/>
        <v>o</v>
      </c>
      <c r="B203" s="76">
        <v>73.5</v>
      </c>
      <c r="C203">
        <v>32740</v>
      </c>
      <c r="D203">
        <v>33100</v>
      </c>
      <c r="E203">
        <v>360</v>
      </c>
      <c r="F203">
        <v>12.531006496234836</v>
      </c>
      <c r="G203">
        <v>12.906000000000001</v>
      </c>
      <c r="H203">
        <v>0.3749935037651646</v>
      </c>
    </row>
    <row r="204" spans="1:8" hidden="1" x14ac:dyDescent="0.3">
      <c r="A204" s="78" t="str">
        <f t="shared" si="3"/>
        <v>o</v>
      </c>
      <c r="B204" s="76">
        <v>74.5</v>
      </c>
      <c r="C204">
        <v>33100</v>
      </c>
      <c r="D204">
        <v>33700</v>
      </c>
      <c r="E204">
        <v>600</v>
      </c>
      <c r="F204">
        <v>12.906006496234847</v>
      </c>
      <c r="G204">
        <v>12.733000000000001</v>
      </c>
      <c r="H204">
        <v>-0.1730064962348461</v>
      </c>
    </row>
    <row r="205" spans="1:8" hidden="1" x14ac:dyDescent="0.3">
      <c r="A205" s="78" t="str">
        <f t="shared" si="3"/>
        <v>o</v>
      </c>
      <c r="B205" s="76">
        <v>75.5</v>
      </c>
      <c r="C205">
        <v>33700</v>
      </c>
      <c r="D205">
        <v>34680</v>
      </c>
      <c r="E205">
        <v>980</v>
      </c>
      <c r="F205">
        <v>12.732996115611991</v>
      </c>
      <c r="G205">
        <v>12.747</v>
      </c>
      <c r="H205">
        <v>1.4003884388008814E-2</v>
      </c>
    </row>
    <row r="206" spans="1:8" hidden="1" x14ac:dyDescent="0.3">
      <c r="A206" s="78" t="str">
        <f t="shared" si="3"/>
        <v>o</v>
      </c>
      <c r="B206" s="76">
        <v>76.5</v>
      </c>
      <c r="C206">
        <v>34680</v>
      </c>
      <c r="D206">
        <v>35000</v>
      </c>
      <c r="E206">
        <v>320</v>
      </c>
      <c r="F206">
        <v>12.746999916643695</v>
      </c>
      <c r="G206">
        <v>12.709</v>
      </c>
      <c r="H206">
        <v>-3.7999916643695286E-2</v>
      </c>
    </row>
    <row r="207" spans="1:8" hidden="1" x14ac:dyDescent="0.3">
      <c r="A207" s="78" t="str">
        <f t="shared" si="3"/>
        <v>o</v>
      </c>
      <c r="B207" s="76">
        <v>77.5</v>
      </c>
      <c r="C207">
        <v>35000</v>
      </c>
      <c r="D207">
        <v>35200</v>
      </c>
      <c r="E207">
        <v>200</v>
      </c>
      <c r="F207">
        <v>12.708999679142217</v>
      </c>
      <c r="G207">
        <v>12.978</v>
      </c>
      <c r="H207">
        <v>0.26900032085778314</v>
      </c>
    </row>
    <row r="208" spans="1:8" hidden="1" x14ac:dyDescent="0.3">
      <c r="A208" s="78" t="str">
        <f t="shared" si="3"/>
        <v>o</v>
      </c>
      <c r="B208" s="76">
        <v>78.5</v>
      </c>
      <c r="C208">
        <v>35200</v>
      </c>
      <c r="D208">
        <v>35540</v>
      </c>
      <c r="E208">
        <v>340</v>
      </c>
      <c r="F208">
        <v>12.978178683179902</v>
      </c>
      <c r="G208">
        <v>12.689</v>
      </c>
      <c r="H208">
        <v>-0.2891786831799017</v>
      </c>
    </row>
    <row r="209" spans="1:8" hidden="1" x14ac:dyDescent="0.3">
      <c r="A209" s="78" t="str">
        <f t="shared" si="3"/>
        <v>o</v>
      </c>
      <c r="B209" s="76">
        <v>79.5</v>
      </c>
      <c r="C209">
        <v>35540</v>
      </c>
      <c r="D209">
        <v>36120</v>
      </c>
      <c r="E209">
        <v>580</v>
      </c>
      <c r="F209">
        <v>12.689063036921404</v>
      </c>
      <c r="G209">
        <v>13.083</v>
      </c>
      <c r="H209">
        <v>0.39393696307859649</v>
      </c>
    </row>
    <row r="210" spans="1:8" hidden="1" x14ac:dyDescent="0.3">
      <c r="A210" s="78" t="str">
        <f t="shared" si="3"/>
        <v>o</v>
      </c>
      <c r="B210" s="76">
        <v>80.5</v>
      </c>
      <c r="C210">
        <v>36120</v>
      </c>
      <c r="D210">
        <v>36360</v>
      </c>
      <c r="E210">
        <v>240</v>
      </c>
      <c r="F210">
        <v>13.083084776051816</v>
      </c>
      <c r="G210">
        <v>14.151999999999999</v>
      </c>
      <c r="H210">
        <v>1.0689152239481832</v>
      </c>
    </row>
    <row r="211" spans="1:8" hidden="1" x14ac:dyDescent="0.3">
      <c r="A211" s="78" t="str">
        <f t="shared" si="3"/>
        <v>o</v>
      </c>
      <c r="B211" s="76">
        <v>81.5</v>
      </c>
      <c r="C211">
        <v>36360</v>
      </c>
      <c r="D211">
        <v>36620</v>
      </c>
      <c r="E211">
        <v>260</v>
      </c>
      <c r="F211">
        <v>14.149751442718479</v>
      </c>
      <c r="G211">
        <v>12.755000000000001</v>
      </c>
      <c r="H211">
        <v>-1.3947514427184782</v>
      </c>
    </row>
    <row r="212" spans="1:8" hidden="1" x14ac:dyDescent="0.3">
      <c r="A212" s="78" t="str">
        <f t="shared" si="3"/>
        <v>o</v>
      </c>
      <c r="B212" s="76">
        <v>82.5</v>
      </c>
      <c r="C212">
        <v>36620</v>
      </c>
      <c r="D212">
        <v>36900</v>
      </c>
      <c r="E212">
        <v>280</v>
      </c>
      <c r="F212">
        <v>12.751901980352889</v>
      </c>
      <c r="G212">
        <v>12.442</v>
      </c>
      <c r="H212">
        <v>-0.30990198035288863</v>
      </c>
    </row>
    <row r="213" spans="1:8" hidden="1" x14ac:dyDescent="0.3">
      <c r="A213" s="78" t="str">
        <f t="shared" si="3"/>
        <v>o</v>
      </c>
      <c r="B213" s="76">
        <v>83.5</v>
      </c>
      <c r="C213">
        <v>36900</v>
      </c>
      <c r="D213">
        <v>37280</v>
      </c>
      <c r="E213">
        <v>380</v>
      </c>
      <c r="F213">
        <v>12.442167467078557</v>
      </c>
      <c r="G213">
        <v>12.632999999999999</v>
      </c>
      <c r="H213">
        <v>0.19083253292144242</v>
      </c>
    </row>
    <row r="214" spans="1:8" hidden="1" x14ac:dyDescent="0.3">
      <c r="A214" s="78" t="str">
        <f t="shared" si="3"/>
        <v>o</v>
      </c>
      <c r="B214" s="76">
        <v>84.5</v>
      </c>
      <c r="C214">
        <v>37280</v>
      </c>
      <c r="D214">
        <v>37440</v>
      </c>
      <c r="E214">
        <v>160</v>
      </c>
      <c r="F214">
        <v>12.633026331970582</v>
      </c>
      <c r="G214">
        <v>13.585000000000001</v>
      </c>
      <c r="H214">
        <v>0.95197366802941907</v>
      </c>
    </row>
    <row r="215" spans="1:8" hidden="1" x14ac:dyDescent="0.3">
      <c r="A215" s="78" t="str">
        <f t="shared" si="3"/>
        <v>o</v>
      </c>
      <c r="B215" s="76">
        <v>85.5</v>
      </c>
      <c r="C215">
        <v>37440</v>
      </c>
      <c r="D215">
        <v>37720</v>
      </c>
      <c r="E215">
        <v>280</v>
      </c>
      <c r="F215">
        <v>13.585407284351531</v>
      </c>
      <c r="G215">
        <v>16.390999999999998</v>
      </c>
      <c r="H215">
        <v>2.8055927156484675</v>
      </c>
    </row>
    <row r="216" spans="1:8" hidden="1" x14ac:dyDescent="0.3">
      <c r="A216" s="78" t="str">
        <f t="shared" si="3"/>
        <v>o</v>
      </c>
      <c r="B216" s="76">
        <v>86.5</v>
      </c>
      <c r="C216">
        <v>37720</v>
      </c>
      <c r="D216">
        <v>37960</v>
      </c>
      <c r="E216">
        <v>240</v>
      </c>
      <c r="F216">
        <v>16.385407284351523</v>
      </c>
      <c r="G216">
        <v>16.274000000000001</v>
      </c>
      <c r="H216">
        <v>-0.1114072843515217</v>
      </c>
    </row>
    <row r="217" spans="1:8" hidden="1" x14ac:dyDescent="0.3">
      <c r="A217" s="78" t="str">
        <f t="shared" si="3"/>
        <v>o</v>
      </c>
      <c r="B217" s="76">
        <v>87.5</v>
      </c>
      <c r="C217">
        <v>37960</v>
      </c>
      <c r="D217">
        <v>38400</v>
      </c>
      <c r="E217">
        <v>440</v>
      </c>
      <c r="F217">
        <v>16.273986671538147</v>
      </c>
      <c r="G217">
        <v>17.3</v>
      </c>
      <c r="H217">
        <v>1.026013328461854</v>
      </c>
    </row>
    <row r="218" spans="1:8" hidden="1" x14ac:dyDescent="0.3">
      <c r="A218" s="78" t="str">
        <f t="shared" si="3"/>
        <v>o</v>
      </c>
      <c r="B218" s="76">
        <v>88.5</v>
      </c>
      <c r="C218">
        <v>38400</v>
      </c>
      <c r="D218">
        <v>38740</v>
      </c>
      <c r="E218">
        <v>340</v>
      </c>
      <c r="F218">
        <v>17.299627697179147</v>
      </c>
      <c r="G218">
        <v>18.087</v>
      </c>
      <c r="H218">
        <v>0.78737230282085235</v>
      </c>
    </row>
    <row r="219" spans="1:8" hidden="1" x14ac:dyDescent="0.3">
      <c r="A219" s="78" t="str">
        <f t="shared" si="3"/>
        <v>o</v>
      </c>
      <c r="B219" s="76">
        <v>89.5</v>
      </c>
      <c r="C219">
        <v>38740</v>
      </c>
      <c r="D219">
        <v>39040</v>
      </c>
      <c r="E219">
        <v>300</v>
      </c>
      <c r="F219">
        <v>18.086664734216207</v>
      </c>
      <c r="G219">
        <v>18.507000000000001</v>
      </c>
      <c r="H219">
        <v>0.42033526578379465</v>
      </c>
    </row>
    <row r="220" spans="1:8" hidden="1" x14ac:dyDescent="0.3">
      <c r="A220" s="78" t="str">
        <f t="shared" si="3"/>
        <v>o</v>
      </c>
      <c r="B220" s="76">
        <v>90.5</v>
      </c>
      <c r="C220">
        <v>39040</v>
      </c>
      <c r="D220">
        <v>39240</v>
      </c>
      <c r="E220">
        <v>200</v>
      </c>
      <c r="F220">
        <v>18.506245153796606</v>
      </c>
      <c r="G220">
        <v>20.137</v>
      </c>
      <c r="H220">
        <v>1.6307548462033949</v>
      </c>
    </row>
    <row r="221" spans="1:8" hidden="1" x14ac:dyDescent="0.3">
      <c r="A221" s="78" t="str">
        <f t="shared" si="3"/>
        <v>o</v>
      </c>
      <c r="B221" s="76">
        <v>91.5</v>
      </c>
      <c r="C221">
        <v>39240</v>
      </c>
      <c r="D221">
        <v>39400</v>
      </c>
      <c r="E221">
        <v>160</v>
      </c>
      <c r="F221">
        <v>20.13226141395922</v>
      </c>
      <c r="G221">
        <v>19.855</v>
      </c>
      <c r="H221">
        <v>-0.27726141395921999</v>
      </c>
    </row>
    <row r="222" spans="1:8" hidden="1" x14ac:dyDescent="0.3">
      <c r="A222" s="78" t="str">
        <f t="shared" si="3"/>
        <v>o</v>
      </c>
      <c r="B222" s="76">
        <v>92.5</v>
      </c>
      <c r="C222">
        <v>39400</v>
      </c>
      <c r="D222">
        <v>39900</v>
      </c>
      <c r="E222">
        <v>500</v>
      </c>
      <c r="F222">
        <v>19.85496505347394</v>
      </c>
      <c r="G222">
        <v>19.613</v>
      </c>
      <c r="H222">
        <v>-0.24196505347394037</v>
      </c>
    </row>
    <row r="223" spans="1:8" hidden="1" x14ac:dyDescent="0.3">
      <c r="A223" s="78" t="str">
        <f t="shared" si="3"/>
        <v>o</v>
      </c>
      <c r="B223" s="76">
        <v>93.5</v>
      </c>
      <c r="C223">
        <v>39900</v>
      </c>
      <c r="D223">
        <v>40100</v>
      </c>
      <c r="E223">
        <v>200</v>
      </c>
      <c r="F223">
        <v>19.612951500714949</v>
      </c>
      <c r="G223">
        <v>18.885000000000002</v>
      </c>
      <c r="H223">
        <v>-0.72795150071494774</v>
      </c>
    </row>
    <row r="224" spans="1:8" hidden="1" x14ac:dyDescent="0.3">
      <c r="A224" s="78" t="str">
        <f t="shared" si="3"/>
        <v>o</v>
      </c>
      <c r="B224" s="76">
        <v>94.5</v>
      </c>
      <c r="C224">
        <v>40100</v>
      </c>
      <c r="D224">
        <v>41580</v>
      </c>
      <c r="E224">
        <v>1480</v>
      </c>
      <c r="F224">
        <v>18.885678773442208</v>
      </c>
      <c r="G224">
        <v>18.745000000000001</v>
      </c>
      <c r="H224">
        <v>-0.14067877344220747</v>
      </c>
    </row>
    <row r="225" spans="1:8" hidden="1" x14ac:dyDescent="0.3">
      <c r="A225" s="78" t="str">
        <f t="shared" si="3"/>
        <v>o</v>
      </c>
      <c r="B225" s="76">
        <v>95.5</v>
      </c>
      <c r="C225">
        <v>41580</v>
      </c>
      <c r="D225">
        <v>42420</v>
      </c>
      <c r="E225">
        <v>840</v>
      </c>
      <c r="F225">
        <v>18.744994362795865</v>
      </c>
      <c r="G225">
        <v>15.189</v>
      </c>
      <c r="H225">
        <v>-3.5559943627958646</v>
      </c>
    </row>
    <row r="226" spans="1:8" hidden="1" x14ac:dyDescent="0.3">
      <c r="A226" s="78" t="str">
        <f t="shared" si="3"/>
        <v>o</v>
      </c>
      <c r="B226" s="76">
        <v>96.5</v>
      </c>
      <c r="C226">
        <v>42420</v>
      </c>
      <c r="D226">
        <v>42900</v>
      </c>
      <c r="E226">
        <v>480</v>
      </c>
      <c r="F226">
        <v>15.185672328897532</v>
      </c>
      <c r="G226">
        <v>12.54</v>
      </c>
      <c r="H226">
        <v>-2.6456723288975326</v>
      </c>
    </row>
    <row r="227" spans="1:8" hidden="1" x14ac:dyDescent="0.3">
      <c r="A227" s="78" t="str">
        <f t="shared" si="3"/>
        <v>o</v>
      </c>
      <c r="B227" s="76">
        <v>97.5</v>
      </c>
      <c r="C227">
        <v>42900</v>
      </c>
      <c r="D227">
        <v>43300</v>
      </c>
      <c r="E227">
        <v>400</v>
      </c>
      <c r="F227">
        <v>12.533738627240091</v>
      </c>
      <c r="G227">
        <v>11.659000000000001</v>
      </c>
      <c r="H227">
        <v>-0.87473862724008988</v>
      </c>
    </row>
    <row r="228" spans="1:8" hidden="1" x14ac:dyDescent="0.3">
      <c r="A228" s="78" t="str">
        <f t="shared" si="3"/>
        <v>o</v>
      </c>
      <c r="B228" s="76">
        <v>98.5</v>
      </c>
      <c r="C228">
        <v>43300</v>
      </c>
      <c r="D228">
        <v>43720</v>
      </c>
      <c r="E228">
        <v>420</v>
      </c>
      <c r="F228">
        <v>11.658465104264174</v>
      </c>
      <c r="G228">
        <v>12.028</v>
      </c>
      <c r="H228">
        <v>0.36953489573582665</v>
      </c>
    </row>
    <row r="229" spans="1:8" hidden="1" x14ac:dyDescent="0.3">
      <c r="A229" s="78" t="str">
        <f t="shared" si="3"/>
        <v>o</v>
      </c>
      <c r="B229" s="76">
        <v>99.5</v>
      </c>
      <c r="C229">
        <v>43720</v>
      </c>
      <c r="D229">
        <v>43940</v>
      </c>
      <c r="E229">
        <v>220</v>
      </c>
      <c r="F229">
        <v>12.027858244105877</v>
      </c>
      <c r="G229">
        <v>12.406000000000001</v>
      </c>
      <c r="H229">
        <v>0.37814175589412358</v>
      </c>
    </row>
    <row r="230" spans="1:8" hidden="1" x14ac:dyDescent="0.3">
      <c r="A230" s="78" t="str">
        <f t="shared" si="3"/>
        <v>o</v>
      </c>
      <c r="B230" s="76">
        <v>100.5</v>
      </c>
      <c r="C230">
        <v>43940</v>
      </c>
      <c r="D230">
        <v>44260</v>
      </c>
      <c r="E230">
        <v>320</v>
      </c>
      <c r="F230">
        <v>12.405865116958109</v>
      </c>
      <c r="G230">
        <v>11.430999999999999</v>
      </c>
      <c r="H230">
        <v>-0.97486511695811018</v>
      </c>
    </row>
    <row r="231" spans="1:8" hidden="1" x14ac:dyDescent="0.3">
      <c r="A231" s="78" t="str">
        <f t="shared" si="3"/>
        <v>o</v>
      </c>
      <c r="B231" s="76">
        <v>101.5</v>
      </c>
      <c r="C231">
        <v>44260</v>
      </c>
      <c r="D231">
        <v>44680</v>
      </c>
      <c r="E231">
        <v>420</v>
      </c>
      <c r="F231">
        <v>11.430255360860555</v>
      </c>
      <c r="G231">
        <v>11.04</v>
      </c>
      <c r="H231">
        <v>-0.39025536086055546</v>
      </c>
    </row>
    <row r="232" spans="1:8" hidden="1" x14ac:dyDescent="0.3">
      <c r="A232" s="78" t="str">
        <f t="shared" si="3"/>
        <v>o</v>
      </c>
      <c r="B232" s="76">
        <v>102.5</v>
      </c>
      <c r="C232">
        <v>44680</v>
      </c>
      <c r="D232">
        <v>44960</v>
      </c>
      <c r="E232">
        <v>280</v>
      </c>
      <c r="F232">
        <v>11.039920788369859</v>
      </c>
      <c r="G232">
        <v>11.115</v>
      </c>
      <c r="H232">
        <v>7.5079211630141529E-2</v>
      </c>
    </row>
    <row r="233" spans="1:8" hidden="1" x14ac:dyDescent="0.3">
      <c r="A233" s="78" t="str">
        <f t="shared" si="3"/>
        <v>o</v>
      </c>
      <c r="B233" s="76">
        <v>103.5</v>
      </c>
      <c r="C233">
        <v>44960</v>
      </c>
      <c r="D233">
        <v>45180</v>
      </c>
      <c r="E233">
        <v>220</v>
      </c>
      <c r="F233">
        <v>11.115007943103027</v>
      </c>
      <c r="G233">
        <v>12.222</v>
      </c>
      <c r="H233">
        <v>1.1069920568969724</v>
      </c>
    </row>
    <row r="234" spans="1:8" hidden="1" x14ac:dyDescent="0.3">
      <c r="A234" s="78" t="str">
        <f t="shared" si="3"/>
        <v>o</v>
      </c>
      <c r="B234" s="76">
        <v>104.5</v>
      </c>
      <c r="C234">
        <v>45180</v>
      </c>
      <c r="D234">
        <v>45260</v>
      </c>
      <c r="E234">
        <v>80</v>
      </c>
      <c r="F234">
        <v>12.220535581293982</v>
      </c>
      <c r="G234">
        <v>12.189</v>
      </c>
      <c r="H234">
        <v>-3.1535581293981707E-2</v>
      </c>
    </row>
    <row r="235" spans="1:8" hidden="1" x14ac:dyDescent="0.3">
      <c r="A235" s="78" t="str">
        <f t="shared" si="3"/>
        <v>o</v>
      </c>
      <c r="B235" s="76">
        <v>105.5</v>
      </c>
      <c r="C235">
        <v>45260</v>
      </c>
      <c r="D235">
        <v>45420</v>
      </c>
      <c r="E235">
        <v>160</v>
      </c>
      <c r="F235">
        <v>12.189002274238407</v>
      </c>
      <c r="G235">
        <v>11.361000000000001</v>
      </c>
      <c r="H235">
        <v>-0.82800227423840589</v>
      </c>
    </row>
    <row r="236" spans="1:8" hidden="1" x14ac:dyDescent="0.3">
      <c r="A236" s="78" t="str">
        <f t="shared" si="3"/>
        <v>o</v>
      </c>
      <c r="B236" s="76">
        <v>106.5</v>
      </c>
      <c r="C236">
        <v>45420</v>
      </c>
      <c r="D236">
        <v>45580</v>
      </c>
      <c r="E236">
        <v>160</v>
      </c>
      <c r="F236">
        <v>11.359986730196953</v>
      </c>
      <c r="G236">
        <v>10.035</v>
      </c>
      <c r="H236">
        <v>-1.3249867301969527</v>
      </c>
    </row>
    <row r="237" spans="1:8" hidden="1" x14ac:dyDescent="0.3">
      <c r="A237" s="78" t="str">
        <f t="shared" si="3"/>
        <v>o</v>
      </c>
      <c r="B237" s="76">
        <v>107.5</v>
      </c>
      <c r="C237">
        <v>45580</v>
      </c>
      <c r="D237">
        <v>45860</v>
      </c>
      <c r="E237">
        <v>280</v>
      </c>
      <c r="F237">
        <v>10.037672680610173</v>
      </c>
      <c r="G237">
        <v>9.9920000000000009</v>
      </c>
      <c r="H237">
        <v>-4.5672680610172378E-2</v>
      </c>
    </row>
    <row r="238" spans="1:8" hidden="1" x14ac:dyDescent="0.3">
      <c r="A238" s="78" t="str">
        <f t="shared" si="3"/>
        <v>o</v>
      </c>
      <c r="B238" s="76">
        <v>108.5</v>
      </c>
      <c r="C238">
        <v>45860</v>
      </c>
      <c r="D238">
        <v>46400</v>
      </c>
      <c r="E238">
        <v>540</v>
      </c>
      <c r="F238">
        <v>9.9920031324124867</v>
      </c>
      <c r="G238">
        <v>9.6639999999999997</v>
      </c>
      <c r="H238">
        <v>-0.32800313241248702</v>
      </c>
    </row>
    <row r="239" spans="1:8" hidden="1" x14ac:dyDescent="0.3">
      <c r="A239" s="78" t="str">
        <f t="shared" si="3"/>
        <v>o</v>
      </c>
      <c r="B239" s="76">
        <v>109.5</v>
      </c>
      <c r="C239">
        <v>46400</v>
      </c>
      <c r="D239">
        <v>46520</v>
      </c>
      <c r="E239">
        <v>120</v>
      </c>
      <c r="F239">
        <v>9.6639350886700797</v>
      </c>
      <c r="G239">
        <v>10.026</v>
      </c>
      <c r="H239">
        <v>0.36206491132992014</v>
      </c>
    </row>
    <row r="240" spans="1:8" hidden="1" x14ac:dyDescent="0.3">
      <c r="A240" s="78" t="str">
        <f t="shared" si="3"/>
        <v>o</v>
      </c>
      <c r="B240" s="76">
        <v>110.5</v>
      </c>
      <c r="C240">
        <v>46520</v>
      </c>
      <c r="D240">
        <v>46720</v>
      </c>
      <c r="E240">
        <v>200</v>
      </c>
      <c r="F240">
        <v>10.026472853020532</v>
      </c>
      <c r="G240">
        <v>8.5009999999999994</v>
      </c>
      <c r="H240">
        <v>-1.525472853020533</v>
      </c>
    </row>
    <row r="241" spans="1:8" hidden="1" x14ac:dyDescent="0.3">
      <c r="A241" s="78" t="str">
        <f t="shared" si="3"/>
        <v>o</v>
      </c>
      <c r="B241" s="76">
        <v>111.5</v>
      </c>
      <c r="C241">
        <v>46720</v>
      </c>
      <c r="D241">
        <v>47020</v>
      </c>
      <c r="E241">
        <v>300</v>
      </c>
      <c r="F241">
        <v>8.499755295768626</v>
      </c>
      <c r="G241">
        <v>8.1349999999999998</v>
      </c>
      <c r="H241">
        <v>-0.3647552957686262</v>
      </c>
    </row>
    <row r="242" spans="1:8" hidden="1" x14ac:dyDescent="0.3">
      <c r="A242" s="78" t="str">
        <f t="shared" si="3"/>
        <v>o</v>
      </c>
      <c r="B242" s="76">
        <v>112.5</v>
      </c>
      <c r="C242">
        <v>47020</v>
      </c>
      <c r="D242">
        <v>47320</v>
      </c>
      <c r="E242">
        <v>300</v>
      </c>
      <c r="F242">
        <v>8.1347917921190014</v>
      </c>
      <c r="G242">
        <v>8.2940000000000005</v>
      </c>
      <c r="H242">
        <v>0.1592082078809991</v>
      </c>
    </row>
    <row r="243" spans="1:8" hidden="1" x14ac:dyDescent="0.3">
      <c r="A243" s="78" t="str">
        <f t="shared" si="3"/>
        <v>o</v>
      </c>
      <c r="B243" s="76">
        <v>113.5</v>
      </c>
      <c r="C243">
        <v>47320</v>
      </c>
      <c r="D243">
        <v>47880</v>
      </c>
      <c r="E243">
        <v>560</v>
      </c>
      <c r="F243">
        <v>8.2940274609088203</v>
      </c>
      <c r="G243">
        <v>6.0650000000000004</v>
      </c>
      <c r="H243">
        <v>-2.2290274609088199</v>
      </c>
    </row>
    <row r="244" spans="1:8" hidden="1" x14ac:dyDescent="0.3">
      <c r="A244" s="78" t="str">
        <f t="shared" si="3"/>
        <v>o</v>
      </c>
      <c r="B244" s="76">
        <v>114.5</v>
      </c>
      <c r="C244">
        <v>47880</v>
      </c>
      <c r="D244">
        <v>48320</v>
      </c>
      <c r="E244">
        <v>440</v>
      </c>
      <c r="F244">
        <v>6.0629517636976669</v>
      </c>
      <c r="G244">
        <v>5.7720000000000002</v>
      </c>
      <c r="H244">
        <v>-0.29095176369766662</v>
      </c>
    </row>
    <row r="245" spans="1:8" hidden="1" x14ac:dyDescent="0.3">
      <c r="A245" s="78" t="str">
        <f t="shared" si="3"/>
        <v>o</v>
      </c>
      <c r="B245" s="76">
        <v>115.5</v>
      </c>
      <c r="C245">
        <v>48320</v>
      </c>
      <c r="D245">
        <v>48660</v>
      </c>
      <c r="E245">
        <v>340</v>
      </c>
      <c r="F245">
        <v>5.7719464726923704</v>
      </c>
      <c r="G245">
        <v>4.8819999999999997</v>
      </c>
      <c r="H245">
        <v>-0.8899464726923707</v>
      </c>
    </row>
    <row r="246" spans="1:8" hidden="1" x14ac:dyDescent="0.3">
      <c r="A246" s="78" t="str">
        <f t="shared" si="3"/>
        <v>o</v>
      </c>
      <c r="B246" s="76">
        <v>116.5</v>
      </c>
      <c r="C246">
        <v>48660</v>
      </c>
      <c r="D246">
        <v>49500</v>
      </c>
      <c r="E246">
        <v>840</v>
      </c>
      <c r="F246">
        <v>4.8818941166714289</v>
      </c>
      <c r="G246">
        <v>4.8109999999999999</v>
      </c>
      <c r="H246">
        <v>-7.0894116671428975E-2</v>
      </c>
    </row>
    <row r="247" spans="1:8" hidden="1" x14ac:dyDescent="0.3">
      <c r="A247" s="78" t="str">
        <f t="shared" si="3"/>
        <v>o</v>
      </c>
      <c r="B247" s="76">
        <v>117.5</v>
      </c>
      <c r="C247">
        <v>49500</v>
      </c>
      <c r="D247">
        <v>50060</v>
      </c>
      <c r="E247">
        <v>560</v>
      </c>
      <c r="F247">
        <v>4.8110020582698922</v>
      </c>
      <c r="G247">
        <v>3.6739999999999999</v>
      </c>
      <c r="H247">
        <v>-1.1370020582698923</v>
      </c>
    </row>
    <row r="248" spans="1:8" hidden="1" x14ac:dyDescent="0.3">
      <c r="A248" s="78" t="str">
        <f t="shared" si="3"/>
        <v>o</v>
      </c>
      <c r="B248" s="76">
        <v>118.5</v>
      </c>
      <c r="C248">
        <v>50060</v>
      </c>
      <c r="D248">
        <v>51160</v>
      </c>
      <c r="E248">
        <v>1100</v>
      </c>
      <c r="F248">
        <v>3.6750994213530634</v>
      </c>
      <c r="G248">
        <v>3.6160000000000001</v>
      </c>
      <c r="H248">
        <v>-5.9099421353063342E-2</v>
      </c>
    </row>
    <row r="249" spans="1:8" hidden="1" x14ac:dyDescent="0.3">
      <c r="A249" s="78" t="str">
        <f t="shared" si="3"/>
        <v>o</v>
      </c>
      <c r="B249" s="76">
        <v>119.5</v>
      </c>
      <c r="C249">
        <v>51160</v>
      </c>
      <c r="D249">
        <v>51480</v>
      </c>
      <c r="E249">
        <v>320</v>
      </c>
      <c r="F249">
        <v>3.675088421353057</v>
      </c>
      <c r="G249">
        <v>4.4480000000000004</v>
      </c>
      <c r="H249">
        <v>0.77291157864694338</v>
      </c>
    </row>
    <row r="250" spans="1:8" hidden="1" x14ac:dyDescent="0.3">
      <c r="A250" s="78" t="str">
        <f t="shared" si="3"/>
        <v>o</v>
      </c>
      <c r="B250" s="76">
        <v>120.5</v>
      </c>
      <c r="C250">
        <v>51480</v>
      </c>
      <c r="D250">
        <v>52900</v>
      </c>
      <c r="E250">
        <v>1420</v>
      </c>
      <c r="F250">
        <v>4.4480352812564421</v>
      </c>
      <c r="G250">
        <v>4.0789999999999997</v>
      </c>
      <c r="H250">
        <v>-0.36903528125644236</v>
      </c>
    </row>
    <row r="251" spans="1:8" hidden="1" x14ac:dyDescent="0.3">
      <c r="A251" s="78" t="str">
        <f t="shared" si="3"/>
        <v>o</v>
      </c>
      <c r="B251" s="76">
        <v>121.5</v>
      </c>
      <c r="C251">
        <v>52900</v>
      </c>
      <c r="D251">
        <v>54000</v>
      </c>
      <c r="E251">
        <v>1100</v>
      </c>
      <c r="F251">
        <v>4.0790124122335829</v>
      </c>
      <c r="G251">
        <v>4.3179999999999996</v>
      </c>
      <c r="H251">
        <v>0.23898758776641671</v>
      </c>
    </row>
    <row r="252" spans="1:8" hidden="1" x14ac:dyDescent="0.3">
      <c r="A252" s="78" t="str">
        <f t="shared" si="3"/>
        <v>o</v>
      </c>
      <c r="B252" s="76">
        <v>122.5</v>
      </c>
      <c r="C252">
        <v>54000</v>
      </c>
      <c r="D252">
        <v>56000</v>
      </c>
      <c r="E252">
        <v>2000</v>
      </c>
      <c r="F252">
        <v>4.3179869940280762</v>
      </c>
      <c r="G252">
        <v>4.3090000000000002</v>
      </c>
      <c r="H252">
        <v>-8.9869940280760119E-3</v>
      </c>
    </row>
    <row r="253" spans="1:8" hidden="1" x14ac:dyDescent="0.3">
      <c r="A253" s="78" t="str">
        <f t="shared" si="3"/>
        <v>o</v>
      </c>
      <c r="B253" s="76">
        <v>123.5</v>
      </c>
      <c r="C253">
        <v>56000</v>
      </c>
      <c r="D253">
        <v>56700</v>
      </c>
      <c r="E253">
        <v>700</v>
      </c>
      <c r="F253">
        <v>4.3177869940280482</v>
      </c>
      <c r="G253">
        <v>3.544</v>
      </c>
      <c r="H253">
        <v>-0.77378699402804818</v>
      </c>
    </row>
    <row r="254" spans="1:8" hidden="1" x14ac:dyDescent="0.3">
      <c r="A254" s="78" t="str">
        <f t="shared" si="3"/>
        <v>o</v>
      </c>
      <c r="B254" s="76">
        <v>124.5</v>
      </c>
      <c r="C254">
        <v>56700</v>
      </c>
      <c r="D254">
        <v>59300</v>
      </c>
      <c r="E254">
        <v>2600</v>
      </c>
      <c r="F254">
        <v>3.5443063310446186</v>
      </c>
      <c r="G254">
        <v>3.7749999999999999</v>
      </c>
      <c r="H254">
        <v>0.23069366895538135</v>
      </c>
    </row>
    <row r="255" spans="1:8" hidden="1" x14ac:dyDescent="0.3">
      <c r="A255" s="78" t="str">
        <f t="shared" si="3"/>
        <v>o</v>
      </c>
      <c r="B255" s="76">
        <v>125.5</v>
      </c>
      <c r="C255">
        <v>59300</v>
      </c>
      <c r="D255">
        <v>60180</v>
      </c>
      <c r="E255">
        <v>880</v>
      </c>
      <c r="F255">
        <v>3.7750073070872223</v>
      </c>
      <c r="G255">
        <v>2.5939999999999999</v>
      </c>
      <c r="H255">
        <v>-1.1810073070872225</v>
      </c>
    </row>
    <row r="256" spans="1:8" hidden="1" x14ac:dyDescent="0.3">
      <c r="A256" s="78" t="str">
        <f t="shared" si="3"/>
        <v>o</v>
      </c>
      <c r="B256" s="76">
        <v>126.5</v>
      </c>
      <c r="C256">
        <v>60180</v>
      </c>
      <c r="D256">
        <v>60520</v>
      </c>
      <c r="E256">
        <v>340</v>
      </c>
      <c r="F256">
        <v>2.5937992533959489</v>
      </c>
      <c r="G256">
        <v>2.8170000000000002</v>
      </c>
      <c r="H256">
        <v>0.22320074660405131</v>
      </c>
    </row>
    <row r="257" spans="1:8" hidden="1" x14ac:dyDescent="0.3">
      <c r="A257" s="78" t="str">
        <f t="shared" si="3"/>
        <v>o</v>
      </c>
      <c r="B257" s="76">
        <v>127.5</v>
      </c>
      <c r="C257">
        <v>60520</v>
      </c>
      <c r="D257">
        <v>60820</v>
      </c>
      <c r="E257">
        <v>300</v>
      </c>
      <c r="F257">
        <v>2.8170428515574706</v>
      </c>
      <c r="G257">
        <v>4.09</v>
      </c>
      <c r="H257">
        <v>1.2729571484425293</v>
      </c>
    </row>
    <row r="258" spans="1:8" hidden="1" x14ac:dyDescent="0.3">
      <c r="A258" s="78" t="str">
        <f t="shared" ref="A258:A259" si="4">IF(MOD(B258,1)=0,"a","o")</f>
        <v>o</v>
      </c>
      <c r="B258" s="76">
        <v>128.5</v>
      </c>
      <c r="C258">
        <v>60820</v>
      </c>
      <c r="D258">
        <v>61360</v>
      </c>
      <c r="E258">
        <v>540</v>
      </c>
      <c r="F258">
        <v>4.0882292922354333</v>
      </c>
      <c r="G258">
        <v>2.8279999999999998</v>
      </c>
      <c r="H258">
        <v>-1.2602292922354335</v>
      </c>
    </row>
    <row r="259" spans="1:8" hidden="1" x14ac:dyDescent="0.3">
      <c r="A259" s="78" t="str">
        <f t="shared" si="4"/>
        <v>o</v>
      </c>
      <c r="B259" s="76">
        <v>129.5</v>
      </c>
      <c r="C259">
        <v>61360</v>
      </c>
      <c r="D259">
        <v>61514.938000000002</v>
      </c>
      <c r="E259">
        <v>154.93800000000192</v>
      </c>
      <c r="F259">
        <v>2.826547049244776</v>
      </c>
      <c r="G259">
        <v>2.7349999999999999</v>
      </c>
      <c r="H259">
        <v>-9.154704924477608E-2</v>
      </c>
    </row>
  </sheetData>
  <autoFilter ref="A1:H259" xr:uid="{41734D5A-AF7A-4B22-A1F9-ABD101437C61}">
    <filterColumn colId="0">
      <filters>
        <filter val="a"/>
      </filters>
    </filterColumn>
    <sortState xmlns:xlrd2="http://schemas.microsoft.com/office/spreadsheetml/2017/richdata2" ref="A2:H259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385F-3681-48BB-8981-03049CF165E0}">
  <dimension ref="A1:B23"/>
  <sheetViews>
    <sheetView tabSelected="1" workbookViewId="0">
      <selection activeCell="H15" sqref="H15"/>
    </sheetView>
  </sheetViews>
  <sheetFormatPr defaultRowHeight="14.4" x14ac:dyDescent="0.3"/>
  <sheetData>
    <row r="1" spans="1:2" x14ac:dyDescent="0.3">
      <c r="A1">
        <v>0</v>
      </c>
      <c r="B1">
        <v>36.531999999999996</v>
      </c>
    </row>
    <row r="2" spans="1:2" x14ac:dyDescent="0.3">
      <c r="A2">
        <v>600</v>
      </c>
      <c r="B2">
        <v>37.013154771451525</v>
      </c>
    </row>
    <row r="3" spans="1:2" x14ac:dyDescent="0.3">
      <c r="A3">
        <v>1300</v>
      </c>
      <c r="B3">
        <v>39.769060283262668</v>
      </c>
    </row>
    <row r="4" spans="1:2" x14ac:dyDescent="0.3">
      <c r="A4">
        <v>1460</v>
      </c>
      <c r="B4">
        <v>39.749999049047751</v>
      </c>
    </row>
    <row r="5" spans="1:2" x14ac:dyDescent="0.3">
      <c r="A5">
        <v>1760</v>
      </c>
      <c r="B5">
        <v>38.693661020878785</v>
      </c>
    </row>
    <row r="6" spans="1:2" x14ac:dyDescent="0.3">
      <c r="A6">
        <v>2060</v>
      </c>
      <c r="B6">
        <v>38.148206475424203</v>
      </c>
    </row>
    <row r="7" spans="1:2" x14ac:dyDescent="0.3">
      <c r="A7">
        <v>3000</v>
      </c>
      <c r="B7">
        <v>37.970007423291563</v>
      </c>
    </row>
    <row r="8" spans="1:2" x14ac:dyDescent="0.3">
      <c r="A8">
        <v>3580</v>
      </c>
      <c r="B8">
        <v>38.966570997174721</v>
      </c>
    </row>
    <row r="9" spans="1:2" x14ac:dyDescent="0.3">
      <c r="A9">
        <v>3740</v>
      </c>
      <c r="B9">
        <v>39.758650205095499</v>
      </c>
    </row>
    <row r="10" spans="1:2" x14ac:dyDescent="0.3">
      <c r="A10">
        <v>4060</v>
      </c>
      <c r="B10">
        <v>42.44772583534759</v>
      </c>
    </row>
    <row r="11" spans="1:2" x14ac:dyDescent="0.3">
      <c r="A11">
        <v>4360</v>
      </c>
      <c r="B11">
        <v>43.575545384219772</v>
      </c>
    </row>
    <row r="12" spans="1:2" x14ac:dyDescent="0.3">
      <c r="A12">
        <v>4900</v>
      </c>
      <c r="B12">
        <v>44.883051437488575</v>
      </c>
    </row>
    <row r="13" spans="1:2" x14ac:dyDescent="0.3">
      <c r="A13">
        <v>5480</v>
      </c>
      <c r="B13">
        <v>45.571887542001654</v>
      </c>
    </row>
    <row r="14" spans="1:2" x14ac:dyDescent="0.3">
      <c r="A14">
        <v>6280</v>
      </c>
      <c r="B14">
        <v>48.905220875335083</v>
      </c>
    </row>
    <row r="15" spans="1:2" x14ac:dyDescent="0.3">
      <c r="A15">
        <v>6500</v>
      </c>
      <c r="B15">
        <v>50.184290642776965</v>
      </c>
    </row>
    <row r="16" spans="1:2" x14ac:dyDescent="0.3">
      <c r="A16">
        <v>6980</v>
      </c>
      <c r="B16">
        <v>51.478091181860599</v>
      </c>
    </row>
    <row r="17" spans="1:2" x14ac:dyDescent="0.3">
      <c r="A17">
        <v>7200</v>
      </c>
      <c r="B17">
        <v>51.395009610863617</v>
      </c>
    </row>
    <row r="18" spans="1:2" x14ac:dyDescent="0.3">
      <c r="A18">
        <v>7580</v>
      </c>
      <c r="B18">
        <v>50.622651887286409</v>
      </c>
    </row>
    <row r="19" spans="1:2" x14ac:dyDescent="0.3">
      <c r="A19">
        <v>7780</v>
      </c>
      <c r="B19">
        <v>49.98974049488136</v>
      </c>
    </row>
    <row r="20" spans="1:2" x14ac:dyDescent="0.3">
      <c r="A20">
        <v>8560</v>
      </c>
      <c r="B20">
        <v>49.145584650725532</v>
      </c>
    </row>
    <row r="21" spans="1:2" x14ac:dyDescent="0.3">
      <c r="A21">
        <v>8760</v>
      </c>
      <c r="B21">
        <v>48.301702794185466</v>
      </c>
    </row>
    <row r="22" spans="1:2" x14ac:dyDescent="0.3">
      <c r="A22">
        <v>9400</v>
      </c>
      <c r="B22">
        <v>43.525583391200307</v>
      </c>
    </row>
    <row r="23" spans="1:2" x14ac:dyDescent="0.3">
      <c r="A23">
        <v>9660</v>
      </c>
      <c r="B23">
        <v>43.026543084098577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86F3-332D-4F6B-A743-E211C8EB0CCC}">
  <dimension ref="A1:H130"/>
  <sheetViews>
    <sheetView workbookViewId="0">
      <selection activeCell="E2" sqref="E2:F24"/>
    </sheetView>
  </sheetViews>
  <sheetFormatPr defaultRowHeight="14.4" x14ac:dyDescent="0.3"/>
  <cols>
    <col min="1" max="2" width="16.33203125" style="79" customWidth="1"/>
    <col min="3" max="3" width="16.33203125" style="76" customWidth="1"/>
    <col min="4" max="4" width="8.6640625" style="76" customWidth="1"/>
    <col min="5" max="6" width="16.33203125" style="79" customWidth="1"/>
    <col min="7" max="7" width="16.33203125" style="76" customWidth="1"/>
    <col min="8" max="8" width="23" style="76" customWidth="1"/>
    <col min="9" max="16384" width="8.88671875" style="76"/>
  </cols>
  <sheetData>
    <row r="1" spans="1:8" ht="22.8" customHeight="1" x14ac:dyDescent="0.3">
      <c r="A1" s="76" t="s">
        <v>0</v>
      </c>
      <c r="B1" s="76" t="s">
        <v>1</v>
      </c>
      <c r="C1" s="76" t="s">
        <v>3514</v>
      </c>
      <c r="E1" s="76" t="s">
        <v>0</v>
      </c>
      <c r="F1" s="76" t="s">
        <v>1</v>
      </c>
      <c r="G1" s="76" t="s">
        <v>3514</v>
      </c>
    </row>
    <row r="2" spans="1:8" x14ac:dyDescent="0.3">
      <c r="A2" s="79">
        <v>0</v>
      </c>
      <c r="B2" s="80">
        <v>36.531999999999996</v>
      </c>
      <c r="C2" s="76" t="s">
        <v>3300</v>
      </c>
      <c r="E2" s="80">
        <f>A2</f>
        <v>0</v>
      </c>
      <c r="F2" s="80">
        <f>B2</f>
        <v>36.531999999999996</v>
      </c>
      <c r="G2" s="76" t="str">
        <f>IF(OR(LEFT(C2,2)="R ",LEFT(C2,2)="F "),LEFT(C2,1)&amp;" 1 IN "&amp;MID(C2,3,LEN(C2)),C2)</f>
        <v>R 1 IN 1247</v>
      </c>
      <c r="H2" s="76" t="s">
        <v>3515</v>
      </c>
    </row>
    <row r="3" spans="1:8" x14ac:dyDescent="0.3">
      <c r="A3" s="79">
        <v>600</v>
      </c>
      <c r="B3" s="80">
        <v>37.013154771451525</v>
      </c>
      <c r="C3" s="76" t="s">
        <v>3299</v>
      </c>
      <c r="E3" s="80">
        <f t="shared" ref="E3:E66" si="0">A3</f>
        <v>600</v>
      </c>
      <c r="F3" s="80">
        <f t="shared" ref="F3:F66" si="1">B3</f>
        <v>37.013154771451525</v>
      </c>
      <c r="G3" s="76" t="str">
        <f t="shared" ref="G3:G66" si="2">IF(OR(LEFT(C3,2)="R ",LEFT(C3,2)="F "),LEFT(C3,1)&amp;" 1 IN "&amp;MID(C3,3,LEN(C3)),C3)</f>
        <v>R 1 IN 254</v>
      </c>
      <c r="H3" s="76" t="s">
        <v>3516</v>
      </c>
    </row>
    <row r="4" spans="1:8" x14ac:dyDescent="0.3">
      <c r="A4" s="79">
        <v>1300</v>
      </c>
      <c r="B4" s="80">
        <v>39.769060283262668</v>
      </c>
      <c r="C4" s="76" t="s">
        <v>3326</v>
      </c>
      <c r="E4" s="80">
        <f t="shared" si="0"/>
        <v>1300</v>
      </c>
      <c r="F4" s="80">
        <f t="shared" si="1"/>
        <v>39.769060283262668</v>
      </c>
      <c r="G4" s="76" t="str">
        <f t="shared" si="2"/>
        <v>R 1 IN 8394</v>
      </c>
      <c r="H4" s="76" t="s">
        <v>3517</v>
      </c>
    </row>
    <row r="5" spans="1:8" x14ac:dyDescent="0.3">
      <c r="A5" s="79">
        <v>1460</v>
      </c>
      <c r="B5" s="80">
        <v>39.749999049047751</v>
      </c>
      <c r="C5" s="76" t="s">
        <v>3325</v>
      </c>
      <c r="E5" s="80">
        <f t="shared" si="0"/>
        <v>1460</v>
      </c>
      <c r="F5" s="80">
        <f t="shared" si="1"/>
        <v>39.749999049047751</v>
      </c>
      <c r="G5" s="76" t="str">
        <f t="shared" si="2"/>
        <v>F 1 IN 284</v>
      </c>
      <c r="H5" s="76" t="s">
        <v>3518</v>
      </c>
    </row>
    <row r="6" spans="1:8" x14ac:dyDescent="0.3">
      <c r="A6" s="79">
        <v>1760</v>
      </c>
      <c r="B6" s="80">
        <v>38.693661020878785</v>
      </c>
      <c r="C6" s="76" t="s">
        <v>3327</v>
      </c>
      <c r="E6" s="80">
        <f t="shared" si="0"/>
        <v>1760</v>
      </c>
      <c r="F6" s="80">
        <f t="shared" si="1"/>
        <v>38.693661020878785</v>
      </c>
      <c r="G6" s="76" t="str">
        <f t="shared" si="2"/>
        <v>F 1 IN 550</v>
      </c>
      <c r="H6" s="76" t="s">
        <v>3519</v>
      </c>
    </row>
    <row r="7" spans="1:8" x14ac:dyDescent="0.3">
      <c r="A7" s="79">
        <v>2060</v>
      </c>
      <c r="B7" s="80">
        <v>38.148206475424203</v>
      </c>
      <c r="C7" s="76" t="s">
        <v>3328</v>
      </c>
      <c r="E7" s="80">
        <f t="shared" si="0"/>
        <v>2060</v>
      </c>
      <c r="F7" s="80">
        <f t="shared" si="1"/>
        <v>38.148206475424203</v>
      </c>
      <c r="G7" s="76" t="str">
        <f t="shared" si="2"/>
        <v>F 1 IN 5275</v>
      </c>
      <c r="H7" s="76" t="s">
        <v>3520</v>
      </c>
    </row>
    <row r="8" spans="1:8" x14ac:dyDescent="0.3">
      <c r="A8" s="79">
        <v>3000</v>
      </c>
      <c r="B8" s="80">
        <v>37.970007423291563</v>
      </c>
      <c r="C8" s="76" t="s">
        <v>3</v>
      </c>
      <c r="E8" s="80">
        <f t="shared" si="0"/>
        <v>3000</v>
      </c>
      <c r="F8" s="80">
        <f t="shared" si="1"/>
        <v>37.970007423291563</v>
      </c>
      <c r="G8" s="76" t="str">
        <f t="shared" si="2"/>
        <v>R 1 IN 582</v>
      </c>
      <c r="H8" s="76" t="s">
        <v>3521</v>
      </c>
    </row>
    <row r="9" spans="1:8" x14ac:dyDescent="0.3">
      <c r="A9" s="79">
        <v>3580</v>
      </c>
      <c r="B9" s="80">
        <v>38.966570997174721</v>
      </c>
      <c r="C9" s="76" t="s">
        <v>3472</v>
      </c>
      <c r="E9" s="80">
        <f t="shared" si="0"/>
        <v>3580</v>
      </c>
      <c r="F9" s="80">
        <f t="shared" si="1"/>
        <v>38.966570997174721</v>
      </c>
      <c r="G9" s="76" t="str">
        <f t="shared" si="2"/>
        <v>R 1 IN 202</v>
      </c>
      <c r="H9" s="76" t="s">
        <v>3522</v>
      </c>
    </row>
    <row r="10" spans="1:8" x14ac:dyDescent="0.3">
      <c r="A10" s="79">
        <v>3740</v>
      </c>
      <c r="B10" s="80">
        <v>39.758650205095499</v>
      </c>
      <c r="C10" s="76" t="s">
        <v>4</v>
      </c>
      <c r="E10" s="80">
        <f t="shared" si="0"/>
        <v>3740</v>
      </c>
      <c r="F10" s="80">
        <f t="shared" si="1"/>
        <v>39.758650205095499</v>
      </c>
      <c r="G10" s="76" t="str">
        <f t="shared" si="2"/>
        <v>R 1 IN 114</v>
      </c>
      <c r="H10" s="76" t="s">
        <v>3523</v>
      </c>
    </row>
    <row r="11" spans="1:8" x14ac:dyDescent="0.3">
      <c r="A11" s="79">
        <v>4060</v>
      </c>
      <c r="B11" s="80">
        <v>42.44772583534759</v>
      </c>
      <c r="C11" s="76" t="s">
        <v>3473</v>
      </c>
      <c r="E11" s="80">
        <f t="shared" si="0"/>
        <v>4060</v>
      </c>
      <c r="F11" s="80">
        <f t="shared" si="1"/>
        <v>42.44772583534759</v>
      </c>
      <c r="G11" s="76" t="str">
        <f t="shared" si="2"/>
        <v>R 1 IN  266</v>
      </c>
      <c r="H11" s="76" t="s">
        <v>3524</v>
      </c>
    </row>
    <row r="12" spans="1:8" x14ac:dyDescent="0.3">
      <c r="A12" s="79">
        <v>4360</v>
      </c>
      <c r="B12" s="80">
        <v>43.575545384219772</v>
      </c>
      <c r="C12" s="76" t="s">
        <v>3474</v>
      </c>
      <c r="E12" s="80">
        <f t="shared" si="0"/>
        <v>4360</v>
      </c>
      <c r="F12" s="80">
        <f t="shared" si="1"/>
        <v>43.575545384219772</v>
      </c>
      <c r="G12" s="76" t="str">
        <f t="shared" si="2"/>
        <v>R 1 IN  413</v>
      </c>
      <c r="H12" s="76" t="s">
        <v>3525</v>
      </c>
    </row>
    <row r="13" spans="1:8" x14ac:dyDescent="0.3">
      <c r="A13" s="79">
        <v>4900</v>
      </c>
      <c r="B13" s="80">
        <v>44.883051437488575</v>
      </c>
      <c r="C13" s="76" t="s">
        <v>3475</v>
      </c>
      <c r="E13" s="80">
        <f t="shared" si="0"/>
        <v>4900</v>
      </c>
      <c r="F13" s="80">
        <f t="shared" si="1"/>
        <v>44.883051437488575</v>
      </c>
      <c r="G13" s="76" t="str">
        <f t="shared" si="2"/>
        <v>R 1 IN 842</v>
      </c>
      <c r="H13" s="76" t="s">
        <v>3526</v>
      </c>
    </row>
    <row r="14" spans="1:8" x14ac:dyDescent="0.3">
      <c r="A14" s="79">
        <v>5480</v>
      </c>
      <c r="B14" s="80">
        <v>45.571887542001654</v>
      </c>
      <c r="C14" s="76" t="s">
        <v>5</v>
      </c>
      <c r="E14" s="80">
        <f t="shared" si="0"/>
        <v>5480</v>
      </c>
      <c r="F14" s="80">
        <f t="shared" si="1"/>
        <v>45.571887542001654</v>
      </c>
      <c r="G14" s="76" t="str">
        <f t="shared" si="2"/>
        <v>R 1 IN 240</v>
      </c>
      <c r="H14" s="76" t="s">
        <v>3527</v>
      </c>
    </row>
    <row r="15" spans="1:8" x14ac:dyDescent="0.3">
      <c r="A15" s="79">
        <v>6280</v>
      </c>
      <c r="B15" s="80">
        <v>48.905220875335083</v>
      </c>
      <c r="C15" s="76" t="s">
        <v>6</v>
      </c>
      <c r="E15" s="80">
        <f t="shared" si="0"/>
        <v>6280</v>
      </c>
      <c r="F15" s="80">
        <f t="shared" si="1"/>
        <v>48.905220875335083</v>
      </c>
      <c r="G15" s="76" t="str">
        <f t="shared" si="2"/>
        <v>R 1 IN 172</v>
      </c>
      <c r="H15" s="76" t="s">
        <v>3528</v>
      </c>
    </row>
    <row r="16" spans="1:8" x14ac:dyDescent="0.3">
      <c r="A16" s="79">
        <v>6500</v>
      </c>
      <c r="B16" s="80">
        <v>50.184290642776965</v>
      </c>
      <c r="C16" s="76" t="s">
        <v>3294</v>
      </c>
      <c r="E16" s="80">
        <f t="shared" si="0"/>
        <v>6500</v>
      </c>
      <c r="F16" s="80">
        <f t="shared" si="1"/>
        <v>50.184290642776965</v>
      </c>
      <c r="G16" s="76" t="str">
        <f t="shared" si="2"/>
        <v>R 1 IN 371</v>
      </c>
      <c r="H16" s="76" t="s">
        <v>3529</v>
      </c>
    </row>
    <row r="17" spans="1:8" x14ac:dyDescent="0.3">
      <c r="A17" s="79">
        <v>6980</v>
      </c>
      <c r="B17" s="80">
        <v>51.478091181860599</v>
      </c>
      <c r="C17" s="76" t="s">
        <v>3476</v>
      </c>
      <c r="E17" s="80">
        <f t="shared" si="0"/>
        <v>6980</v>
      </c>
      <c r="F17" s="80">
        <f t="shared" si="1"/>
        <v>51.478091181860599</v>
      </c>
      <c r="G17" s="76" t="str">
        <f t="shared" si="2"/>
        <v>F 1 IN 2648</v>
      </c>
      <c r="H17" s="76" t="s">
        <v>3530</v>
      </c>
    </row>
    <row r="18" spans="1:8" x14ac:dyDescent="0.3">
      <c r="A18" s="79">
        <v>7200</v>
      </c>
      <c r="B18" s="80">
        <v>51.395009610863617</v>
      </c>
      <c r="C18" s="76" t="s">
        <v>45</v>
      </c>
      <c r="E18" s="80">
        <f t="shared" si="0"/>
        <v>7200</v>
      </c>
      <c r="F18" s="80">
        <f t="shared" si="1"/>
        <v>51.395009610863617</v>
      </c>
      <c r="G18" s="76" t="str">
        <f t="shared" si="2"/>
        <v>F 1 IN 492</v>
      </c>
      <c r="H18" s="76" t="s">
        <v>3531</v>
      </c>
    </row>
    <row r="19" spans="1:8" x14ac:dyDescent="0.3">
      <c r="A19" s="79">
        <v>7580</v>
      </c>
      <c r="B19" s="80">
        <v>50.622651887286409</v>
      </c>
      <c r="C19" s="76" t="s">
        <v>3203</v>
      </c>
      <c r="E19" s="80">
        <f t="shared" si="0"/>
        <v>7580</v>
      </c>
      <c r="F19" s="80">
        <f t="shared" si="1"/>
        <v>50.622651887286409</v>
      </c>
      <c r="G19" s="76" t="str">
        <f t="shared" si="2"/>
        <v>F 1 IN 316</v>
      </c>
      <c r="H19" s="76" t="s">
        <v>3532</v>
      </c>
    </row>
    <row r="20" spans="1:8" x14ac:dyDescent="0.3">
      <c r="A20" s="79">
        <v>7780</v>
      </c>
      <c r="B20" s="80">
        <v>49.98974049488136</v>
      </c>
      <c r="C20" s="76" t="s">
        <v>3204</v>
      </c>
      <c r="E20" s="80">
        <f t="shared" si="0"/>
        <v>7780</v>
      </c>
      <c r="F20" s="80">
        <f t="shared" si="1"/>
        <v>49.98974049488136</v>
      </c>
      <c r="G20" s="76" t="str">
        <f t="shared" si="2"/>
        <v>F 1 IN 924</v>
      </c>
      <c r="H20" s="76" t="s">
        <v>3533</v>
      </c>
    </row>
    <row r="21" spans="1:8" x14ac:dyDescent="0.3">
      <c r="A21" s="79">
        <v>8560</v>
      </c>
      <c r="B21" s="80">
        <v>49.145584650725532</v>
      </c>
      <c r="C21" s="76" t="s">
        <v>7</v>
      </c>
      <c r="E21" s="80">
        <f t="shared" si="0"/>
        <v>8560</v>
      </c>
      <c r="F21" s="80">
        <f t="shared" si="1"/>
        <v>49.145584650725532</v>
      </c>
      <c r="G21" s="76" t="str">
        <f t="shared" si="2"/>
        <v>F 1 IN 237</v>
      </c>
      <c r="H21" s="76" t="s">
        <v>3534</v>
      </c>
    </row>
    <row r="22" spans="1:8" x14ac:dyDescent="0.3">
      <c r="A22" s="79">
        <v>8760</v>
      </c>
      <c r="B22" s="80">
        <v>48.301702794185466</v>
      </c>
      <c r="C22" s="76" t="s">
        <v>8</v>
      </c>
      <c r="E22" s="80">
        <f t="shared" si="0"/>
        <v>8760</v>
      </c>
      <c r="F22" s="80">
        <f t="shared" si="1"/>
        <v>48.301702794185466</v>
      </c>
      <c r="G22" s="76" t="str">
        <f t="shared" si="2"/>
        <v>F 1 IN 134</v>
      </c>
      <c r="H22" s="76" t="s">
        <v>3535</v>
      </c>
    </row>
    <row r="23" spans="1:8" x14ac:dyDescent="0.3">
      <c r="A23" s="79">
        <v>9400</v>
      </c>
      <c r="B23" s="80">
        <v>43.525583391200307</v>
      </c>
      <c r="C23" s="76" t="s">
        <v>9</v>
      </c>
      <c r="E23" s="80">
        <f t="shared" si="0"/>
        <v>9400</v>
      </c>
      <c r="F23" s="80">
        <f t="shared" si="1"/>
        <v>43.525583391200307</v>
      </c>
      <c r="G23" s="76" t="str">
        <f t="shared" si="2"/>
        <v>F 1 IN 521</v>
      </c>
      <c r="H23" s="76" t="s">
        <v>3536</v>
      </c>
    </row>
    <row r="24" spans="1:8" x14ac:dyDescent="0.3">
      <c r="A24" s="79">
        <v>9660</v>
      </c>
      <c r="B24" s="80">
        <v>43.026543084098577</v>
      </c>
      <c r="C24" s="76" t="s">
        <v>10</v>
      </c>
      <c r="E24" s="80">
        <f t="shared" si="0"/>
        <v>9660</v>
      </c>
      <c r="F24" s="80">
        <f t="shared" si="1"/>
        <v>43.026543084098577</v>
      </c>
      <c r="G24" s="76" t="str">
        <f t="shared" si="2"/>
        <v>R 1 IN 629</v>
      </c>
      <c r="H24" s="76" t="s">
        <v>3537</v>
      </c>
    </row>
    <row r="25" spans="1:8" x14ac:dyDescent="0.3">
      <c r="A25" s="79">
        <v>10020</v>
      </c>
      <c r="B25" s="80">
        <v>43.598880127023833</v>
      </c>
      <c r="C25" s="76" t="s">
        <v>3301</v>
      </c>
      <c r="E25" s="80">
        <f t="shared" si="0"/>
        <v>10020</v>
      </c>
      <c r="F25" s="80">
        <f t="shared" si="1"/>
        <v>43.598880127023833</v>
      </c>
      <c r="G25" s="76" t="str">
        <f t="shared" si="2"/>
        <v>R 1 IN 6650</v>
      </c>
      <c r="H25" s="76" t="s">
        <v>3538</v>
      </c>
    </row>
    <row r="26" spans="1:8" x14ac:dyDescent="0.3">
      <c r="A26" s="79">
        <v>10340</v>
      </c>
      <c r="B26" s="80">
        <v>43.647000427775694</v>
      </c>
      <c r="C26" s="76" t="s">
        <v>3205</v>
      </c>
      <c r="E26" s="80">
        <f t="shared" si="0"/>
        <v>10340</v>
      </c>
      <c r="F26" s="80">
        <f t="shared" si="1"/>
        <v>43.647000427775694</v>
      </c>
      <c r="G26" s="76" t="str">
        <f t="shared" si="2"/>
        <v>F 1 IN 920</v>
      </c>
      <c r="H26" s="76" t="s">
        <v>3539</v>
      </c>
    </row>
    <row r="27" spans="1:8" x14ac:dyDescent="0.3">
      <c r="A27" s="79">
        <v>10660</v>
      </c>
      <c r="B27" s="80">
        <v>43.299174340819192</v>
      </c>
      <c r="C27" s="76" t="s">
        <v>3302</v>
      </c>
      <c r="E27" s="80">
        <f t="shared" si="0"/>
        <v>10660</v>
      </c>
      <c r="F27" s="80">
        <f t="shared" si="1"/>
        <v>43.299174340819192</v>
      </c>
      <c r="G27" s="76" t="str">
        <f t="shared" si="2"/>
        <v>R 1 IN 2800</v>
      </c>
      <c r="H27" s="76" t="s">
        <v>3540</v>
      </c>
    </row>
    <row r="28" spans="1:8" x14ac:dyDescent="0.3">
      <c r="A28" s="79">
        <v>11200</v>
      </c>
      <c r="B28" s="80">
        <v>43.492031483676406</v>
      </c>
      <c r="C28" s="76" t="s">
        <v>12</v>
      </c>
      <c r="E28" s="80">
        <f t="shared" si="0"/>
        <v>11200</v>
      </c>
      <c r="F28" s="80">
        <f t="shared" si="1"/>
        <v>43.492031483676406</v>
      </c>
      <c r="G28" s="76" t="str">
        <f t="shared" si="2"/>
        <v>F 1 IN 620</v>
      </c>
      <c r="H28" s="76" t="s">
        <v>3541</v>
      </c>
    </row>
    <row r="29" spans="1:8" x14ac:dyDescent="0.3">
      <c r="A29" s="79">
        <v>11360</v>
      </c>
      <c r="B29" s="80">
        <v>43.233966967547381</v>
      </c>
      <c r="C29" s="76" t="s">
        <v>11</v>
      </c>
      <c r="E29" s="80">
        <f t="shared" si="0"/>
        <v>11360</v>
      </c>
      <c r="F29" s="80">
        <f t="shared" si="1"/>
        <v>43.233966967547381</v>
      </c>
      <c r="G29" s="76" t="str">
        <f t="shared" si="2"/>
        <v>F 1 IN 216</v>
      </c>
      <c r="H29" s="76" t="s">
        <v>3542</v>
      </c>
    </row>
    <row r="30" spans="1:8" x14ac:dyDescent="0.3">
      <c r="A30" s="79">
        <v>11860</v>
      </c>
      <c r="B30" s="80">
        <v>40.919152152732501</v>
      </c>
      <c r="C30" s="76" t="s">
        <v>3303</v>
      </c>
      <c r="E30" s="80">
        <f t="shared" si="0"/>
        <v>11860</v>
      </c>
      <c r="F30" s="80">
        <f t="shared" si="1"/>
        <v>40.919152152732501</v>
      </c>
      <c r="G30" s="76" t="str">
        <f t="shared" si="2"/>
        <v>F 1 IN 2084</v>
      </c>
      <c r="H30" s="76" t="s">
        <v>3543</v>
      </c>
    </row>
    <row r="31" spans="1:8" x14ac:dyDescent="0.3">
      <c r="A31" s="79">
        <v>12100</v>
      </c>
      <c r="B31" s="80">
        <v>40.803989004939815</v>
      </c>
      <c r="C31" s="76" t="s">
        <v>13</v>
      </c>
      <c r="E31" s="80">
        <f t="shared" si="0"/>
        <v>12100</v>
      </c>
      <c r="F31" s="80">
        <f t="shared" si="1"/>
        <v>40.803989004939815</v>
      </c>
      <c r="G31" s="76" t="str">
        <f t="shared" si="2"/>
        <v>R 1 IN 893</v>
      </c>
      <c r="H31" s="76" t="s">
        <v>3544</v>
      </c>
    </row>
    <row r="32" spans="1:8" x14ac:dyDescent="0.3">
      <c r="A32" s="79">
        <v>12300</v>
      </c>
      <c r="B32" s="80">
        <v>41.027953170673321</v>
      </c>
      <c r="C32" s="76" t="s">
        <v>48</v>
      </c>
      <c r="E32" s="80">
        <f t="shared" si="0"/>
        <v>12300</v>
      </c>
      <c r="F32" s="80">
        <f t="shared" si="1"/>
        <v>41.027953170673321</v>
      </c>
      <c r="G32" s="76" t="str">
        <f t="shared" si="2"/>
        <v>F 1 IN 887</v>
      </c>
      <c r="H32" s="76" t="s">
        <v>3545</v>
      </c>
    </row>
    <row r="33" spans="1:8" x14ac:dyDescent="0.3">
      <c r="A33" s="79">
        <v>12480</v>
      </c>
      <c r="B33" s="80">
        <v>40.82502194181199</v>
      </c>
      <c r="C33" s="76" t="s">
        <v>14</v>
      </c>
      <c r="E33" s="80">
        <f t="shared" si="0"/>
        <v>12480</v>
      </c>
      <c r="F33" s="80">
        <f t="shared" si="1"/>
        <v>40.82502194181199</v>
      </c>
      <c r="G33" s="76" t="str">
        <f t="shared" si="2"/>
        <v>F 1 IN 101</v>
      </c>
      <c r="H33" s="76" t="s">
        <v>3546</v>
      </c>
    </row>
    <row r="34" spans="1:8" x14ac:dyDescent="0.3">
      <c r="A34" s="79">
        <v>12920</v>
      </c>
      <c r="B34" s="80">
        <v>36.468586298247708</v>
      </c>
      <c r="C34" s="76" t="s">
        <v>15</v>
      </c>
      <c r="E34" s="80">
        <f t="shared" si="0"/>
        <v>12920</v>
      </c>
      <c r="F34" s="80">
        <f t="shared" si="1"/>
        <v>36.468586298247708</v>
      </c>
      <c r="G34" s="76" t="str">
        <f t="shared" si="2"/>
        <v>F 1 IN 223</v>
      </c>
      <c r="H34" s="76" t="s">
        <v>3547</v>
      </c>
    </row>
    <row r="35" spans="1:8" x14ac:dyDescent="0.3">
      <c r="A35" s="79">
        <v>13060</v>
      </c>
      <c r="B35" s="80">
        <v>35.84078360766474</v>
      </c>
      <c r="C35" s="76" t="s">
        <v>3201</v>
      </c>
      <c r="E35" s="80">
        <f t="shared" si="0"/>
        <v>13060</v>
      </c>
      <c r="F35" s="80">
        <f t="shared" si="1"/>
        <v>35.84078360766474</v>
      </c>
      <c r="G35" s="76" t="str">
        <f t="shared" si="2"/>
        <v>F 1 IN 3085</v>
      </c>
      <c r="H35" s="76" t="s">
        <v>3548</v>
      </c>
    </row>
    <row r="36" spans="1:8" x14ac:dyDescent="0.3">
      <c r="A36" s="79">
        <v>13880</v>
      </c>
      <c r="B36" s="80">
        <v>35.574981338621086</v>
      </c>
      <c r="C36" s="76" t="s">
        <v>3206</v>
      </c>
      <c r="E36" s="80">
        <f t="shared" si="0"/>
        <v>13880</v>
      </c>
      <c r="F36" s="80">
        <f t="shared" si="1"/>
        <v>35.574981338621086</v>
      </c>
      <c r="G36" s="76" t="str">
        <f t="shared" si="2"/>
        <v>F 1 IN 109</v>
      </c>
      <c r="H36" s="76" t="s">
        <v>3549</v>
      </c>
    </row>
    <row r="37" spans="1:8" x14ac:dyDescent="0.3">
      <c r="A37" s="79">
        <v>14500</v>
      </c>
      <c r="B37" s="80">
        <v>29.886907944125625</v>
      </c>
      <c r="C37" s="76" t="s">
        <v>3207</v>
      </c>
      <c r="E37" s="80">
        <f t="shared" si="0"/>
        <v>14500</v>
      </c>
      <c r="F37" s="80">
        <f t="shared" si="1"/>
        <v>29.886907944125625</v>
      </c>
      <c r="G37" s="76" t="str">
        <f t="shared" si="2"/>
        <v>F 1 IN 472</v>
      </c>
      <c r="H37" s="76" t="s">
        <v>3550</v>
      </c>
    </row>
    <row r="38" spans="1:8" x14ac:dyDescent="0.3">
      <c r="A38" s="79">
        <v>15280</v>
      </c>
      <c r="B38" s="80">
        <v>28.234365571244325</v>
      </c>
      <c r="C38" s="76" t="s">
        <v>3195</v>
      </c>
      <c r="E38" s="80">
        <f t="shared" si="0"/>
        <v>15280</v>
      </c>
      <c r="F38" s="80">
        <f t="shared" si="1"/>
        <v>28.234365571244325</v>
      </c>
      <c r="G38" s="76" t="str">
        <f t="shared" si="2"/>
        <v>F 1 IN 116</v>
      </c>
      <c r="H38" s="76" t="s">
        <v>3551</v>
      </c>
    </row>
    <row r="39" spans="1:8" x14ac:dyDescent="0.3">
      <c r="A39" s="79">
        <v>15600</v>
      </c>
      <c r="B39" s="80">
        <v>25.475744881589151</v>
      </c>
      <c r="C39" s="76" t="s">
        <v>3163</v>
      </c>
      <c r="E39" s="80">
        <f t="shared" si="0"/>
        <v>15600</v>
      </c>
      <c r="F39" s="80">
        <f t="shared" si="1"/>
        <v>25.475744881589151</v>
      </c>
      <c r="G39" s="76" t="str">
        <f t="shared" si="2"/>
        <v>LEVEL</v>
      </c>
      <c r="H39" s="76" t="s">
        <v>3163</v>
      </c>
    </row>
    <row r="40" spans="1:8" x14ac:dyDescent="0.3">
      <c r="A40" s="79">
        <v>15920</v>
      </c>
      <c r="B40" s="80">
        <v>25.463000000000001</v>
      </c>
      <c r="C40" s="76" t="s">
        <v>3295</v>
      </c>
      <c r="E40" s="80">
        <f t="shared" si="0"/>
        <v>15920</v>
      </c>
      <c r="F40" s="80">
        <f t="shared" si="1"/>
        <v>25.463000000000001</v>
      </c>
      <c r="G40" s="76" t="str">
        <f t="shared" si="2"/>
        <v>F 1 IN 408</v>
      </c>
      <c r="H40" s="76" t="s">
        <v>3552</v>
      </c>
    </row>
    <row r="41" spans="1:8" x14ac:dyDescent="0.3">
      <c r="A41" s="79">
        <v>16460</v>
      </c>
      <c r="B41" s="80">
        <v>24.139470527973177</v>
      </c>
      <c r="C41" s="76" t="s">
        <v>3477</v>
      </c>
      <c r="E41" s="80">
        <f t="shared" si="0"/>
        <v>16460</v>
      </c>
      <c r="F41" s="80">
        <f t="shared" si="1"/>
        <v>24.139470527973177</v>
      </c>
      <c r="G41" s="76" t="str">
        <f t="shared" si="2"/>
        <v>F 1 IN 327</v>
      </c>
      <c r="H41" s="76" t="s">
        <v>3553</v>
      </c>
    </row>
    <row r="42" spans="1:8" x14ac:dyDescent="0.3">
      <c r="A42" s="79">
        <v>16780</v>
      </c>
      <c r="B42" s="80">
        <v>23.160877255801896</v>
      </c>
      <c r="C42" s="76" t="s">
        <v>3478</v>
      </c>
      <c r="E42" s="80">
        <f t="shared" si="0"/>
        <v>16780</v>
      </c>
      <c r="F42" s="80">
        <f t="shared" si="1"/>
        <v>23.160877255801896</v>
      </c>
      <c r="G42" s="76" t="str">
        <f t="shared" si="2"/>
        <v>F 1 IN 1177</v>
      </c>
      <c r="H42" s="76" t="s">
        <v>3554</v>
      </c>
    </row>
    <row r="43" spans="1:8" x14ac:dyDescent="0.3">
      <c r="A43" s="79">
        <v>17120</v>
      </c>
      <c r="B43" s="80">
        <v>22.872007247305724</v>
      </c>
      <c r="C43" s="76" t="s">
        <v>16</v>
      </c>
      <c r="E43" s="80">
        <f t="shared" si="0"/>
        <v>17120</v>
      </c>
      <c r="F43" s="80">
        <f t="shared" si="1"/>
        <v>22.872007247305724</v>
      </c>
      <c r="G43" s="76" t="str">
        <f t="shared" si="2"/>
        <v>R 1 IN 270</v>
      </c>
      <c r="H43" s="76" t="s">
        <v>3555</v>
      </c>
    </row>
    <row r="44" spans="1:8" x14ac:dyDescent="0.3">
      <c r="A44" s="79">
        <v>17300</v>
      </c>
      <c r="B44" s="80">
        <v>23.538673913972378</v>
      </c>
      <c r="C44" s="76" t="s">
        <v>17</v>
      </c>
      <c r="E44" s="80">
        <f t="shared" si="0"/>
        <v>17300</v>
      </c>
      <c r="F44" s="80">
        <f t="shared" si="1"/>
        <v>23.538673913972378</v>
      </c>
      <c r="G44" s="76" t="str">
        <f t="shared" si="2"/>
        <v>F 1 IN 241</v>
      </c>
      <c r="H44" s="76" t="s">
        <v>3556</v>
      </c>
    </row>
    <row r="45" spans="1:8" x14ac:dyDescent="0.3">
      <c r="A45" s="79">
        <v>17420</v>
      </c>
      <c r="B45" s="80">
        <v>23.04074860276906</v>
      </c>
      <c r="C45" s="76" t="s">
        <v>3479</v>
      </c>
      <c r="E45" s="80">
        <f t="shared" si="0"/>
        <v>17420</v>
      </c>
      <c r="F45" s="80">
        <f t="shared" si="1"/>
        <v>23.04074860276906</v>
      </c>
      <c r="G45" s="76" t="str">
        <f t="shared" si="2"/>
        <v>F 1 IN 11838</v>
      </c>
      <c r="H45" s="76" t="s">
        <v>3557</v>
      </c>
    </row>
    <row r="46" spans="1:8" x14ac:dyDescent="0.3">
      <c r="A46" s="79">
        <v>18660</v>
      </c>
      <c r="B46" s="80">
        <v>22.936001179217822</v>
      </c>
      <c r="C46" s="76" t="s">
        <v>3360</v>
      </c>
      <c r="E46" s="80">
        <f t="shared" si="0"/>
        <v>18660</v>
      </c>
      <c r="F46" s="80">
        <f t="shared" si="1"/>
        <v>22.936001179217822</v>
      </c>
      <c r="G46" s="76" t="str">
        <f t="shared" si="2"/>
        <v>R 1 IN 4815</v>
      </c>
      <c r="H46" s="76" t="s">
        <v>3558</v>
      </c>
    </row>
    <row r="47" spans="1:8" x14ac:dyDescent="0.3">
      <c r="A47" s="79">
        <v>19440</v>
      </c>
      <c r="B47" s="80">
        <v>23.097994948688221</v>
      </c>
      <c r="C47" s="76" t="s">
        <v>18</v>
      </c>
      <c r="E47" s="80">
        <f t="shared" si="0"/>
        <v>19440</v>
      </c>
      <c r="F47" s="80">
        <f t="shared" si="1"/>
        <v>23.097994948688221</v>
      </c>
      <c r="G47" s="76" t="str">
        <f t="shared" si="2"/>
        <v>R 1 IN 647</v>
      </c>
      <c r="H47" s="76" t="s">
        <v>3559</v>
      </c>
    </row>
    <row r="48" spans="1:8" x14ac:dyDescent="0.3">
      <c r="A48" s="79">
        <v>20060</v>
      </c>
      <c r="B48" s="80">
        <v>24.056263882227682</v>
      </c>
      <c r="C48" s="76" t="s">
        <v>3304</v>
      </c>
      <c r="E48" s="80">
        <f t="shared" si="0"/>
        <v>20060</v>
      </c>
      <c r="F48" s="80">
        <f t="shared" si="1"/>
        <v>24.056263882227682</v>
      </c>
      <c r="G48" s="76" t="str">
        <f t="shared" si="2"/>
        <v>F 1 IN 1016</v>
      </c>
      <c r="H48" s="76" t="s">
        <v>3560</v>
      </c>
    </row>
    <row r="49" spans="1:8" x14ac:dyDescent="0.3">
      <c r="A49" s="79">
        <v>20920</v>
      </c>
      <c r="B49" s="80">
        <v>23.209807189314336</v>
      </c>
      <c r="C49" s="76" t="s">
        <v>3480</v>
      </c>
      <c r="E49" s="80">
        <f t="shared" si="0"/>
        <v>20920</v>
      </c>
      <c r="F49" s="80">
        <f t="shared" si="1"/>
        <v>23.209807189314336</v>
      </c>
      <c r="G49" s="76" t="str">
        <f t="shared" si="2"/>
        <v>R 1 IN 1152</v>
      </c>
      <c r="H49" s="76" t="s">
        <v>3561</v>
      </c>
    </row>
    <row r="50" spans="1:8" x14ac:dyDescent="0.3">
      <c r="A50" s="79">
        <v>21100</v>
      </c>
      <c r="B50" s="80">
        <v>23.366057189314333</v>
      </c>
      <c r="C50" s="76" t="s">
        <v>3481</v>
      </c>
      <c r="E50" s="80">
        <f t="shared" si="0"/>
        <v>21100</v>
      </c>
      <c r="F50" s="80">
        <f t="shared" si="1"/>
        <v>23.366057189314333</v>
      </c>
      <c r="G50" s="76" t="str">
        <f t="shared" si="2"/>
        <v>F 1 IN 279</v>
      </c>
      <c r="H50" s="76" t="s">
        <v>3562</v>
      </c>
    </row>
    <row r="51" spans="1:8" x14ac:dyDescent="0.3">
      <c r="A51" s="79">
        <v>21380</v>
      </c>
      <c r="B51" s="80">
        <v>22.362472959923636</v>
      </c>
      <c r="C51" s="76" t="s">
        <v>3482</v>
      </c>
      <c r="E51" s="80">
        <f t="shared" si="0"/>
        <v>21380</v>
      </c>
      <c r="F51" s="80">
        <f t="shared" si="1"/>
        <v>22.362472959923636</v>
      </c>
      <c r="G51" s="76" t="str">
        <f t="shared" si="2"/>
        <v>F 1 IN 1351</v>
      </c>
      <c r="H51" s="76" t="s">
        <v>3563</v>
      </c>
    </row>
    <row r="52" spans="1:8" x14ac:dyDescent="0.3">
      <c r="A52" s="79">
        <v>21740</v>
      </c>
      <c r="B52" s="80">
        <v>22.096003677910339</v>
      </c>
      <c r="C52" s="76" t="s">
        <v>3163</v>
      </c>
      <c r="E52" s="80">
        <f t="shared" si="0"/>
        <v>21740</v>
      </c>
      <c r="F52" s="80">
        <f t="shared" si="1"/>
        <v>22.096003677910339</v>
      </c>
      <c r="G52" s="76" t="str">
        <f t="shared" si="2"/>
        <v>LEVEL</v>
      </c>
      <c r="H52" s="76" t="s">
        <v>3163</v>
      </c>
    </row>
    <row r="53" spans="1:8" x14ac:dyDescent="0.3">
      <c r="A53" s="79">
        <v>22380</v>
      </c>
      <c r="B53" s="80">
        <v>22.09100000333688</v>
      </c>
      <c r="C53" s="76" t="s">
        <v>20</v>
      </c>
      <c r="E53" s="80">
        <f t="shared" si="0"/>
        <v>22380</v>
      </c>
      <c r="F53" s="80">
        <f t="shared" si="1"/>
        <v>22.09100000333688</v>
      </c>
      <c r="G53" s="76" t="str">
        <f t="shared" si="2"/>
        <v>R 1 IN 1637</v>
      </c>
      <c r="H53" s="76" t="s">
        <v>3564</v>
      </c>
    </row>
    <row r="54" spans="1:8" x14ac:dyDescent="0.3">
      <c r="A54" s="79">
        <v>23380</v>
      </c>
      <c r="B54" s="80">
        <v>22.701873552512275</v>
      </c>
      <c r="C54" s="76" t="s">
        <v>21</v>
      </c>
      <c r="E54" s="80">
        <f t="shared" si="0"/>
        <v>23380</v>
      </c>
      <c r="F54" s="80">
        <f t="shared" si="1"/>
        <v>22.701873552512275</v>
      </c>
      <c r="G54" s="76" t="str">
        <f t="shared" si="2"/>
        <v>R 1 IN 897</v>
      </c>
      <c r="H54" s="76" t="s">
        <v>3565</v>
      </c>
    </row>
    <row r="55" spans="1:8" x14ac:dyDescent="0.3">
      <c r="A55" s="79">
        <v>23720</v>
      </c>
      <c r="B55" s="80">
        <v>23.080914801118766</v>
      </c>
      <c r="C55" s="76" t="s">
        <v>3483</v>
      </c>
      <c r="E55" s="80">
        <f t="shared" si="0"/>
        <v>23720</v>
      </c>
      <c r="F55" s="80">
        <f t="shared" si="1"/>
        <v>23.080914801118766</v>
      </c>
      <c r="G55" s="76" t="str">
        <f t="shared" si="2"/>
        <v>F 1 IN 136</v>
      </c>
      <c r="H55" s="76" t="s">
        <v>3566</v>
      </c>
    </row>
    <row r="56" spans="1:8" x14ac:dyDescent="0.3">
      <c r="A56" s="79">
        <v>24040</v>
      </c>
      <c r="B56" s="80">
        <v>20.727973624648158</v>
      </c>
      <c r="C56" s="76" t="s">
        <v>3484</v>
      </c>
      <c r="E56" s="80">
        <f t="shared" si="0"/>
        <v>24040</v>
      </c>
      <c r="F56" s="80">
        <f t="shared" si="1"/>
        <v>20.727973624648158</v>
      </c>
      <c r="G56" s="76" t="str">
        <f t="shared" si="2"/>
        <v>F 1 IN 258</v>
      </c>
      <c r="H56" s="76" t="s">
        <v>3567</v>
      </c>
    </row>
    <row r="57" spans="1:8" x14ac:dyDescent="0.3">
      <c r="A57" s="79">
        <v>24200</v>
      </c>
      <c r="B57" s="80">
        <v>20.107818585888467</v>
      </c>
      <c r="C57" s="76" t="s">
        <v>3485</v>
      </c>
      <c r="E57" s="80">
        <f t="shared" si="0"/>
        <v>24200</v>
      </c>
      <c r="F57" s="80">
        <f t="shared" si="1"/>
        <v>20.107818585888467</v>
      </c>
      <c r="G57" s="76" t="str">
        <f t="shared" si="2"/>
        <v>F 1 IN 2933</v>
      </c>
      <c r="H57" s="76" t="s">
        <v>3568</v>
      </c>
    </row>
    <row r="58" spans="1:8" x14ac:dyDescent="0.3">
      <c r="A58" s="79">
        <v>24440</v>
      </c>
      <c r="B58" s="80">
        <v>20.025991105492963</v>
      </c>
      <c r="C58" s="76" t="s">
        <v>3218</v>
      </c>
      <c r="E58" s="80">
        <f t="shared" si="0"/>
        <v>24440</v>
      </c>
      <c r="F58" s="80">
        <f t="shared" si="1"/>
        <v>20.025991105492963</v>
      </c>
      <c r="G58" s="76" t="str">
        <f t="shared" si="2"/>
        <v>R 1 IN 231</v>
      </c>
      <c r="H58" s="76" t="s">
        <v>3569</v>
      </c>
    </row>
    <row r="59" spans="1:8" x14ac:dyDescent="0.3">
      <c r="A59" s="79">
        <v>24800</v>
      </c>
      <c r="B59" s="80">
        <v>21.584432663934493</v>
      </c>
      <c r="C59" s="76" t="s">
        <v>3215</v>
      </c>
      <c r="E59" s="80">
        <f t="shared" si="0"/>
        <v>24800</v>
      </c>
      <c r="F59" s="80">
        <f t="shared" si="1"/>
        <v>21.584432663934493</v>
      </c>
      <c r="G59" s="76" t="str">
        <f t="shared" si="2"/>
        <v>F 1 IN 164</v>
      </c>
      <c r="H59" s="76" t="s">
        <v>3570</v>
      </c>
    </row>
    <row r="60" spans="1:8" x14ac:dyDescent="0.3">
      <c r="A60" s="79">
        <v>25200</v>
      </c>
      <c r="B60" s="80">
        <v>19.145408273690606</v>
      </c>
      <c r="C60" s="76" t="s">
        <v>3217</v>
      </c>
      <c r="E60" s="80">
        <f t="shared" si="0"/>
        <v>25200</v>
      </c>
      <c r="F60" s="80">
        <f t="shared" si="1"/>
        <v>19.145408273690606</v>
      </c>
      <c r="G60" s="76" t="str">
        <f t="shared" si="2"/>
        <v>F 1 IN  271</v>
      </c>
      <c r="H60" s="76" t="s">
        <v>3571</v>
      </c>
    </row>
    <row r="61" spans="1:8" x14ac:dyDescent="0.3">
      <c r="A61" s="79">
        <v>25320</v>
      </c>
      <c r="B61" s="80">
        <v>18.702603845646316</v>
      </c>
      <c r="C61" s="76" t="s">
        <v>22</v>
      </c>
      <c r="E61" s="80">
        <f t="shared" si="0"/>
        <v>25320</v>
      </c>
      <c r="F61" s="80">
        <f t="shared" si="1"/>
        <v>18.702603845646316</v>
      </c>
      <c r="G61" s="76" t="str">
        <f t="shared" si="2"/>
        <v>F 1 IN 108</v>
      </c>
      <c r="H61" s="76" t="s">
        <v>3572</v>
      </c>
    </row>
    <row r="62" spans="1:8" x14ac:dyDescent="0.3">
      <c r="A62" s="79">
        <v>25480</v>
      </c>
      <c r="B62" s="80">
        <v>17.22112236416482</v>
      </c>
      <c r="C62" s="76" t="s">
        <v>3216</v>
      </c>
      <c r="E62" s="80">
        <f t="shared" si="0"/>
        <v>25480</v>
      </c>
      <c r="F62" s="80">
        <f t="shared" si="1"/>
        <v>17.22112236416482</v>
      </c>
      <c r="G62" s="76" t="str">
        <f t="shared" si="2"/>
        <v>F 1 IN  550</v>
      </c>
      <c r="H62" s="76" t="s">
        <v>3573</v>
      </c>
    </row>
    <row r="63" spans="1:8" x14ac:dyDescent="0.3">
      <c r="A63" s="79">
        <v>25820</v>
      </c>
      <c r="B63" s="80">
        <v>16.602940545983021</v>
      </c>
      <c r="C63" s="76" t="s">
        <v>23</v>
      </c>
      <c r="E63" s="80">
        <f t="shared" si="0"/>
        <v>25820</v>
      </c>
      <c r="F63" s="80">
        <f t="shared" si="1"/>
        <v>16.602940545983021</v>
      </c>
      <c r="G63" s="76" t="str">
        <f t="shared" si="2"/>
        <v>F 1 IN  708</v>
      </c>
      <c r="H63" s="76" t="s">
        <v>3574</v>
      </c>
    </row>
    <row r="64" spans="1:8" x14ac:dyDescent="0.3">
      <c r="A64" s="79">
        <v>26500</v>
      </c>
      <c r="B64" s="80">
        <v>15.642488568581866</v>
      </c>
      <c r="C64" s="76" t="s">
        <v>3223</v>
      </c>
      <c r="E64" s="80">
        <f t="shared" si="0"/>
        <v>26500</v>
      </c>
      <c r="F64" s="80">
        <f t="shared" si="1"/>
        <v>15.642488568581866</v>
      </c>
      <c r="G64" s="76" t="str">
        <f t="shared" si="2"/>
        <v>F 1 IN  1174</v>
      </c>
      <c r="H64" s="76" t="s">
        <v>3575</v>
      </c>
    </row>
    <row r="65" spans="1:8" x14ac:dyDescent="0.3">
      <c r="A65" s="79">
        <v>27480</v>
      </c>
      <c r="B65" s="80">
        <v>14.807735587321229</v>
      </c>
      <c r="C65" s="76" t="s">
        <v>3224</v>
      </c>
      <c r="E65" s="80">
        <f t="shared" si="0"/>
        <v>27480</v>
      </c>
      <c r="F65" s="80">
        <f t="shared" si="1"/>
        <v>14.807735587321229</v>
      </c>
      <c r="G65" s="76" t="str">
        <f t="shared" si="2"/>
        <v>F 1 IN  10215</v>
      </c>
      <c r="H65" s="76" t="s">
        <v>3576</v>
      </c>
    </row>
    <row r="66" spans="1:8" x14ac:dyDescent="0.3">
      <c r="A66" s="79">
        <v>28080</v>
      </c>
      <c r="B66" s="80">
        <v>14.748998436073073</v>
      </c>
      <c r="C66" s="76" t="s">
        <v>3229</v>
      </c>
      <c r="E66" s="80">
        <f t="shared" si="0"/>
        <v>28080</v>
      </c>
      <c r="F66" s="80">
        <f t="shared" si="1"/>
        <v>14.748998436073073</v>
      </c>
      <c r="G66" s="76" t="str">
        <f t="shared" si="2"/>
        <v>R 1 IN  3218</v>
      </c>
      <c r="H66" s="76" t="s">
        <v>3577</v>
      </c>
    </row>
    <row r="67" spans="1:8" x14ac:dyDescent="0.3">
      <c r="A67" s="79">
        <v>28360</v>
      </c>
      <c r="B67" s="80">
        <v>14.836009001641749</v>
      </c>
      <c r="C67" s="76" t="s">
        <v>3288</v>
      </c>
      <c r="E67" s="80">
        <f t="shared" ref="E67:E130" si="3">A67</f>
        <v>28360</v>
      </c>
      <c r="F67" s="80">
        <f t="shared" ref="F67:F130" si="4">B67</f>
        <v>14.836009001641749</v>
      </c>
      <c r="G67" s="76" t="str">
        <f t="shared" ref="G67:G130" si="5">IF(OR(LEFT(C67,2)="R ",LEFT(C67,2)="F "),LEFT(C67,1)&amp;" 1 IN "&amp;MID(C67,3,LEN(C67)),C67)</f>
        <v>F 1 IN 1362</v>
      </c>
      <c r="H67" s="76" t="s">
        <v>3578</v>
      </c>
    </row>
    <row r="68" spans="1:8" x14ac:dyDescent="0.3">
      <c r="A68" s="79">
        <v>28680</v>
      </c>
      <c r="B68" s="80">
        <v>14.601060396649082</v>
      </c>
      <c r="C68" s="76" t="s">
        <v>3486</v>
      </c>
      <c r="E68" s="80">
        <f t="shared" si="3"/>
        <v>28680</v>
      </c>
      <c r="F68" s="80">
        <f t="shared" si="4"/>
        <v>14.601060396649082</v>
      </c>
      <c r="G68" s="76" t="str">
        <f t="shared" si="5"/>
        <v>R 1 IN 9665</v>
      </c>
      <c r="H68" s="76" t="s">
        <v>3579</v>
      </c>
    </row>
    <row r="69" spans="1:8" x14ac:dyDescent="0.3">
      <c r="A69" s="79">
        <v>29240</v>
      </c>
      <c r="B69" s="80">
        <v>14.659001420963598</v>
      </c>
      <c r="C69" s="76" t="s">
        <v>3296</v>
      </c>
      <c r="E69" s="80">
        <f t="shared" si="3"/>
        <v>29240</v>
      </c>
      <c r="F69" s="80">
        <f t="shared" si="4"/>
        <v>14.659001420963598</v>
      </c>
      <c r="G69" s="76" t="str">
        <f t="shared" si="5"/>
        <v>F 1 IN 692</v>
      </c>
      <c r="H69" s="76" t="s">
        <v>3580</v>
      </c>
    </row>
    <row r="70" spans="1:8" x14ac:dyDescent="0.3">
      <c r="A70" s="79">
        <v>30000</v>
      </c>
      <c r="B70" s="80">
        <v>13.560735525009839</v>
      </c>
      <c r="C70" s="76" t="s">
        <v>3487</v>
      </c>
      <c r="E70" s="80">
        <f t="shared" si="3"/>
        <v>30000</v>
      </c>
      <c r="F70" s="80">
        <f t="shared" si="4"/>
        <v>13.560735525009839</v>
      </c>
      <c r="G70" s="76" t="str">
        <f t="shared" si="5"/>
        <v>F 1 IN 1216</v>
      </c>
      <c r="H70" s="76" t="s">
        <v>3581</v>
      </c>
    </row>
    <row r="71" spans="1:8" x14ac:dyDescent="0.3">
      <c r="A71" s="79">
        <v>31100</v>
      </c>
      <c r="B71" s="80">
        <v>12.656130261851919</v>
      </c>
      <c r="C71" s="76" t="s">
        <v>3488</v>
      </c>
      <c r="E71" s="80">
        <f t="shared" si="3"/>
        <v>31100</v>
      </c>
      <c r="F71" s="80">
        <f t="shared" si="4"/>
        <v>12.656130261851919</v>
      </c>
      <c r="G71" s="76" t="str">
        <f t="shared" si="5"/>
        <v>R 1 IN 2053</v>
      </c>
      <c r="H71" s="76" t="s">
        <v>3582</v>
      </c>
    </row>
    <row r="72" spans="1:8" x14ac:dyDescent="0.3">
      <c r="A72" s="79">
        <v>31420</v>
      </c>
      <c r="B72" s="80">
        <v>12.811999721179737</v>
      </c>
      <c r="C72" s="76" t="s">
        <v>3489</v>
      </c>
      <c r="E72" s="80">
        <f t="shared" si="3"/>
        <v>31420</v>
      </c>
      <c r="F72" s="80">
        <f t="shared" si="4"/>
        <v>12.811999721179737</v>
      </c>
      <c r="G72" s="76" t="str">
        <f t="shared" si="5"/>
        <v>F 1 IN 4607</v>
      </c>
      <c r="H72" s="76" t="s">
        <v>3583</v>
      </c>
    </row>
    <row r="73" spans="1:8" x14ac:dyDescent="0.3">
      <c r="A73" s="79">
        <v>32300</v>
      </c>
      <c r="B73" s="80">
        <v>12.620986046337078</v>
      </c>
      <c r="C73" s="76" t="s">
        <v>3490</v>
      </c>
      <c r="E73" s="80">
        <f t="shared" si="3"/>
        <v>32300</v>
      </c>
      <c r="F73" s="80">
        <f t="shared" si="4"/>
        <v>12.620986046337078</v>
      </c>
      <c r="G73" s="76" t="str">
        <f t="shared" si="5"/>
        <v>F 1 IN 4890</v>
      </c>
      <c r="H73" s="76" t="s">
        <v>3584</v>
      </c>
    </row>
    <row r="74" spans="1:8" x14ac:dyDescent="0.3">
      <c r="A74" s="79">
        <v>32740</v>
      </c>
      <c r="B74" s="80">
        <v>12.531006496234836</v>
      </c>
      <c r="C74" s="76" t="s">
        <v>24</v>
      </c>
      <c r="E74" s="80">
        <f t="shared" si="3"/>
        <v>32740</v>
      </c>
      <c r="F74" s="80">
        <f t="shared" si="4"/>
        <v>12.531006496234836</v>
      </c>
      <c r="G74" s="76" t="str">
        <f t="shared" si="5"/>
        <v>R 1 IN 960</v>
      </c>
      <c r="H74" s="76" t="s">
        <v>3585</v>
      </c>
    </row>
    <row r="75" spans="1:8" x14ac:dyDescent="0.3">
      <c r="A75" s="79">
        <v>33100</v>
      </c>
      <c r="B75" s="80">
        <v>12.906006496234847</v>
      </c>
      <c r="C75" s="76" t="s">
        <v>3491</v>
      </c>
      <c r="E75" s="80">
        <f t="shared" si="3"/>
        <v>33100</v>
      </c>
      <c r="F75" s="80">
        <f t="shared" si="4"/>
        <v>12.906006496234847</v>
      </c>
      <c r="G75" s="76" t="str">
        <f t="shared" si="5"/>
        <v>F 1 IN 3468</v>
      </c>
      <c r="H75" s="76" t="s">
        <v>3586</v>
      </c>
    </row>
    <row r="76" spans="1:8" x14ac:dyDescent="0.3">
      <c r="A76" s="79">
        <v>33700</v>
      </c>
      <c r="B76" s="80">
        <v>12.732996115611991</v>
      </c>
      <c r="C76" s="76" t="s">
        <v>3163</v>
      </c>
      <c r="E76" s="80">
        <f t="shared" si="3"/>
        <v>33700</v>
      </c>
      <c r="F76" s="80">
        <f t="shared" si="4"/>
        <v>12.732996115611991</v>
      </c>
      <c r="G76" s="76" t="str">
        <f t="shared" si="5"/>
        <v>LEVEL</v>
      </c>
      <c r="H76" s="76" t="s">
        <v>3163</v>
      </c>
    </row>
    <row r="77" spans="1:8" x14ac:dyDescent="0.3">
      <c r="A77" s="79">
        <v>34680</v>
      </c>
      <c r="B77" s="80">
        <v>12.746999916643695</v>
      </c>
      <c r="C77" s="76" t="s">
        <v>25</v>
      </c>
      <c r="E77" s="80">
        <f t="shared" si="3"/>
        <v>34680</v>
      </c>
      <c r="F77" s="80">
        <f t="shared" si="4"/>
        <v>12.746999916643695</v>
      </c>
      <c r="G77" s="76" t="str">
        <f t="shared" si="5"/>
        <v>F 1 IN 8421</v>
      </c>
      <c r="H77" s="76" t="s">
        <v>3587</v>
      </c>
    </row>
    <row r="78" spans="1:8" x14ac:dyDescent="0.3">
      <c r="A78" s="79">
        <v>35000</v>
      </c>
      <c r="B78" s="80">
        <v>12.708999679142217</v>
      </c>
      <c r="C78" s="76" t="s">
        <v>26</v>
      </c>
      <c r="E78" s="80">
        <f t="shared" si="3"/>
        <v>35000</v>
      </c>
      <c r="F78" s="80">
        <f t="shared" si="4"/>
        <v>12.708999679142217</v>
      </c>
      <c r="G78" s="76" t="str">
        <f t="shared" si="5"/>
        <v>R 1 IN 743</v>
      </c>
      <c r="H78" s="76" t="s">
        <v>3588</v>
      </c>
    </row>
    <row r="79" spans="1:8" x14ac:dyDescent="0.3">
      <c r="A79" s="79">
        <v>35200</v>
      </c>
      <c r="B79" s="80">
        <v>12.978178683179902</v>
      </c>
      <c r="C79" s="76" t="s">
        <v>27</v>
      </c>
      <c r="E79" s="80">
        <f t="shared" si="3"/>
        <v>35200</v>
      </c>
      <c r="F79" s="80">
        <f t="shared" si="4"/>
        <v>12.978178683179902</v>
      </c>
      <c r="G79" s="76" t="str">
        <f t="shared" si="5"/>
        <v>F 1 IN 1176</v>
      </c>
      <c r="H79" s="76" t="s">
        <v>3589</v>
      </c>
    </row>
    <row r="80" spans="1:8" x14ac:dyDescent="0.3">
      <c r="A80" s="79">
        <v>35540</v>
      </c>
      <c r="B80" s="80">
        <v>12.689063036921404</v>
      </c>
      <c r="C80" s="76" t="s">
        <v>28</v>
      </c>
      <c r="E80" s="80">
        <f t="shared" si="3"/>
        <v>35540</v>
      </c>
      <c r="F80" s="80">
        <f t="shared" si="4"/>
        <v>12.689063036921404</v>
      </c>
      <c r="G80" s="76" t="str">
        <f t="shared" si="5"/>
        <v>R 1 IN 1472</v>
      </c>
      <c r="H80" s="76" t="s">
        <v>3590</v>
      </c>
    </row>
    <row r="81" spans="1:8" x14ac:dyDescent="0.3">
      <c r="A81" s="79">
        <v>36120</v>
      </c>
      <c r="B81" s="80">
        <v>13.083084776051816</v>
      </c>
      <c r="C81" s="76" t="s">
        <v>3234</v>
      </c>
      <c r="E81" s="80">
        <f t="shared" si="3"/>
        <v>36120</v>
      </c>
      <c r="F81" s="80">
        <f t="shared" si="4"/>
        <v>13.083084776051816</v>
      </c>
      <c r="G81" s="76" t="str">
        <f t="shared" si="5"/>
        <v>R 1 IN 225</v>
      </c>
      <c r="H81" s="76" t="s">
        <v>3591</v>
      </c>
    </row>
    <row r="82" spans="1:8" x14ac:dyDescent="0.3">
      <c r="A82" s="79">
        <v>36360</v>
      </c>
      <c r="B82" s="80">
        <v>14.149751442718479</v>
      </c>
      <c r="C82" s="76" t="s">
        <v>19</v>
      </c>
      <c r="E82" s="80">
        <f t="shared" si="3"/>
        <v>36360</v>
      </c>
      <c r="F82" s="80">
        <f t="shared" si="4"/>
        <v>14.149751442718479</v>
      </c>
      <c r="G82" s="76" t="str">
        <f t="shared" si="5"/>
        <v>F 1 IN 186</v>
      </c>
      <c r="H82" s="76" t="s">
        <v>3592</v>
      </c>
    </row>
    <row r="83" spans="1:8" x14ac:dyDescent="0.3">
      <c r="A83" s="79">
        <v>36620</v>
      </c>
      <c r="B83" s="80">
        <v>12.751901980352889</v>
      </c>
      <c r="C83" s="76" t="s">
        <v>3235</v>
      </c>
      <c r="E83" s="80">
        <f t="shared" si="3"/>
        <v>36620</v>
      </c>
      <c r="F83" s="80">
        <f t="shared" si="4"/>
        <v>12.751901980352889</v>
      </c>
      <c r="G83" s="76" t="str">
        <f t="shared" si="5"/>
        <v>F 1 IN 904</v>
      </c>
      <c r="H83" s="76" t="s">
        <v>3593</v>
      </c>
    </row>
    <row r="84" spans="1:8" x14ac:dyDescent="0.3">
      <c r="A84" s="79">
        <v>36900</v>
      </c>
      <c r="B84" s="80">
        <v>12.442167467078557</v>
      </c>
      <c r="C84" s="76" t="s">
        <v>3236</v>
      </c>
      <c r="E84" s="80">
        <f t="shared" si="3"/>
        <v>36900</v>
      </c>
      <c r="F84" s="80">
        <f t="shared" si="4"/>
        <v>12.442167467078557</v>
      </c>
      <c r="G84" s="76" t="str">
        <f t="shared" si="5"/>
        <v>R 1 IN 1991</v>
      </c>
      <c r="H84" s="76" t="s">
        <v>3594</v>
      </c>
    </row>
    <row r="85" spans="1:8" x14ac:dyDescent="0.3">
      <c r="A85" s="79">
        <v>37280</v>
      </c>
      <c r="B85" s="80">
        <v>12.633026331970582</v>
      </c>
      <c r="C85" s="76" t="s">
        <v>29</v>
      </c>
      <c r="E85" s="80">
        <f t="shared" si="3"/>
        <v>37280</v>
      </c>
      <c r="F85" s="80">
        <f t="shared" si="4"/>
        <v>12.633026331970582</v>
      </c>
      <c r="G85" s="76" t="str">
        <f t="shared" si="5"/>
        <v>R 1 IN 168</v>
      </c>
      <c r="H85" s="76" t="s">
        <v>3595</v>
      </c>
    </row>
    <row r="86" spans="1:8" x14ac:dyDescent="0.3">
      <c r="A86" s="79">
        <v>37440</v>
      </c>
      <c r="B86" s="80">
        <v>13.585407284351531</v>
      </c>
      <c r="C86" s="76" t="s">
        <v>30</v>
      </c>
      <c r="E86" s="80">
        <f t="shared" si="3"/>
        <v>37440</v>
      </c>
      <c r="F86" s="80">
        <f t="shared" si="4"/>
        <v>13.585407284351531</v>
      </c>
      <c r="G86" s="76" t="str">
        <f t="shared" si="5"/>
        <v>R 1 IN 100</v>
      </c>
      <c r="H86" s="76" t="s">
        <v>3596</v>
      </c>
    </row>
    <row r="87" spans="1:8" x14ac:dyDescent="0.3">
      <c r="A87" s="79">
        <v>37720</v>
      </c>
      <c r="B87" s="80">
        <v>16.385407284351523</v>
      </c>
      <c r="C87" s="76" t="s">
        <v>3492</v>
      </c>
      <c r="E87" s="80">
        <f t="shared" si="3"/>
        <v>37720</v>
      </c>
      <c r="F87" s="80">
        <f t="shared" si="4"/>
        <v>16.385407284351523</v>
      </c>
      <c r="G87" s="76" t="str">
        <f t="shared" si="5"/>
        <v>F 1 IN 2154</v>
      </c>
      <c r="H87" s="76" t="s">
        <v>3597</v>
      </c>
    </row>
    <row r="88" spans="1:8" x14ac:dyDescent="0.3">
      <c r="A88" s="79">
        <v>37960</v>
      </c>
      <c r="B88" s="80">
        <v>16.273986671538147</v>
      </c>
      <c r="C88" s="76" t="s">
        <v>3493</v>
      </c>
      <c r="E88" s="80">
        <f t="shared" si="3"/>
        <v>37960</v>
      </c>
      <c r="F88" s="80">
        <f t="shared" si="4"/>
        <v>16.273986671538147</v>
      </c>
      <c r="G88" s="76" t="str">
        <f t="shared" si="5"/>
        <v>R 1 IN 420</v>
      </c>
      <c r="H88" s="76" t="s">
        <v>3598</v>
      </c>
    </row>
    <row r="89" spans="1:8" x14ac:dyDescent="0.3">
      <c r="A89" s="79">
        <v>38400</v>
      </c>
      <c r="B89" s="80">
        <v>17.299627697179147</v>
      </c>
      <c r="C89" s="76" t="s">
        <v>3494</v>
      </c>
      <c r="E89" s="80">
        <f t="shared" si="3"/>
        <v>38400</v>
      </c>
      <c r="F89" s="80">
        <f t="shared" si="4"/>
        <v>17.299627697179147</v>
      </c>
      <c r="G89" s="76" t="str">
        <f t="shared" si="5"/>
        <v>R 1 IN 432</v>
      </c>
      <c r="H89" s="76" t="s">
        <v>3599</v>
      </c>
    </row>
    <row r="90" spans="1:8" x14ac:dyDescent="0.3">
      <c r="A90" s="79">
        <v>38740</v>
      </c>
      <c r="B90" s="80">
        <v>18.086664734216207</v>
      </c>
      <c r="C90" s="76" t="s">
        <v>3246</v>
      </c>
      <c r="E90" s="80">
        <f t="shared" si="3"/>
        <v>38740</v>
      </c>
      <c r="F90" s="80">
        <f t="shared" si="4"/>
        <v>18.086664734216207</v>
      </c>
      <c r="G90" s="76" t="str">
        <f t="shared" si="5"/>
        <v>R 1 IN 714</v>
      </c>
      <c r="H90" s="76" t="s">
        <v>3600</v>
      </c>
    </row>
    <row r="91" spans="1:8" x14ac:dyDescent="0.3">
      <c r="A91" s="79">
        <v>39040</v>
      </c>
      <c r="B91" s="80">
        <v>18.506245153796606</v>
      </c>
      <c r="C91" s="76" t="s">
        <v>31</v>
      </c>
      <c r="E91" s="80">
        <f t="shared" si="3"/>
        <v>39040</v>
      </c>
      <c r="F91" s="80">
        <f t="shared" si="4"/>
        <v>18.506245153796606</v>
      </c>
      <c r="G91" s="76" t="str">
        <f t="shared" si="5"/>
        <v>R 1 IN 123</v>
      </c>
      <c r="H91" s="76" t="s">
        <v>3601</v>
      </c>
    </row>
    <row r="92" spans="1:8" x14ac:dyDescent="0.3">
      <c r="A92" s="79">
        <v>39240</v>
      </c>
      <c r="B92" s="80">
        <v>20.13226141395922</v>
      </c>
      <c r="C92" s="76" t="s">
        <v>3368</v>
      </c>
      <c r="E92" s="80">
        <f t="shared" si="3"/>
        <v>39240</v>
      </c>
      <c r="F92" s="80">
        <f t="shared" si="4"/>
        <v>20.13226141395922</v>
      </c>
      <c r="G92" s="76" t="str">
        <f t="shared" si="5"/>
        <v>F 1 IN 575</v>
      </c>
      <c r="H92" s="76" t="s">
        <v>3602</v>
      </c>
    </row>
    <row r="93" spans="1:8" x14ac:dyDescent="0.3">
      <c r="A93" s="79">
        <v>39400</v>
      </c>
      <c r="B93" s="80">
        <v>19.85496505347394</v>
      </c>
      <c r="C93" s="76" t="s">
        <v>3495</v>
      </c>
      <c r="E93" s="80">
        <f t="shared" si="3"/>
        <v>39400</v>
      </c>
      <c r="F93" s="80">
        <f t="shared" si="4"/>
        <v>19.85496505347394</v>
      </c>
      <c r="G93" s="76" t="str">
        <f t="shared" si="5"/>
        <v>F 1 IN 2066</v>
      </c>
      <c r="H93" s="76" t="s">
        <v>3603</v>
      </c>
    </row>
    <row r="94" spans="1:8" x14ac:dyDescent="0.3">
      <c r="A94" s="79">
        <v>39900</v>
      </c>
      <c r="B94" s="80">
        <v>19.612951500714949</v>
      </c>
      <c r="C94" s="76" t="s">
        <v>32</v>
      </c>
      <c r="E94" s="80">
        <f t="shared" si="3"/>
        <v>39900</v>
      </c>
      <c r="F94" s="80">
        <f t="shared" si="4"/>
        <v>19.612951500714949</v>
      </c>
      <c r="G94" s="76" t="str">
        <f t="shared" si="5"/>
        <v>F 1 IN 275</v>
      </c>
      <c r="H94" s="76" t="s">
        <v>3604</v>
      </c>
    </row>
    <row r="95" spans="1:8" x14ac:dyDescent="0.3">
      <c r="A95" s="79">
        <v>40100</v>
      </c>
      <c r="B95" s="80">
        <v>18.885678773442208</v>
      </c>
      <c r="C95" s="76" t="s">
        <v>3496</v>
      </c>
      <c r="E95" s="80">
        <f t="shared" si="3"/>
        <v>40100</v>
      </c>
      <c r="F95" s="80">
        <f t="shared" si="4"/>
        <v>18.885678773442208</v>
      </c>
      <c r="G95" s="76" t="str">
        <f t="shared" si="5"/>
        <v>F 1 IN 10520</v>
      </c>
      <c r="H95" s="76" t="s">
        <v>3605</v>
      </c>
    </row>
    <row r="96" spans="1:8" x14ac:dyDescent="0.3">
      <c r="A96" s="79">
        <v>41580</v>
      </c>
      <c r="B96" s="80">
        <v>18.744994362795865</v>
      </c>
      <c r="C96" s="76" t="s">
        <v>33</v>
      </c>
      <c r="E96" s="80">
        <f t="shared" si="3"/>
        <v>41580</v>
      </c>
      <c r="F96" s="80">
        <f t="shared" si="4"/>
        <v>18.744994362795865</v>
      </c>
      <c r="G96" s="76" t="str">
        <f t="shared" si="5"/>
        <v>F 1 IN 236</v>
      </c>
      <c r="H96" s="76" t="s">
        <v>3606</v>
      </c>
    </row>
    <row r="97" spans="1:8" x14ac:dyDescent="0.3">
      <c r="A97" s="79">
        <v>42420</v>
      </c>
      <c r="B97" s="80">
        <v>15.185672328897532</v>
      </c>
      <c r="C97" s="76" t="s">
        <v>34</v>
      </c>
      <c r="E97" s="80">
        <f t="shared" si="3"/>
        <v>42420</v>
      </c>
      <c r="F97" s="80">
        <f t="shared" si="4"/>
        <v>15.185672328897532</v>
      </c>
      <c r="G97" s="76" t="str">
        <f t="shared" si="5"/>
        <v>F 1 IN 181</v>
      </c>
      <c r="H97" s="76" t="s">
        <v>3607</v>
      </c>
    </row>
    <row r="98" spans="1:8" x14ac:dyDescent="0.3">
      <c r="A98" s="79">
        <v>42900</v>
      </c>
      <c r="B98" s="80">
        <v>12.533738627240091</v>
      </c>
      <c r="C98" s="76" t="s">
        <v>35</v>
      </c>
      <c r="E98" s="80">
        <f t="shared" si="3"/>
        <v>42900</v>
      </c>
      <c r="F98" s="80">
        <f t="shared" si="4"/>
        <v>12.533738627240091</v>
      </c>
      <c r="G98" s="76" t="str">
        <f t="shared" si="5"/>
        <v>F 1 IN 457</v>
      </c>
      <c r="H98" s="76" t="s">
        <v>3608</v>
      </c>
    </row>
    <row r="99" spans="1:8" x14ac:dyDescent="0.3">
      <c r="A99" s="79">
        <v>43300</v>
      </c>
      <c r="B99" s="80">
        <v>11.658465104264174</v>
      </c>
      <c r="C99" s="76" t="s">
        <v>36</v>
      </c>
      <c r="E99" s="80">
        <f t="shared" si="3"/>
        <v>43300</v>
      </c>
      <c r="F99" s="80">
        <f t="shared" si="4"/>
        <v>11.658465104264174</v>
      </c>
      <c r="G99" s="76" t="str">
        <f t="shared" si="5"/>
        <v>R 1 IN 1137</v>
      </c>
      <c r="H99" s="76" t="s">
        <v>3609</v>
      </c>
    </row>
    <row r="100" spans="1:8" x14ac:dyDescent="0.3">
      <c r="A100" s="79">
        <v>43720</v>
      </c>
      <c r="B100" s="80">
        <v>12.027858244105877</v>
      </c>
      <c r="C100" s="76" t="s">
        <v>3</v>
      </c>
      <c r="E100" s="80">
        <f t="shared" si="3"/>
        <v>43720</v>
      </c>
      <c r="F100" s="80">
        <f t="shared" si="4"/>
        <v>12.027858244105877</v>
      </c>
      <c r="G100" s="76" t="str">
        <f t="shared" si="5"/>
        <v>R 1 IN 582</v>
      </c>
      <c r="H100" s="76" t="s">
        <v>3521</v>
      </c>
    </row>
    <row r="101" spans="1:8" x14ac:dyDescent="0.3">
      <c r="A101" s="79">
        <v>43940</v>
      </c>
      <c r="B101" s="80">
        <v>12.405865116958109</v>
      </c>
      <c r="C101" s="76" t="s">
        <v>49</v>
      </c>
      <c r="E101" s="80">
        <f t="shared" si="3"/>
        <v>43940</v>
      </c>
      <c r="F101" s="80">
        <f t="shared" si="4"/>
        <v>12.405865116958109</v>
      </c>
      <c r="G101" s="76" t="str">
        <f t="shared" si="5"/>
        <v>F 1 IN 328</v>
      </c>
      <c r="H101" s="76" t="s">
        <v>3610</v>
      </c>
    </row>
    <row r="102" spans="1:8" x14ac:dyDescent="0.3">
      <c r="A102" s="79">
        <v>44260</v>
      </c>
      <c r="B102" s="80">
        <v>11.430255360860555</v>
      </c>
      <c r="C102" s="76" t="s">
        <v>50</v>
      </c>
      <c r="E102" s="80">
        <f t="shared" si="3"/>
        <v>44260</v>
      </c>
      <c r="F102" s="80">
        <f t="shared" si="4"/>
        <v>11.430255360860555</v>
      </c>
      <c r="G102" s="76" t="str">
        <f t="shared" si="5"/>
        <v>F 1 IN 1076</v>
      </c>
      <c r="H102" s="76" t="s">
        <v>3611</v>
      </c>
    </row>
    <row r="103" spans="1:8" x14ac:dyDescent="0.3">
      <c r="A103" s="79">
        <v>44680</v>
      </c>
      <c r="B103" s="80">
        <v>11.039920788369859</v>
      </c>
      <c r="C103" s="76" t="s">
        <v>3497</v>
      </c>
      <c r="E103" s="80">
        <f t="shared" si="3"/>
        <v>44680</v>
      </c>
      <c r="F103" s="80">
        <f t="shared" si="4"/>
        <v>11.039920788369859</v>
      </c>
      <c r="G103" s="76" t="str">
        <f t="shared" si="5"/>
        <v>R 1 IN 3729</v>
      </c>
      <c r="H103" s="76" t="s">
        <v>3612</v>
      </c>
    </row>
    <row r="104" spans="1:8" x14ac:dyDescent="0.3">
      <c r="A104" s="79">
        <v>44960</v>
      </c>
      <c r="B104" s="80">
        <v>11.115007943103027</v>
      </c>
      <c r="C104" s="76" t="s">
        <v>3498</v>
      </c>
      <c r="E104" s="80">
        <f t="shared" si="3"/>
        <v>44960</v>
      </c>
      <c r="F104" s="80">
        <f t="shared" si="4"/>
        <v>11.115007943103027</v>
      </c>
      <c r="G104" s="76" t="str">
        <f t="shared" si="5"/>
        <v>R 1 IN 199</v>
      </c>
      <c r="H104" s="76" t="s">
        <v>3613</v>
      </c>
    </row>
    <row r="105" spans="1:8" x14ac:dyDescent="0.3">
      <c r="A105" s="79">
        <v>45180</v>
      </c>
      <c r="B105" s="80">
        <v>12.220535581293982</v>
      </c>
      <c r="C105" s="76" t="s">
        <v>3499</v>
      </c>
      <c r="E105" s="80">
        <f t="shared" si="3"/>
        <v>45180</v>
      </c>
      <c r="F105" s="80">
        <f t="shared" si="4"/>
        <v>12.220535581293982</v>
      </c>
      <c r="G105" s="76" t="str">
        <f t="shared" si="5"/>
        <v>F 1 IN 2537</v>
      </c>
      <c r="H105" s="76" t="s">
        <v>3614</v>
      </c>
    </row>
    <row r="106" spans="1:8" x14ac:dyDescent="0.3">
      <c r="A106" s="79">
        <v>45260</v>
      </c>
      <c r="B106" s="80">
        <v>12.189002274238407</v>
      </c>
      <c r="C106" s="76" t="s">
        <v>37</v>
      </c>
      <c r="E106" s="80">
        <f t="shared" si="3"/>
        <v>45260</v>
      </c>
      <c r="F106" s="80">
        <f t="shared" si="4"/>
        <v>12.189002274238407</v>
      </c>
      <c r="G106" s="76" t="str">
        <f t="shared" si="5"/>
        <v>F 1 IN 193</v>
      </c>
      <c r="H106" s="76" t="s">
        <v>3615</v>
      </c>
    </row>
    <row r="107" spans="1:8" x14ac:dyDescent="0.3">
      <c r="A107" s="79">
        <v>45420</v>
      </c>
      <c r="B107" s="80">
        <v>11.359986730196953</v>
      </c>
      <c r="C107" s="76" t="s">
        <v>38</v>
      </c>
      <c r="E107" s="80">
        <f t="shared" si="3"/>
        <v>45420</v>
      </c>
      <c r="F107" s="80">
        <f t="shared" si="4"/>
        <v>11.359986730196953</v>
      </c>
      <c r="G107" s="76" t="str">
        <f t="shared" si="5"/>
        <v>F 1 IN 121</v>
      </c>
      <c r="H107" s="76" t="s">
        <v>3616</v>
      </c>
    </row>
    <row r="108" spans="1:8" x14ac:dyDescent="0.3">
      <c r="A108" s="79">
        <v>45580</v>
      </c>
      <c r="B108" s="80">
        <v>10.037672680610173</v>
      </c>
      <c r="C108" s="76" t="s">
        <v>3500</v>
      </c>
      <c r="E108" s="80">
        <f t="shared" si="3"/>
        <v>45580</v>
      </c>
      <c r="F108" s="80">
        <f t="shared" si="4"/>
        <v>10.037672680610173</v>
      </c>
      <c r="G108" s="76" t="str">
        <f t="shared" si="5"/>
        <v>F 1 IN 6131</v>
      </c>
      <c r="H108" s="76" t="s">
        <v>3617</v>
      </c>
    </row>
    <row r="109" spans="1:8" x14ac:dyDescent="0.3">
      <c r="A109" s="79">
        <v>45860</v>
      </c>
      <c r="B109" s="80">
        <v>9.9920031324124867</v>
      </c>
      <c r="C109" s="76" t="s">
        <v>39</v>
      </c>
      <c r="E109" s="80">
        <f t="shared" si="3"/>
        <v>45860</v>
      </c>
      <c r="F109" s="80">
        <f t="shared" si="4"/>
        <v>9.9920031324124867</v>
      </c>
      <c r="G109" s="76" t="str">
        <f t="shared" si="5"/>
        <v>F 1 IN 1646</v>
      </c>
      <c r="H109" s="76" t="s">
        <v>3618</v>
      </c>
    </row>
    <row r="110" spans="1:8" x14ac:dyDescent="0.3">
      <c r="A110" s="79">
        <v>46400</v>
      </c>
      <c r="B110" s="80">
        <v>9.6639350886700797</v>
      </c>
      <c r="C110" s="76" t="s">
        <v>40</v>
      </c>
      <c r="E110" s="80">
        <f t="shared" si="3"/>
        <v>46400</v>
      </c>
      <c r="F110" s="80">
        <f t="shared" si="4"/>
        <v>9.6639350886700797</v>
      </c>
      <c r="G110" s="76" t="str">
        <f t="shared" si="5"/>
        <v>R 1 IN 331</v>
      </c>
      <c r="H110" s="76" t="s">
        <v>3619</v>
      </c>
    </row>
    <row r="111" spans="1:8" x14ac:dyDescent="0.3">
      <c r="A111" s="79">
        <v>46520</v>
      </c>
      <c r="B111" s="80">
        <v>10.026472853020532</v>
      </c>
      <c r="C111" s="76" t="s">
        <v>41</v>
      </c>
      <c r="E111" s="80">
        <f t="shared" si="3"/>
        <v>46520</v>
      </c>
      <c r="F111" s="80">
        <f t="shared" si="4"/>
        <v>10.026472853020532</v>
      </c>
      <c r="G111" s="76" t="str">
        <f t="shared" si="5"/>
        <v>F 1 IN 131</v>
      </c>
      <c r="H111" s="76" t="s">
        <v>3620</v>
      </c>
    </row>
    <row r="112" spans="1:8" x14ac:dyDescent="0.3">
      <c r="A112" s="79">
        <v>46720</v>
      </c>
      <c r="B112" s="80">
        <v>8.499755295768626</v>
      </c>
      <c r="C112" s="76" t="s">
        <v>42</v>
      </c>
      <c r="E112" s="80">
        <f t="shared" si="3"/>
        <v>46720</v>
      </c>
      <c r="F112" s="80">
        <f t="shared" si="4"/>
        <v>8.499755295768626</v>
      </c>
      <c r="G112" s="76" t="str">
        <f t="shared" si="5"/>
        <v>F 1 IN 822</v>
      </c>
      <c r="H112" s="76" t="s">
        <v>3621</v>
      </c>
    </row>
    <row r="113" spans="1:8" x14ac:dyDescent="0.3">
      <c r="A113" s="79">
        <v>47020</v>
      </c>
      <c r="B113" s="80">
        <v>8.1347917921190014</v>
      </c>
      <c r="C113" s="76" t="s">
        <v>43</v>
      </c>
      <c r="E113" s="80">
        <f t="shared" si="3"/>
        <v>47020</v>
      </c>
      <c r="F113" s="80">
        <f t="shared" si="4"/>
        <v>8.1347917921190014</v>
      </c>
      <c r="G113" s="76" t="str">
        <f t="shared" si="5"/>
        <v>R 1 IN 1884</v>
      </c>
      <c r="H113" s="76" t="s">
        <v>3622</v>
      </c>
    </row>
    <row r="114" spans="1:8" x14ac:dyDescent="0.3">
      <c r="A114" s="79">
        <v>47320</v>
      </c>
      <c r="B114" s="80">
        <v>8.2940274609088203</v>
      </c>
      <c r="C114" s="76" t="s">
        <v>44</v>
      </c>
      <c r="E114" s="80">
        <f t="shared" si="3"/>
        <v>47320</v>
      </c>
      <c r="F114" s="80">
        <f t="shared" si="4"/>
        <v>8.2940274609088203</v>
      </c>
      <c r="G114" s="76" t="str">
        <f t="shared" si="5"/>
        <v>F 1 IN 251</v>
      </c>
      <c r="H114" s="76" t="s">
        <v>3623</v>
      </c>
    </row>
    <row r="115" spans="1:8" x14ac:dyDescent="0.3">
      <c r="A115" s="79">
        <v>47880</v>
      </c>
      <c r="B115" s="80">
        <v>6.0629517636976669</v>
      </c>
      <c r="C115" s="76" t="s">
        <v>3502</v>
      </c>
      <c r="E115" s="80">
        <f t="shared" si="3"/>
        <v>47880</v>
      </c>
      <c r="F115" s="80">
        <f t="shared" si="4"/>
        <v>6.0629517636976669</v>
      </c>
      <c r="G115" s="76" t="str">
        <f t="shared" si="5"/>
        <v>F 1 IN 1512</v>
      </c>
      <c r="H115" s="76" t="s">
        <v>3624</v>
      </c>
    </row>
    <row r="116" spans="1:8" x14ac:dyDescent="0.3">
      <c r="A116" s="79">
        <v>48320</v>
      </c>
      <c r="B116" s="80">
        <v>5.7719464726923704</v>
      </c>
      <c r="C116" s="76" t="s">
        <v>3501</v>
      </c>
      <c r="E116" s="80">
        <f t="shared" si="3"/>
        <v>48320</v>
      </c>
      <c r="F116" s="80">
        <f t="shared" si="4"/>
        <v>5.7719464726923704</v>
      </c>
      <c r="G116" s="76" t="str">
        <f t="shared" si="5"/>
        <v>F 1 IN 382</v>
      </c>
      <c r="H116" s="76" t="s">
        <v>3625</v>
      </c>
    </row>
    <row r="117" spans="1:8" x14ac:dyDescent="0.3">
      <c r="A117" s="79">
        <v>48660</v>
      </c>
      <c r="B117" s="80">
        <v>4.8818941166714289</v>
      </c>
      <c r="C117" s="76" t="s">
        <v>3503</v>
      </c>
      <c r="E117" s="80">
        <f t="shared" si="3"/>
        <v>48660</v>
      </c>
      <c r="F117" s="80">
        <f t="shared" si="4"/>
        <v>4.8818941166714289</v>
      </c>
      <c r="G117" s="76" t="str">
        <f t="shared" si="5"/>
        <v>F 1 IN 11849</v>
      </c>
      <c r="H117" s="76" t="s">
        <v>3626</v>
      </c>
    </row>
    <row r="118" spans="1:8" x14ac:dyDescent="0.3">
      <c r="A118" s="79">
        <v>49500</v>
      </c>
      <c r="B118" s="80">
        <v>4.8110020582698922</v>
      </c>
      <c r="C118" s="76" t="s">
        <v>3504</v>
      </c>
      <c r="E118" s="80">
        <f t="shared" si="3"/>
        <v>49500</v>
      </c>
      <c r="F118" s="80">
        <f t="shared" si="4"/>
        <v>4.8110020582698922</v>
      </c>
      <c r="G118" s="76" t="str">
        <f t="shared" si="5"/>
        <v>F 1 IN 493</v>
      </c>
      <c r="H118" s="76" t="s">
        <v>3627</v>
      </c>
    </row>
    <row r="119" spans="1:8" x14ac:dyDescent="0.3">
      <c r="A119" s="79">
        <v>50060</v>
      </c>
      <c r="B119" s="80">
        <v>3.6750994213530634</v>
      </c>
      <c r="C119" s="76" t="s">
        <v>3163</v>
      </c>
      <c r="E119" s="80">
        <f t="shared" si="3"/>
        <v>50060</v>
      </c>
      <c r="F119" s="80">
        <f t="shared" si="4"/>
        <v>3.6750994213530634</v>
      </c>
      <c r="G119" s="76" t="str">
        <f t="shared" si="5"/>
        <v>LEVEL</v>
      </c>
      <c r="H119" s="76" t="s">
        <v>3163</v>
      </c>
    </row>
    <row r="120" spans="1:8" x14ac:dyDescent="0.3">
      <c r="A120" s="79">
        <v>51160</v>
      </c>
      <c r="B120" s="80">
        <v>3.675088421353057</v>
      </c>
      <c r="C120" s="76" t="s">
        <v>3505</v>
      </c>
      <c r="E120" s="80">
        <f t="shared" si="3"/>
        <v>51160</v>
      </c>
      <c r="F120" s="80">
        <f t="shared" si="4"/>
        <v>3.675088421353057</v>
      </c>
      <c r="G120" s="76" t="str">
        <f t="shared" si="5"/>
        <v>R 1 IN 414</v>
      </c>
      <c r="H120" s="76" t="s">
        <v>3628</v>
      </c>
    </row>
    <row r="121" spans="1:8" x14ac:dyDescent="0.3">
      <c r="A121" s="79">
        <v>51480</v>
      </c>
      <c r="B121" s="80">
        <v>4.4480352812564421</v>
      </c>
      <c r="C121" s="76" t="s">
        <v>3506</v>
      </c>
      <c r="E121" s="80">
        <f t="shared" si="3"/>
        <v>51480</v>
      </c>
      <c r="F121" s="80">
        <f t="shared" si="4"/>
        <v>4.4480352812564421</v>
      </c>
      <c r="G121" s="76" t="str">
        <f t="shared" si="5"/>
        <v>F 1 IN 3848</v>
      </c>
      <c r="H121" s="76" t="s">
        <v>3629</v>
      </c>
    </row>
    <row r="122" spans="1:8" x14ac:dyDescent="0.3">
      <c r="A122" s="79">
        <v>52900</v>
      </c>
      <c r="B122" s="80">
        <v>4.0790124122335829</v>
      </c>
      <c r="C122" s="76" t="s">
        <v>3507</v>
      </c>
      <c r="E122" s="80">
        <f t="shared" si="3"/>
        <v>52900</v>
      </c>
      <c r="F122" s="80">
        <f t="shared" si="4"/>
        <v>4.0790124122335829</v>
      </c>
      <c r="G122" s="76" t="str">
        <f t="shared" si="5"/>
        <v>R 1 IN 4603</v>
      </c>
      <c r="H122" s="76" t="s">
        <v>3630</v>
      </c>
    </row>
    <row r="123" spans="1:8" x14ac:dyDescent="0.3">
      <c r="A123" s="79">
        <v>54000</v>
      </c>
      <c r="B123" s="80">
        <v>4.3179869940280762</v>
      </c>
      <c r="C123" s="76" t="s">
        <v>3163</v>
      </c>
      <c r="E123" s="80">
        <f t="shared" si="3"/>
        <v>54000</v>
      </c>
      <c r="F123" s="80">
        <f t="shared" si="4"/>
        <v>4.3179869940280762</v>
      </c>
      <c r="G123" s="76" t="str">
        <f t="shared" si="5"/>
        <v>LEVEL</v>
      </c>
      <c r="H123" s="76" t="s">
        <v>3163</v>
      </c>
    </row>
    <row r="124" spans="1:8" x14ac:dyDescent="0.3">
      <c r="A124" s="79">
        <v>56000</v>
      </c>
      <c r="B124" s="80">
        <v>4.3177869940280482</v>
      </c>
      <c r="C124" s="76" t="s">
        <v>3279</v>
      </c>
      <c r="E124" s="80">
        <f t="shared" si="3"/>
        <v>56000</v>
      </c>
      <c r="F124" s="80">
        <f t="shared" si="4"/>
        <v>4.3177869940280482</v>
      </c>
      <c r="G124" s="76" t="str">
        <f t="shared" si="5"/>
        <v>F 1 IN 905</v>
      </c>
      <c r="H124" s="76" t="s">
        <v>3631</v>
      </c>
    </row>
    <row r="125" spans="1:8" x14ac:dyDescent="0.3">
      <c r="A125" s="79">
        <v>56700</v>
      </c>
      <c r="B125" s="80">
        <v>3.5443063310446186</v>
      </c>
      <c r="C125" s="76" t="s">
        <v>3278</v>
      </c>
      <c r="E125" s="80">
        <f t="shared" si="3"/>
        <v>56700</v>
      </c>
      <c r="F125" s="80">
        <f t="shared" si="4"/>
        <v>3.5443063310446186</v>
      </c>
      <c r="G125" s="76" t="str">
        <f t="shared" si="5"/>
        <v>R 1 IN 11270</v>
      </c>
      <c r="H125" s="76" t="s">
        <v>3632</v>
      </c>
    </row>
    <row r="126" spans="1:8" x14ac:dyDescent="0.3">
      <c r="A126" s="79">
        <v>59300</v>
      </c>
      <c r="B126" s="80">
        <v>3.7750073070872223</v>
      </c>
      <c r="C126" s="76" t="s">
        <v>46</v>
      </c>
      <c r="E126" s="80">
        <f t="shared" si="3"/>
        <v>59300</v>
      </c>
      <c r="F126" s="80">
        <f t="shared" si="4"/>
        <v>3.7750073070872223</v>
      </c>
      <c r="G126" s="76" t="str">
        <f t="shared" si="5"/>
        <v>F 1 IN 745</v>
      </c>
      <c r="H126" s="76" t="s">
        <v>3633</v>
      </c>
    </row>
    <row r="127" spans="1:8" x14ac:dyDescent="0.3">
      <c r="A127" s="79">
        <v>60180</v>
      </c>
      <c r="B127" s="80">
        <v>2.5937992533959489</v>
      </c>
      <c r="C127" s="76" t="s">
        <v>47</v>
      </c>
      <c r="E127" s="80">
        <f t="shared" si="3"/>
        <v>60180</v>
      </c>
      <c r="F127" s="80">
        <f t="shared" si="4"/>
        <v>2.5937992533959489</v>
      </c>
      <c r="G127" s="76" t="str">
        <f t="shared" si="5"/>
        <v>R 1 IN 1523</v>
      </c>
      <c r="H127" s="76" t="s">
        <v>3634</v>
      </c>
    </row>
    <row r="128" spans="1:8" x14ac:dyDescent="0.3">
      <c r="A128" s="79">
        <v>60520</v>
      </c>
      <c r="B128" s="80">
        <v>2.8170428515574706</v>
      </c>
      <c r="C128" s="76" t="s">
        <v>3276</v>
      </c>
      <c r="E128" s="80">
        <f t="shared" si="3"/>
        <v>60520</v>
      </c>
      <c r="F128" s="80">
        <f t="shared" si="4"/>
        <v>2.8170428515574706</v>
      </c>
      <c r="G128" s="76" t="str">
        <f t="shared" si="5"/>
        <v>R 1 IN 236</v>
      </c>
      <c r="H128" s="76" t="s">
        <v>3635</v>
      </c>
    </row>
    <row r="129" spans="1:8" x14ac:dyDescent="0.3">
      <c r="A129" s="79">
        <v>60820</v>
      </c>
      <c r="B129" s="80">
        <v>4.0882292922354333</v>
      </c>
      <c r="C129" s="76" t="s">
        <v>3277</v>
      </c>
      <c r="E129" s="80">
        <f t="shared" si="3"/>
        <v>60820</v>
      </c>
      <c r="F129" s="80">
        <f t="shared" si="4"/>
        <v>4.0882292922354333</v>
      </c>
      <c r="G129" s="76" t="str">
        <f t="shared" si="5"/>
        <v>F 1 IN 428</v>
      </c>
      <c r="H129" s="76" t="s">
        <v>3636</v>
      </c>
    </row>
    <row r="130" spans="1:8" x14ac:dyDescent="0.3">
      <c r="A130" s="79">
        <v>61360</v>
      </c>
      <c r="B130" s="80">
        <v>2.826547049244776</v>
      </c>
      <c r="C130" s="76" t="s">
        <v>3280</v>
      </c>
      <c r="E130" s="80">
        <f t="shared" si="3"/>
        <v>61360</v>
      </c>
      <c r="F130" s="80">
        <f t="shared" si="4"/>
        <v>2.826547049244776</v>
      </c>
      <c r="G130" s="76" t="str">
        <f t="shared" si="5"/>
        <v>F 1 IN 1693</v>
      </c>
      <c r="H130" s="76" t="s">
        <v>3637</v>
      </c>
    </row>
  </sheetData>
  <autoFilter ref="A1:C130" xr:uid="{7B7686F3-332D-4F6B-A743-E211C8EB0CCC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B373-4113-4429-9E92-AB3A933C33EB}">
  <dimension ref="A1:R86"/>
  <sheetViews>
    <sheetView topLeftCell="A18" zoomScaleNormal="100" workbookViewId="0">
      <selection activeCell="R18" sqref="R18"/>
    </sheetView>
  </sheetViews>
  <sheetFormatPr defaultRowHeight="14.4" x14ac:dyDescent="0.3"/>
  <cols>
    <col min="1" max="1" width="20.88671875" bestFit="1" customWidth="1"/>
    <col min="2" max="2" width="9.21875" bestFit="1" customWidth="1"/>
    <col min="3" max="3" width="6.6640625" bestFit="1" customWidth="1"/>
    <col min="4" max="4" width="10.44140625" bestFit="1" customWidth="1"/>
    <col min="5" max="5" width="6.109375" style="1" bestFit="1" customWidth="1"/>
    <col min="6" max="6" width="5.109375" style="1" bestFit="1" customWidth="1"/>
    <col min="7" max="7" width="5.77734375" style="1" bestFit="1" customWidth="1"/>
    <col min="8" max="8" width="11.5546875" bestFit="1" customWidth="1"/>
    <col min="9" max="9" width="10" bestFit="1" customWidth="1"/>
    <col min="10" max="10" width="8.6640625" bestFit="1" customWidth="1"/>
    <col min="11" max="11" width="11.6640625" bestFit="1" customWidth="1"/>
    <col min="12" max="12" width="9.6640625" bestFit="1" customWidth="1"/>
    <col min="13" max="14" width="12.21875" bestFit="1" customWidth="1"/>
    <col min="15" max="16" width="11.6640625" bestFit="1" customWidth="1"/>
    <col min="17" max="17" width="5.33203125" bestFit="1" customWidth="1"/>
    <col min="18" max="18" width="6.6640625" bestFit="1" customWidth="1"/>
  </cols>
  <sheetData>
    <row r="1" spans="1:18" x14ac:dyDescent="0.3">
      <c r="A1" s="36" t="s">
        <v>3284</v>
      </c>
      <c r="B1" s="37" t="s">
        <v>3285</v>
      </c>
      <c r="C1" s="37" t="s">
        <v>1</v>
      </c>
      <c r="D1" s="37" t="s">
        <v>3286</v>
      </c>
      <c r="E1" s="94" t="s">
        <v>52</v>
      </c>
      <c r="F1" s="94"/>
      <c r="G1" s="95"/>
      <c r="H1" s="44" t="s">
        <v>3293</v>
      </c>
      <c r="I1" s="44" t="s">
        <v>3290</v>
      </c>
      <c r="J1" s="44" t="s">
        <v>3289</v>
      </c>
      <c r="K1" s="44" t="s">
        <v>3291</v>
      </c>
      <c r="L1" s="44" t="s">
        <v>3292</v>
      </c>
      <c r="Q1" s="86" t="s">
        <v>3287</v>
      </c>
      <c r="R1" s="86"/>
    </row>
    <row r="2" spans="1:18" x14ac:dyDescent="0.3">
      <c r="A2" s="31" t="s">
        <v>833</v>
      </c>
      <c r="B2" s="30">
        <v>15300</v>
      </c>
      <c r="C2" s="30">
        <v>28.111999999999998</v>
      </c>
      <c r="D2" s="30">
        <v>-0.12300000000000111</v>
      </c>
      <c r="E2" s="41">
        <v>28.06200468239928</v>
      </c>
      <c r="F2" s="41">
        <v>0.17241379310344829</v>
      </c>
      <c r="G2" s="39">
        <v>4.9995317600718181E-2</v>
      </c>
      <c r="H2" s="38" t="s">
        <v>3195</v>
      </c>
      <c r="O2">
        <v>8.6206896551724137E-3</v>
      </c>
      <c r="P2">
        <v>0.17241379310344829</v>
      </c>
      <c r="Q2" s="43" t="s">
        <v>3200</v>
      </c>
      <c r="R2" s="43">
        <v>116</v>
      </c>
    </row>
    <row r="3" spans="1:18" x14ac:dyDescent="0.3">
      <c r="A3" s="31" t="s">
        <v>834</v>
      </c>
      <c r="B3" s="30">
        <v>15320</v>
      </c>
      <c r="C3" s="30">
        <v>27.925000000000001</v>
      </c>
      <c r="D3" s="30">
        <v>-0.18699999999999761</v>
      </c>
      <c r="E3" s="41">
        <v>27.889590889295832</v>
      </c>
      <c r="F3" s="41">
        <v>0.17241379310344829</v>
      </c>
      <c r="G3" s="39">
        <v>3.5409110704168967E-2</v>
      </c>
      <c r="H3">
        <v>15280</v>
      </c>
      <c r="I3">
        <v>15600</v>
      </c>
      <c r="J3">
        <v>320</v>
      </c>
      <c r="K3">
        <v>28.234418475502729</v>
      </c>
      <c r="L3">
        <v>25.48</v>
      </c>
      <c r="M3">
        <v>-2.7544184755027281</v>
      </c>
      <c r="N3">
        <v>-116.1769726880715</v>
      </c>
      <c r="O3">
        <v>116</v>
      </c>
      <c r="Q3" s="38"/>
      <c r="R3" s="38"/>
    </row>
    <row r="4" spans="1:18" x14ac:dyDescent="0.3">
      <c r="A4" s="31" t="s">
        <v>835</v>
      </c>
      <c r="B4" s="30">
        <v>15340</v>
      </c>
      <c r="C4" s="30">
        <v>27.698</v>
      </c>
      <c r="D4" s="30">
        <v>-0.22700000000000031</v>
      </c>
      <c r="E4" s="41">
        <v>27.717177096192383</v>
      </c>
      <c r="F4" s="41">
        <v>0.17241379310344829</v>
      </c>
      <c r="G4" s="39">
        <v>-1.9177096192382947E-2</v>
      </c>
      <c r="Q4" s="38"/>
      <c r="R4" s="38"/>
    </row>
    <row r="5" spans="1:18" x14ac:dyDescent="0.3">
      <c r="A5" s="31" t="s">
        <v>836</v>
      </c>
      <c r="B5" s="30">
        <v>15360</v>
      </c>
      <c r="C5" s="30">
        <v>27.486999999999998</v>
      </c>
      <c r="D5" s="30">
        <v>-0.21100000000000207</v>
      </c>
      <c r="E5" s="41">
        <v>27.544763303088935</v>
      </c>
      <c r="F5" s="41">
        <v>0.17241379310344829</v>
      </c>
      <c r="G5" s="39">
        <v>-5.7763303088936624E-2</v>
      </c>
      <c r="Q5" s="38"/>
      <c r="R5" s="38"/>
    </row>
    <row r="6" spans="1:18" x14ac:dyDescent="0.3">
      <c r="A6" s="31" t="s">
        <v>837</v>
      </c>
      <c r="B6" s="30">
        <v>15380</v>
      </c>
      <c r="C6" s="30">
        <v>27.286000000000001</v>
      </c>
      <c r="D6" s="30">
        <v>-0.20099999999999696</v>
      </c>
      <c r="E6" s="41">
        <v>27.372349509985487</v>
      </c>
      <c r="F6" s="41">
        <v>0.17241379310344829</v>
      </c>
      <c r="G6" s="39">
        <v>-8.6349509985485184E-2</v>
      </c>
      <c r="Q6" s="38"/>
      <c r="R6" s="38"/>
    </row>
    <row r="7" spans="1:18" x14ac:dyDescent="0.3">
      <c r="A7" s="31" t="s">
        <v>838</v>
      </c>
      <c r="B7" s="30">
        <v>15400</v>
      </c>
      <c r="C7" s="30">
        <v>27.091000000000001</v>
      </c>
      <c r="D7" s="30">
        <v>-0.19500000000000028</v>
      </c>
      <c r="E7" s="41">
        <v>27.199935716882038</v>
      </c>
      <c r="F7" s="41">
        <v>0.17241379310344829</v>
      </c>
      <c r="G7" s="39">
        <v>-0.10893571688203707</v>
      </c>
      <c r="Q7" s="38"/>
      <c r="R7" s="38"/>
    </row>
    <row r="8" spans="1:18" x14ac:dyDescent="0.3">
      <c r="A8" s="31" t="s">
        <v>839</v>
      </c>
      <c r="B8" s="30">
        <v>15420</v>
      </c>
      <c r="C8" s="30">
        <v>26.87</v>
      </c>
      <c r="D8" s="30">
        <v>-0.22100000000000009</v>
      </c>
      <c r="E8" s="41">
        <v>27.02752192377859</v>
      </c>
      <c r="F8" s="41">
        <v>0.17241379310344829</v>
      </c>
      <c r="G8" s="39">
        <v>-0.15752192377858876</v>
      </c>
      <c r="Q8" s="38"/>
      <c r="R8" s="38"/>
    </row>
    <row r="9" spans="1:18" x14ac:dyDescent="0.3">
      <c r="A9" s="31" t="s">
        <v>840</v>
      </c>
      <c r="B9" s="30">
        <v>15440</v>
      </c>
      <c r="C9" s="30">
        <v>26.672000000000001</v>
      </c>
      <c r="D9" s="30">
        <v>-0.1980000000000004</v>
      </c>
      <c r="E9" s="41">
        <v>26.855108130675141</v>
      </c>
      <c r="F9" s="41">
        <v>0.17241379310344829</v>
      </c>
      <c r="G9" s="39">
        <v>-0.18310813067514076</v>
      </c>
      <c r="Q9" s="38"/>
      <c r="R9" s="38"/>
    </row>
    <row r="10" spans="1:18" x14ac:dyDescent="0.3">
      <c r="A10" s="31" t="s">
        <v>841</v>
      </c>
      <c r="B10" s="30">
        <v>15460</v>
      </c>
      <c r="C10" s="30">
        <v>26.484000000000002</v>
      </c>
      <c r="D10" s="30">
        <v>-0.18799999999999883</v>
      </c>
      <c r="E10" s="41">
        <v>26.682694337571693</v>
      </c>
      <c r="F10" s="41">
        <v>0.17241379310344829</v>
      </c>
      <c r="G10" s="39">
        <v>-0.19869433757169119</v>
      </c>
      <c r="Q10" s="38"/>
      <c r="R10" s="38"/>
    </row>
    <row r="11" spans="1:18" x14ac:dyDescent="0.3">
      <c r="A11" s="31" t="s">
        <v>842</v>
      </c>
      <c r="B11" s="30">
        <v>15480</v>
      </c>
      <c r="C11" s="30">
        <v>26.291</v>
      </c>
      <c r="D11" s="30">
        <v>-0.19300000000000139</v>
      </c>
      <c r="E11" s="41">
        <v>26.510280544468245</v>
      </c>
      <c r="F11" s="41">
        <v>0.17241379310344829</v>
      </c>
      <c r="G11" s="39">
        <v>-0.21928054446824419</v>
      </c>
      <c r="Q11" s="38"/>
      <c r="R11" s="38"/>
    </row>
    <row r="12" spans="1:18" x14ac:dyDescent="0.3">
      <c r="A12" s="31" t="s">
        <v>843</v>
      </c>
      <c r="B12" s="30">
        <v>15500</v>
      </c>
      <c r="C12" s="30">
        <v>26.109000000000002</v>
      </c>
      <c r="D12" s="30">
        <v>-0.18199999999999861</v>
      </c>
      <c r="E12" s="41">
        <v>26.337866751364796</v>
      </c>
      <c r="F12" s="41">
        <v>0.17241379310344829</v>
      </c>
      <c r="G12" s="39">
        <v>-0.2288667513647944</v>
      </c>
      <c r="Q12" s="38"/>
      <c r="R12" s="38"/>
    </row>
    <row r="13" spans="1:18" x14ac:dyDescent="0.3">
      <c r="A13" s="31" t="s">
        <v>844</v>
      </c>
      <c r="B13" s="30">
        <v>15520</v>
      </c>
      <c r="C13" s="30">
        <v>25.931000000000001</v>
      </c>
      <c r="D13" s="30">
        <v>-0.17800000000000082</v>
      </c>
      <c r="E13" s="41">
        <v>26.165452958261348</v>
      </c>
      <c r="F13" s="41">
        <v>0.17241379310344829</v>
      </c>
      <c r="G13" s="39">
        <v>-0.23445295826134682</v>
      </c>
      <c r="Q13" s="38"/>
      <c r="R13" s="38"/>
    </row>
    <row r="14" spans="1:18" x14ac:dyDescent="0.3">
      <c r="A14" s="31" t="s">
        <v>845</v>
      </c>
      <c r="B14" s="30">
        <v>15540</v>
      </c>
      <c r="C14" s="30">
        <v>25.782</v>
      </c>
      <c r="D14" s="30">
        <v>-0.14900000000000091</v>
      </c>
      <c r="E14" s="41">
        <v>25.993039165157899</v>
      </c>
      <c r="F14" s="41">
        <v>0.17241379310344829</v>
      </c>
      <c r="G14" s="39">
        <v>-0.21103916515789933</v>
      </c>
      <c r="Q14" s="38"/>
      <c r="R14" s="38"/>
    </row>
    <row r="15" spans="1:18" x14ac:dyDescent="0.3">
      <c r="A15" s="31" t="s">
        <v>846</v>
      </c>
      <c r="B15" s="30">
        <v>15560</v>
      </c>
      <c r="C15" s="30">
        <v>25.670999999999999</v>
      </c>
      <c r="D15" s="30">
        <v>-0.11100000000000065</v>
      </c>
      <c r="E15" s="41">
        <v>25.820625372054451</v>
      </c>
      <c r="F15" s="41">
        <v>0.17241379310344829</v>
      </c>
      <c r="G15" s="39">
        <v>-0.14962537205445159</v>
      </c>
      <c r="Q15" s="38"/>
      <c r="R15" s="38"/>
    </row>
    <row r="16" spans="1:18" x14ac:dyDescent="0.3">
      <c r="A16" s="31" t="s">
        <v>847</v>
      </c>
      <c r="B16" s="30">
        <v>15580</v>
      </c>
      <c r="C16" s="30">
        <v>25.597000000000001</v>
      </c>
      <c r="D16" s="30">
        <v>-7.3999999999998067E-2</v>
      </c>
      <c r="E16" s="41">
        <v>25.648211578951003</v>
      </c>
      <c r="F16" s="41">
        <v>0.17241379310344829</v>
      </c>
      <c r="G16" s="39">
        <v>-5.1211578951001258E-2</v>
      </c>
      <c r="Q16" s="38"/>
      <c r="R16" s="38"/>
    </row>
    <row r="17" spans="1:18" x14ac:dyDescent="0.3">
      <c r="A17" s="31" t="s">
        <v>848</v>
      </c>
      <c r="B17" s="30">
        <v>15600</v>
      </c>
      <c r="C17" s="30">
        <v>25.48</v>
      </c>
      <c r="D17" s="30">
        <v>-0.11700000000000088</v>
      </c>
      <c r="E17" s="41">
        <v>25.475797785847554</v>
      </c>
      <c r="F17" s="41">
        <v>0.17241379310344829</v>
      </c>
      <c r="G17" s="39">
        <v>4.2022141524462597E-3</v>
      </c>
      <c r="Q17" s="38"/>
      <c r="R17" s="38"/>
    </row>
    <row r="18" spans="1:18" x14ac:dyDescent="0.3">
      <c r="A18" s="93"/>
      <c r="B18" s="91"/>
      <c r="C18" s="91"/>
      <c r="D18" s="91"/>
      <c r="E18" s="91"/>
      <c r="F18" s="91"/>
      <c r="G18" s="92"/>
      <c r="H18" s="38" t="s">
        <v>3163</v>
      </c>
      <c r="O18">
        <v>2.3464263926040642E-6</v>
      </c>
      <c r="P18">
        <v>4.6928527852081281E-5</v>
      </c>
      <c r="Q18" s="43" t="s">
        <v>3163</v>
      </c>
      <c r="R18" s="43">
        <v>426180</v>
      </c>
    </row>
    <row r="19" spans="1:18" x14ac:dyDescent="0.3">
      <c r="A19" s="31" t="s">
        <v>849</v>
      </c>
      <c r="B19" s="30">
        <v>15620</v>
      </c>
      <c r="C19" s="30">
        <v>25.393000000000001</v>
      </c>
      <c r="D19" s="30">
        <v>-8.6999999999999744E-2</v>
      </c>
      <c r="E19" s="41">
        <v>25.475750857319703</v>
      </c>
      <c r="F19" s="41">
        <v>4.6928527852081281E-5</v>
      </c>
      <c r="G19" s="39">
        <v>-8.275085731970222E-2</v>
      </c>
      <c r="H19">
        <v>15600</v>
      </c>
      <c r="I19">
        <v>15940</v>
      </c>
      <c r="J19">
        <v>340</v>
      </c>
      <c r="K19">
        <v>25.475797785847554</v>
      </c>
      <c r="L19">
        <v>25.475000000000001</v>
      </c>
      <c r="M19">
        <v>-7.9778584755274551E-4</v>
      </c>
      <c r="N19">
        <v>-426179.53307014628</v>
      </c>
      <c r="O19">
        <v>426180</v>
      </c>
      <c r="Q19" s="38"/>
      <c r="R19" s="38"/>
    </row>
    <row r="20" spans="1:18" x14ac:dyDescent="0.3">
      <c r="A20" s="31" t="s">
        <v>3193</v>
      </c>
      <c r="B20" s="87" t="s">
        <v>3194</v>
      </c>
      <c r="C20" s="88"/>
      <c r="D20" s="88"/>
      <c r="E20" s="88"/>
      <c r="F20" s="88"/>
      <c r="G20" s="89"/>
      <c r="Q20" s="38"/>
      <c r="R20" s="38"/>
    </row>
    <row r="21" spans="1:18" x14ac:dyDescent="0.3">
      <c r="A21" s="31" t="s">
        <v>850</v>
      </c>
      <c r="B21" s="30">
        <v>15640</v>
      </c>
      <c r="C21" s="30">
        <v>25.364000000000001</v>
      </c>
      <c r="D21" s="30">
        <v>-2.8999999999999915E-2</v>
      </c>
      <c r="E21" s="41">
        <v>25.475703928791852</v>
      </c>
      <c r="F21" s="41">
        <v>4.6928527852081281E-5</v>
      </c>
      <c r="G21" s="39">
        <v>-0.11170392879185087</v>
      </c>
      <c r="Q21" s="38"/>
      <c r="R21" s="38"/>
    </row>
    <row r="22" spans="1:18" x14ac:dyDescent="0.3">
      <c r="A22" s="31" t="s">
        <v>851</v>
      </c>
      <c r="B22" s="30">
        <v>15660</v>
      </c>
      <c r="C22" s="30">
        <v>25.373000000000001</v>
      </c>
      <c r="D22" s="30">
        <v>9.0000000000003411E-3</v>
      </c>
      <c r="E22" s="41">
        <v>25.475657000264</v>
      </c>
      <c r="F22" s="41">
        <v>4.6928527852081281E-5</v>
      </c>
      <c r="G22" s="39">
        <v>-0.10265700026399927</v>
      </c>
      <c r="Q22" s="38"/>
      <c r="R22" s="38"/>
    </row>
    <row r="23" spans="1:18" x14ac:dyDescent="0.3">
      <c r="A23" s="31" t="s">
        <v>852</v>
      </c>
      <c r="B23" s="30">
        <v>15680</v>
      </c>
      <c r="C23" s="30">
        <v>25.38</v>
      </c>
      <c r="D23" s="30">
        <v>6.9999999999978968E-3</v>
      </c>
      <c r="E23" s="41">
        <v>25.475610071736149</v>
      </c>
      <c r="F23" s="41">
        <v>4.6928527852081281E-5</v>
      </c>
      <c r="G23" s="39">
        <v>-9.5610071736150104E-2</v>
      </c>
      <c r="Q23" s="38"/>
      <c r="R23" s="38"/>
    </row>
    <row r="24" spans="1:18" x14ac:dyDescent="0.3">
      <c r="A24" s="31" t="s">
        <v>3192</v>
      </c>
      <c r="B24" s="87" t="s">
        <v>3197</v>
      </c>
      <c r="C24" s="88"/>
      <c r="D24" s="88"/>
      <c r="E24" s="88"/>
      <c r="F24" s="88"/>
      <c r="G24" s="89"/>
      <c r="Q24" s="38"/>
      <c r="R24" s="38"/>
    </row>
    <row r="25" spans="1:18" x14ac:dyDescent="0.3">
      <c r="A25" s="31" t="s">
        <v>853</v>
      </c>
      <c r="B25" s="30">
        <v>15700</v>
      </c>
      <c r="C25" s="30">
        <v>25.367000000000001</v>
      </c>
      <c r="D25" s="30">
        <v>-1.2999999999998124E-2</v>
      </c>
      <c r="E25" s="41">
        <v>25.475563143208298</v>
      </c>
      <c r="F25" s="41">
        <v>4.6928527852081281E-5</v>
      </c>
      <c r="G25" s="39">
        <v>-0.10856314320829696</v>
      </c>
      <c r="Q25" s="38"/>
      <c r="R25" s="38"/>
    </row>
    <row r="26" spans="1:18" x14ac:dyDescent="0.3">
      <c r="A26" s="31" t="s">
        <v>854</v>
      </c>
      <c r="B26" s="30">
        <v>15720</v>
      </c>
      <c r="C26" s="30">
        <v>25.359000000000002</v>
      </c>
      <c r="D26" s="30">
        <v>-7.9999999999991189E-3</v>
      </c>
      <c r="E26" s="41">
        <v>25.475516214680447</v>
      </c>
      <c r="F26" s="41">
        <v>4.6928527852081281E-5</v>
      </c>
      <c r="G26" s="39">
        <v>-0.11651621468044482</v>
      </c>
      <c r="Q26" s="38"/>
      <c r="R26" s="38"/>
    </row>
    <row r="27" spans="1:18" x14ac:dyDescent="0.3">
      <c r="A27" s="31" t="s">
        <v>855</v>
      </c>
      <c r="B27" s="30">
        <v>15740</v>
      </c>
      <c r="C27" s="30">
        <v>25.367999999999999</v>
      </c>
      <c r="D27" s="30">
        <v>8.9999999999967883E-3</v>
      </c>
      <c r="E27" s="41">
        <v>25.475469286152595</v>
      </c>
      <c r="F27" s="41">
        <v>4.6928527852081281E-5</v>
      </c>
      <c r="G27" s="39">
        <v>-0.10746928615259677</v>
      </c>
      <c r="Q27" s="38"/>
      <c r="R27" s="38"/>
    </row>
    <row r="28" spans="1:18" x14ac:dyDescent="0.3">
      <c r="A28" s="31" t="s">
        <v>856</v>
      </c>
      <c r="B28" s="30">
        <v>15760</v>
      </c>
      <c r="C28" s="30">
        <v>25.381</v>
      </c>
      <c r="D28" s="30">
        <v>1.3000000000001677E-2</v>
      </c>
      <c r="E28" s="41">
        <v>25.475422357624744</v>
      </c>
      <c r="F28" s="41">
        <v>4.6928527852081281E-5</v>
      </c>
      <c r="G28" s="39">
        <v>-9.4422357624743825E-2</v>
      </c>
      <c r="Q28" s="38"/>
      <c r="R28" s="38"/>
    </row>
    <row r="29" spans="1:18" x14ac:dyDescent="0.3">
      <c r="A29" s="31" t="s">
        <v>857</v>
      </c>
      <c r="B29" s="30">
        <v>15780</v>
      </c>
      <c r="C29" s="30">
        <v>25.379000000000001</v>
      </c>
      <c r="D29" s="30">
        <v>-1.9999999999988916E-3</v>
      </c>
      <c r="E29" s="41">
        <v>25.475375429096893</v>
      </c>
      <c r="F29" s="41">
        <v>4.6928527852081281E-5</v>
      </c>
      <c r="G29" s="39">
        <v>-9.6375429096891452E-2</v>
      </c>
      <c r="Q29" s="38"/>
      <c r="R29" s="38"/>
    </row>
    <row r="30" spans="1:18" x14ac:dyDescent="0.3">
      <c r="A30" s="31" t="s">
        <v>3196</v>
      </c>
      <c r="B30" s="87" t="s">
        <v>3198</v>
      </c>
      <c r="C30" s="88"/>
      <c r="D30" s="88"/>
      <c r="E30" s="88"/>
      <c r="F30" s="88"/>
      <c r="G30" s="89"/>
      <c r="Q30" s="38"/>
      <c r="R30" s="38"/>
    </row>
    <row r="31" spans="1:18" x14ac:dyDescent="0.3">
      <c r="A31" s="31" t="s">
        <v>858</v>
      </c>
      <c r="B31" s="30">
        <v>15800</v>
      </c>
      <c r="C31" s="30">
        <v>25.388000000000002</v>
      </c>
      <c r="D31" s="30">
        <v>9.0000000000003411E-3</v>
      </c>
      <c r="E31" s="41">
        <v>25.475328500569042</v>
      </c>
      <c r="F31" s="41">
        <v>4.6928527852081281E-5</v>
      </c>
      <c r="G31" s="39">
        <v>-8.7328500569039846E-2</v>
      </c>
      <c r="Q31" s="38"/>
      <c r="R31" s="38"/>
    </row>
    <row r="32" spans="1:18" x14ac:dyDescent="0.3">
      <c r="A32" s="31" t="s">
        <v>859</v>
      </c>
      <c r="B32" s="30">
        <v>15820</v>
      </c>
      <c r="C32" s="30">
        <v>25.414000000000001</v>
      </c>
      <c r="D32" s="30">
        <v>2.5999999999999801E-2</v>
      </c>
      <c r="E32" s="41">
        <v>25.47528157204119</v>
      </c>
      <c r="F32" s="41">
        <v>4.6928527852081281E-5</v>
      </c>
      <c r="G32" s="39">
        <v>-6.1281572041188781E-2</v>
      </c>
      <c r="Q32" s="38"/>
      <c r="R32" s="38"/>
    </row>
    <row r="33" spans="1:18" x14ac:dyDescent="0.3">
      <c r="A33" s="31" t="s">
        <v>860</v>
      </c>
      <c r="B33" s="30">
        <v>15840</v>
      </c>
      <c r="C33" s="30">
        <v>25.433</v>
      </c>
      <c r="D33" s="30">
        <v>1.8999999999998352E-2</v>
      </c>
      <c r="E33" s="41">
        <v>25.475234643513339</v>
      </c>
      <c r="F33" s="41">
        <v>4.6928527852081281E-5</v>
      </c>
      <c r="G33" s="39">
        <v>-4.2234643513339165E-2</v>
      </c>
      <c r="Q33" s="38"/>
      <c r="R33" s="38"/>
    </row>
    <row r="34" spans="1:18" x14ac:dyDescent="0.3">
      <c r="A34" s="31" t="s">
        <v>861</v>
      </c>
      <c r="B34" s="30">
        <v>15860</v>
      </c>
      <c r="C34" s="30">
        <v>25.431999999999999</v>
      </c>
      <c r="D34" s="30">
        <v>-1.0000000000012221E-3</v>
      </c>
      <c r="E34" s="41">
        <v>25.475187714985488</v>
      </c>
      <c r="F34" s="41">
        <v>4.6928527852081281E-5</v>
      </c>
      <c r="G34" s="39">
        <v>-4.3187714985489123E-2</v>
      </c>
      <c r="Q34" s="38"/>
      <c r="R34" s="38"/>
    </row>
    <row r="35" spans="1:18" x14ac:dyDescent="0.3">
      <c r="A35" s="31" t="s">
        <v>862</v>
      </c>
      <c r="B35" s="30">
        <v>15880</v>
      </c>
      <c r="C35" s="30">
        <v>25.422000000000001</v>
      </c>
      <c r="D35" s="30">
        <v>-9.9999999999980105E-3</v>
      </c>
      <c r="E35" s="41">
        <v>25.475140786457636</v>
      </c>
      <c r="F35" s="41">
        <v>4.6928527852081281E-5</v>
      </c>
      <c r="G35" s="39">
        <v>-5.3140786457635869E-2</v>
      </c>
      <c r="Q35" s="38"/>
      <c r="R35" s="38"/>
    </row>
    <row r="36" spans="1:18" x14ac:dyDescent="0.3">
      <c r="A36" s="31" t="s">
        <v>863</v>
      </c>
      <c r="B36" s="30">
        <v>15900</v>
      </c>
      <c r="C36" s="30">
        <v>25.439</v>
      </c>
      <c r="D36" s="30">
        <v>1.699999999999946E-2</v>
      </c>
      <c r="E36" s="41">
        <v>25.475093857929785</v>
      </c>
      <c r="F36" s="41">
        <v>4.6928527852081281E-5</v>
      </c>
      <c r="G36" s="39">
        <v>-3.6093857929785145E-2</v>
      </c>
      <c r="Q36" s="38"/>
      <c r="R36" s="38"/>
    </row>
    <row r="37" spans="1:18" x14ac:dyDescent="0.3">
      <c r="A37" s="31" t="s">
        <v>864</v>
      </c>
      <c r="B37" s="30">
        <v>15920</v>
      </c>
      <c r="C37" s="30">
        <v>25.463000000000001</v>
      </c>
      <c r="D37" s="30">
        <v>2.4000000000000909E-2</v>
      </c>
      <c r="E37" s="41">
        <v>25.475046929401934</v>
      </c>
      <c r="F37" s="41">
        <v>4.6928527852081281E-5</v>
      </c>
      <c r="G37" s="39">
        <v>-1.2046929401932971E-2</v>
      </c>
      <c r="Q37" s="38"/>
      <c r="R37" s="38"/>
    </row>
    <row r="38" spans="1:18" x14ac:dyDescent="0.3">
      <c r="A38" s="31" t="s">
        <v>865</v>
      </c>
      <c r="B38" s="30">
        <v>15940</v>
      </c>
      <c r="C38" s="30">
        <v>25.475000000000001</v>
      </c>
      <c r="D38" s="30">
        <v>1.2000000000000455E-2</v>
      </c>
      <c r="E38" s="41">
        <v>25.475000000874083</v>
      </c>
      <c r="F38" s="41">
        <v>4.6928527852081281E-5</v>
      </c>
      <c r="G38" s="39">
        <v>-8.7408125182264484E-10</v>
      </c>
      <c r="Q38" s="38"/>
      <c r="R38" s="38"/>
    </row>
    <row r="39" spans="1:18" x14ac:dyDescent="0.3">
      <c r="A39" s="93"/>
      <c r="B39" s="91"/>
      <c r="C39" s="91"/>
      <c r="D39" s="91"/>
      <c r="E39" s="91"/>
      <c r="F39" s="91"/>
      <c r="G39" s="92"/>
      <c r="H39" s="38" t="s">
        <v>3199</v>
      </c>
      <c r="O39">
        <v>2.4937655860349127E-3</v>
      </c>
      <c r="P39">
        <v>4.9875311720698257E-2</v>
      </c>
      <c r="Q39" s="43" t="s">
        <v>3200</v>
      </c>
      <c r="R39" s="43">
        <v>401</v>
      </c>
    </row>
    <row r="40" spans="1:18" x14ac:dyDescent="0.3">
      <c r="A40" s="31" t="s">
        <v>866</v>
      </c>
      <c r="B40" s="30">
        <v>15960</v>
      </c>
      <c r="C40" s="30">
        <v>25.486999999999998</v>
      </c>
      <c r="D40" s="30">
        <v>1.1999999999996902E-2</v>
      </c>
      <c r="E40" s="41">
        <v>25.425124689153385</v>
      </c>
      <c r="F40" s="41">
        <v>4.9875311720698257E-2</v>
      </c>
      <c r="G40" s="39">
        <v>6.1875310846613019E-2</v>
      </c>
      <c r="H40">
        <v>15940</v>
      </c>
      <c r="I40">
        <v>16440</v>
      </c>
      <c r="J40">
        <v>500</v>
      </c>
      <c r="K40">
        <v>25.475000000874083</v>
      </c>
      <c r="L40">
        <v>24.227</v>
      </c>
      <c r="M40">
        <v>-1.2480000008740824</v>
      </c>
      <c r="N40">
        <v>-400.64102536042208</v>
      </c>
      <c r="O40">
        <v>401</v>
      </c>
      <c r="Q40" s="38"/>
      <c r="R40" s="38"/>
    </row>
    <row r="41" spans="1:18" x14ac:dyDescent="0.3">
      <c r="A41" s="31" t="s">
        <v>867</v>
      </c>
      <c r="B41" s="30">
        <v>15980</v>
      </c>
      <c r="C41" s="30">
        <v>25.492000000000001</v>
      </c>
      <c r="D41" s="30">
        <v>5.000000000002558E-3</v>
      </c>
      <c r="E41" s="41">
        <v>25.375249377432688</v>
      </c>
      <c r="F41" s="41">
        <v>4.9875311720698257E-2</v>
      </c>
      <c r="G41" s="39">
        <v>0.11675062256731294</v>
      </c>
      <c r="Q41" s="38"/>
      <c r="R41" s="38"/>
    </row>
    <row r="42" spans="1:18" x14ac:dyDescent="0.3">
      <c r="A42" s="31" t="s">
        <v>868</v>
      </c>
      <c r="B42" s="90"/>
      <c r="C42" s="91"/>
      <c r="D42" s="91"/>
      <c r="E42" s="91"/>
      <c r="F42" s="91"/>
      <c r="G42" s="92"/>
      <c r="Q42" s="38"/>
      <c r="R42" s="38"/>
    </row>
    <row r="43" spans="1:18" x14ac:dyDescent="0.3">
      <c r="A43" s="31" t="s">
        <v>869</v>
      </c>
      <c r="B43" s="30">
        <v>16000</v>
      </c>
      <c r="C43" s="30">
        <v>25.504999999999999</v>
      </c>
      <c r="D43" s="30">
        <v>1.2999999999998124E-2</v>
      </c>
      <c r="E43" s="41">
        <v>25.325374065711991</v>
      </c>
      <c r="F43" s="41">
        <v>4.9875311720698257E-2</v>
      </c>
      <c r="G43" s="39">
        <v>0.17962593428800844</v>
      </c>
      <c r="Q43" s="38"/>
      <c r="R43" s="38"/>
    </row>
    <row r="44" spans="1:18" x14ac:dyDescent="0.3">
      <c r="A44" s="31" t="s">
        <v>870</v>
      </c>
      <c r="B44" s="30">
        <v>16020</v>
      </c>
      <c r="C44" s="30">
        <v>25.501999999999999</v>
      </c>
      <c r="D44" s="30">
        <v>-3.0000000000001137E-3</v>
      </c>
      <c r="E44" s="41">
        <v>25.275498753991293</v>
      </c>
      <c r="F44" s="41">
        <v>4.9875311720698257E-2</v>
      </c>
      <c r="G44" s="39">
        <v>0.22650124600870569</v>
      </c>
      <c r="Q44" s="38"/>
      <c r="R44" s="38"/>
    </row>
    <row r="45" spans="1:18" x14ac:dyDescent="0.3">
      <c r="A45" s="31" t="s">
        <v>871</v>
      </c>
      <c r="B45" s="30">
        <v>16040</v>
      </c>
      <c r="C45" s="30">
        <v>25.47</v>
      </c>
      <c r="D45" s="30">
        <v>-3.2000000000000028E-2</v>
      </c>
      <c r="E45" s="41">
        <v>25.225623442270596</v>
      </c>
      <c r="F45" s="41">
        <v>4.9875311720698257E-2</v>
      </c>
      <c r="G45" s="39">
        <v>0.24437655772940303</v>
      </c>
      <c r="Q45" s="38"/>
      <c r="R45" s="38"/>
    </row>
    <row r="46" spans="1:18" x14ac:dyDescent="0.3">
      <c r="A46" s="31" t="s">
        <v>3233</v>
      </c>
      <c r="B46" s="87" t="s">
        <v>3232</v>
      </c>
      <c r="C46" s="88"/>
      <c r="D46" s="88"/>
      <c r="E46" s="88"/>
      <c r="F46" s="88"/>
      <c r="G46" s="89"/>
      <c r="Q46" s="38"/>
      <c r="R46" s="38"/>
    </row>
    <row r="47" spans="1:18" x14ac:dyDescent="0.3">
      <c r="A47" s="31" t="s">
        <v>872</v>
      </c>
      <c r="B47" s="30">
        <v>16060</v>
      </c>
      <c r="C47" s="30">
        <v>25.434000000000001</v>
      </c>
      <c r="D47" s="30">
        <v>-3.5999999999997812E-2</v>
      </c>
      <c r="E47" s="41">
        <v>25.175748130549898</v>
      </c>
      <c r="F47" s="41">
        <v>4.9875311720698257E-2</v>
      </c>
      <c r="G47" s="39">
        <v>0.25825186945010259</v>
      </c>
      <c r="Q47" s="38"/>
      <c r="R47" s="38"/>
    </row>
    <row r="48" spans="1:18" x14ac:dyDescent="0.3">
      <c r="A48" s="31" t="s">
        <v>873</v>
      </c>
      <c r="B48" s="30">
        <v>16080</v>
      </c>
      <c r="C48" s="30">
        <v>25.404</v>
      </c>
      <c r="D48" s="30">
        <v>-3.0000000000001137E-2</v>
      </c>
      <c r="E48" s="41">
        <v>25.125872818829201</v>
      </c>
      <c r="F48" s="41">
        <v>4.9875311720698257E-2</v>
      </c>
      <c r="G48" s="39">
        <v>0.27812718117079882</v>
      </c>
      <c r="Q48" s="38"/>
      <c r="R48" s="38"/>
    </row>
    <row r="49" spans="1:18" x14ac:dyDescent="0.3">
      <c r="A49" s="31" t="s">
        <v>874</v>
      </c>
      <c r="B49" s="30">
        <v>16100</v>
      </c>
      <c r="C49" s="30">
        <v>25.367000000000001</v>
      </c>
      <c r="D49" s="30">
        <v>-3.6999999999999034E-2</v>
      </c>
      <c r="E49" s="41">
        <v>25.075997507108504</v>
      </c>
      <c r="F49" s="41">
        <v>4.9875311720698257E-2</v>
      </c>
      <c r="G49" s="39">
        <v>0.29100249289149716</v>
      </c>
      <c r="Q49" s="38"/>
      <c r="R49" s="38"/>
    </row>
    <row r="50" spans="1:18" x14ac:dyDescent="0.3">
      <c r="A50" s="31" t="s">
        <v>875</v>
      </c>
      <c r="B50" s="30">
        <v>16120</v>
      </c>
      <c r="C50" s="30">
        <v>25.33</v>
      </c>
      <c r="D50" s="30">
        <v>-3.7000000000002586E-2</v>
      </c>
      <c r="E50" s="41">
        <v>25.026122195387806</v>
      </c>
      <c r="F50" s="41">
        <v>4.9875311720698257E-2</v>
      </c>
      <c r="G50" s="39">
        <v>0.30387780461219194</v>
      </c>
      <c r="Q50" s="38"/>
      <c r="R50" s="38"/>
    </row>
    <row r="51" spans="1:18" x14ac:dyDescent="0.3">
      <c r="A51" s="31" t="s">
        <v>876</v>
      </c>
      <c r="B51" s="30">
        <v>16140</v>
      </c>
      <c r="C51" s="30">
        <v>25.286999999999999</v>
      </c>
      <c r="D51" s="30">
        <v>-4.2999999999999261E-2</v>
      </c>
      <c r="E51" s="41">
        <v>24.976246883667109</v>
      </c>
      <c r="F51" s="41">
        <v>4.9875311720698257E-2</v>
      </c>
      <c r="G51" s="39">
        <v>0.31075311633289004</v>
      </c>
      <c r="Q51" s="38"/>
      <c r="R51" s="38"/>
    </row>
    <row r="52" spans="1:18" x14ac:dyDescent="0.3">
      <c r="A52" s="31" t="s">
        <v>877</v>
      </c>
      <c r="B52" s="30">
        <v>16160</v>
      </c>
      <c r="C52" s="30">
        <v>25.238</v>
      </c>
      <c r="D52" s="30">
        <v>-4.8999999999999488E-2</v>
      </c>
      <c r="E52" s="41">
        <v>24.926371571946412</v>
      </c>
      <c r="F52" s="41">
        <v>4.9875311720698257E-2</v>
      </c>
      <c r="G52" s="39">
        <v>0.31162842805358792</v>
      </c>
      <c r="Q52" s="38"/>
      <c r="R52" s="38"/>
    </row>
    <row r="53" spans="1:18" x14ac:dyDescent="0.3">
      <c r="A53" s="31" t="s">
        <v>878</v>
      </c>
      <c r="B53" s="30">
        <v>16180</v>
      </c>
      <c r="C53" s="30">
        <v>25.184000000000001</v>
      </c>
      <c r="D53" s="30">
        <v>-5.3999999999998494E-2</v>
      </c>
      <c r="E53" s="41">
        <v>24.876496260225714</v>
      </c>
      <c r="F53" s="41">
        <v>4.9875311720698257E-2</v>
      </c>
      <c r="G53" s="39">
        <v>0.3075037397742868</v>
      </c>
      <c r="Q53" s="38"/>
      <c r="R53" s="38"/>
    </row>
    <row r="54" spans="1:18" x14ac:dyDescent="0.3">
      <c r="A54" s="31" t="s">
        <v>879</v>
      </c>
      <c r="B54" s="30">
        <v>16200</v>
      </c>
      <c r="C54" s="30">
        <v>25.102</v>
      </c>
      <c r="D54" s="30">
        <v>-8.2000000000000739E-2</v>
      </c>
      <c r="E54" s="41">
        <v>24.826620948505017</v>
      </c>
      <c r="F54" s="41">
        <v>4.9875311720698257E-2</v>
      </c>
      <c r="G54" s="39">
        <v>0.27537905149498343</v>
      </c>
      <c r="Q54" s="38"/>
      <c r="R54" s="38"/>
    </row>
    <row r="55" spans="1:18" x14ac:dyDescent="0.3">
      <c r="A55" s="31" t="s">
        <v>880</v>
      </c>
      <c r="B55" s="30">
        <v>16220</v>
      </c>
      <c r="C55" s="30">
        <v>25.013999999999999</v>
      </c>
      <c r="D55" s="30">
        <v>-8.8000000000000966E-2</v>
      </c>
      <c r="E55" s="41">
        <v>24.77674563678432</v>
      </c>
      <c r="F55" s="41">
        <v>4.9875311720698257E-2</v>
      </c>
      <c r="G55" s="39">
        <v>0.23725436321567983</v>
      </c>
      <c r="Q55" s="38"/>
      <c r="R55" s="38"/>
    </row>
    <row r="56" spans="1:18" x14ac:dyDescent="0.3">
      <c r="A56" s="31" t="s">
        <v>881</v>
      </c>
      <c r="B56" s="30">
        <v>16240</v>
      </c>
      <c r="C56" s="30">
        <v>24.972000000000001</v>
      </c>
      <c r="D56" s="30">
        <v>-4.1999999999998039E-2</v>
      </c>
      <c r="E56" s="41">
        <v>24.726870325063622</v>
      </c>
      <c r="F56" s="41">
        <v>4.9875311720698257E-2</v>
      </c>
      <c r="G56" s="39">
        <v>0.24512967493637916</v>
      </c>
      <c r="Q56" s="38"/>
      <c r="R56" s="38"/>
    </row>
    <row r="57" spans="1:18" x14ac:dyDescent="0.3">
      <c r="A57" s="31" t="s">
        <v>3212</v>
      </c>
      <c r="B57" s="87" t="s">
        <v>3213</v>
      </c>
      <c r="C57" s="88"/>
      <c r="D57" s="88"/>
      <c r="E57" s="88"/>
      <c r="F57" s="88"/>
      <c r="G57" s="89"/>
      <c r="Q57" s="38"/>
      <c r="R57" s="38"/>
    </row>
    <row r="58" spans="1:18" x14ac:dyDescent="0.3">
      <c r="A58" s="31" t="s">
        <v>882</v>
      </c>
      <c r="B58" s="30">
        <v>16260</v>
      </c>
      <c r="C58" s="30">
        <v>24.94</v>
      </c>
      <c r="D58" s="30">
        <v>-3.2000000000000028E-2</v>
      </c>
      <c r="E58" s="41">
        <v>24.676995013342925</v>
      </c>
      <c r="F58" s="41">
        <v>4.9875311720698257E-2</v>
      </c>
      <c r="G58" s="39">
        <v>0.2630049866570765</v>
      </c>
      <c r="Q58" s="38"/>
      <c r="R58" s="38"/>
    </row>
    <row r="59" spans="1:18" x14ac:dyDescent="0.3">
      <c r="A59" s="31" t="s">
        <v>883</v>
      </c>
      <c r="B59" s="30">
        <v>16280</v>
      </c>
      <c r="C59" s="30">
        <v>24.882000000000001</v>
      </c>
      <c r="D59" s="30">
        <v>-5.7999999999999829E-2</v>
      </c>
      <c r="E59" s="41">
        <v>24.627119701622227</v>
      </c>
      <c r="F59" s="41">
        <v>4.9875311720698257E-2</v>
      </c>
      <c r="G59" s="39">
        <v>0.25488029837777404</v>
      </c>
      <c r="Q59" s="38"/>
      <c r="R59" s="38"/>
    </row>
    <row r="60" spans="1:18" x14ac:dyDescent="0.3">
      <c r="A60" s="31" t="s">
        <v>884</v>
      </c>
      <c r="B60" s="30">
        <v>16300</v>
      </c>
      <c r="C60" s="30">
        <v>24.805</v>
      </c>
      <c r="D60" s="30">
        <v>-7.7000000000001734E-2</v>
      </c>
      <c r="E60" s="41">
        <v>24.57724438990153</v>
      </c>
      <c r="F60" s="41">
        <v>4.9875311720698257E-2</v>
      </c>
      <c r="G60" s="39">
        <v>0.22775561009846967</v>
      </c>
      <c r="Q60" s="38"/>
      <c r="R60" s="38"/>
    </row>
    <row r="61" spans="1:18" x14ac:dyDescent="0.3">
      <c r="A61" s="31" t="s">
        <v>885</v>
      </c>
      <c r="B61" s="30">
        <v>16320</v>
      </c>
      <c r="C61" s="30">
        <v>24.713999999999999</v>
      </c>
      <c r="D61" s="30">
        <v>-9.100000000000108E-2</v>
      </c>
      <c r="E61" s="41">
        <v>24.527369078180833</v>
      </c>
      <c r="F61" s="41">
        <v>4.9875311720698257E-2</v>
      </c>
      <c r="G61" s="39">
        <v>0.18663092181916596</v>
      </c>
      <c r="Q61" s="38"/>
      <c r="R61" s="38"/>
    </row>
    <row r="62" spans="1:18" x14ac:dyDescent="0.3">
      <c r="A62" s="31" t="s">
        <v>886</v>
      </c>
      <c r="B62" s="30">
        <v>16340</v>
      </c>
      <c r="C62" s="30">
        <v>24.613</v>
      </c>
      <c r="D62" s="30">
        <v>-0.10099999999999909</v>
      </c>
      <c r="E62" s="41">
        <v>24.477493766460135</v>
      </c>
      <c r="F62" s="41">
        <v>4.9875311720698257E-2</v>
      </c>
      <c r="G62" s="39">
        <v>0.13550623353986424</v>
      </c>
      <c r="Q62" s="38"/>
      <c r="R62" s="38"/>
    </row>
    <row r="63" spans="1:18" x14ac:dyDescent="0.3">
      <c r="A63" s="31" t="s">
        <v>887</v>
      </c>
      <c r="B63" s="30">
        <v>16360</v>
      </c>
      <c r="C63" s="30">
        <v>24.53</v>
      </c>
      <c r="D63" s="30">
        <v>-8.2999999999998408E-2</v>
      </c>
      <c r="E63" s="41">
        <v>24.427618454739438</v>
      </c>
      <c r="F63" s="41">
        <v>4.9875311720698257E-2</v>
      </c>
      <c r="G63" s="39">
        <v>0.1023815452605632</v>
      </c>
      <c r="Q63" s="38"/>
      <c r="R63" s="38"/>
    </row>
    <row r="64" spans="1:18" x14ac:dyDescent="0.3">
      <c r="A64" s="31" t="s">
        <v>888</v>
      </c>
      <c r="B64" s="30">
        <v>16380</v>
      </c>
      <c r="C64" s="30">
        <v>24.449000000000002</v>
      </c>
      <c r="D64" s="30">
        <v>-8.0999999999999517E-2</v>
      </c>
      <c r="E64" s="41">
        <v>24.377743143018741</v>
      </c>
      <c r="F64" s="41">
        <v>4.9875311720698257E-2</v>
      </c>
      <c r="G64" s="39">
        <v>7.1256856981261052E-2</v>
      </c>
      <c r="Q64" s="38"/>
      <c r="R64" s="38"/>
    </row>
    <row r="65" spans="1:18" x14ac:dyDescent="0.3">
      <c r="A65" s="31" t="s">
        <v>3210</v>
      </c>
      <c r="B65" s="87" t="s">
        <v>3211</v>
      </c>
      <c r="C65" s="88"/>
      <c r="D65" s="88"/>
      <c r="E65" s="88"/>
      <c r="F65" s="88"/>
      <c r="G65" s="89"/>
      <c r="Q65" s="38"/>
      <c r="R65" s="38"/>
    </row>
    <row r="66" spans="1:18" x14ac:dyDescent="0.3">
      <c r="A66" s="31" t="s">
        <v>889</v>
      </c>
      <c r="B66" s="30">
        <v>16400</v>
      </c>
      <c r="C66" s="30">
        <v>24.370999999999999</v>
      </c>
      <c r="D66" s="30">
        <v>-7.8000000000002956E-2</v>
      </c>
      <c r="E66" s="41">
        <v>24.327867831298043</v>
      </c>
      <c r="F66" s="41">
        <v>4.9875311720698257E-2</v>
      </c>
      <c r="G66" s="39">
        <v>4.3132168701955464E-2</v>
      </c>
      <c r="Q66" s="38"/>
      <c r="R66" s="38"/>
    </row>
    <row r="67" spans="1:18" x14ac:dyDescent="0.3">
      <c r="A67" s="31" t="s">
        <v>890</v>
      </c>
      <c r="B67" s="30">
        <v>16420</v>
      </c>
      <c r="C67" s="30">
        <v>24.298999999999999</v>
      </c>
      <c r="D67" s="30">
        <v>-7.1999999999999176E-2</v>
      </c>
      <c r="E67" s="41">
        <v>24.277992519577346</v>
      </c>
      <c r="F67" s="41">
        <v>4.9875311720698257E-2</v>
      </c>
      <c r="G67" s="39">
        <v>2.1007480422653657E-2</v>
      </c>
      <c r="Q67" s="38"/>
      <c r="R67" s="38"/>
    </row>
    <row r="68" spans="1:18" x14ac:dyDescent="0.3">
      <c r="A68" s="31" t="s">
        <v>891</v>
      </c>
      <c r="B68" s="30">
        <v>16440</v>
      </c>
      <c r="C68" s="30">
        <v>24.227</v>
      </c>
      <c r="D68" s="30">
        <v>-7.1999999999999176E-2</v>
      </c>
      <c r="E68" s="41">
        <v>24.228117207856648</v>
      </c>
      <c r="F68" s="41">
        <v>4.9875311720698257E-2</v>
      </c>
      <c r="G68" s="39">
        <v>-1.1172078566481503E-3</v>
      </c>
      <c r="Q68" s="38"/>
      <c r="R68" s="38"/>
    </row>
    <row r="69" spans="1:18" x14ac:dyDescent="0.3">
      <c r="A69" s="31" t="s">
        <v>3209</v>
      </c>
      <c r="B69" s="87" t="s">
        <v>3194</v>
      </c>
      <c r="C69" s="88"/>
      <c r="D69" s="88"/>
      <c r="E69" s="88"/>
      <c r="F69" s="88"/>
      <c r="G69" s="89"/>
      <c r="H69" s="38" t="s">
        <v>3208</v>
      </c>
      <c r="O69">
        <v>3.134796238244514E-3</v>
      </c>
      <c r="P69">
        <v>6.2695924764890276E-2</v>
      </c>
      <c r="Q69" s="43" t="s">
        <v>3200</v>
      </c>
      <c r="R69" s="43">
        <v>319</v>
      </c>
    </row>
    <row r="70" spans="1:18" x14ac:dyDescent="0.3">
      <c r="A70" s="31" t="s">
        <v>892</v>
      </c>
      <c r="B70" s="30">
        <v>16460</v>
      </c>
      <c r="C70" s="30">
        <v>24.138000000000002</v>
      </c>
      <c r="D70" s="30">
        <v>-8.8999999999998636E-2</v>
      </c>
      <c r="E70" s="41">
        <v>24.165421283091757</v>
      </c>
      <c r="F70" s="41">
        <v>6.2695924764890276E-2</v>
      </c>
      <c r="G70" s="39">
        <v>-2.7421283091754844E-2</v>
      </c>
      <c r="H70">
        <v>16440</v>
      </c>
      <c r="I70">
        <v>16780</v>
      </c>
      <c r="J70">
        <v>340</v>
      </c>
      <c r="K70">
        <v>24.228117207856648</v>
      </c>
      <c r="L70">
        <v>23.161999999999999</v>
      </c>
      <c r="M70">
        <v>-1.0661172078566494</v>
      </c>
      <c r="N70">
        <v>-318.91427836864682</v>
      </c>
      <c r="O70">
        <v>319</v>
      </c>
      <c r="Q70" s="38"/>
      <c r="R70" s="38"/>
    </row>
    <row r="71" spans="1:18" x14ac:dyDescent="0.3">
      <c r="A71" s="31" t="s">
        <v>893</v>
      </c>
      <c r="B71" s="30">
        <v>16480</v>
      </c>
      <c r="C71" s="30">
        <v>24.052</v>
      </c>
      <c r="D71" s="30">
        <v>-8.6000000000002075E-2</v>
      </c>
      <c r="E71" s="41">
        <v>24.102725358326865</v>
      </c>
      <c r="F71" s="41">
        <v>6.2695924764890276E-2</v>
      </c>
      <c r="G71" s="39">
        <v>-5.0725358326864978E-2</v>
      </c>
      <c r="Q71" s="38"/>
      <c r="R71" s="38"/>
    </row>
    <row r="72" spans="1:18" x14ac:dyDescent="0.3">
      <c r="A72" s="31" t="s">
        <v>894</v>
      </c>
      <c r="B72" s="30">
        <v>16500</v>
      </c>
      <c r="C72" s="30">
        <v>23.956</v>
      </c>
      <c r="D72" s="30">
        <v>-9.6000000000000085E-2</v>
      </c>
      <c r="E72" s="41">
        <v>24.040029433561973</v>
      </c>
      <c r="F72" s="41">
        <v>6.2695924764890276E-2</v>
      </c>
      <c r="G72" s="39">
        <v>-8.4029433561973121E-2</v>
      </c>
      <c r="Q72" s="38"/>
      <c r="R72" s="38"/>
    </row>
    <row r="73" spans="1:18" x14ac:dyDescent="0.3">
      <c r="A73" s="31" t="s">
        <v>895</v>
      </c>
      <c r="B73" s="30">
        <v>16520</v>
      </c>
      <c r="C73" s="30">
        <v>23.867000000000001</v>
      </c>
      <c r="D73" s="30">
        <v>-8.8999999999998636E-2</v>
      </c>
      <c r="E73" s="41">
        <v>23.977333508797081</v>
      </c>
      <c r="F73" s="41">
        <v>6.2695924764890276E-2</v>
      </c>
      <c r="G73" s="39">
        <v>-0.11033350879707982</v>
      </c>
      <c r="Q73" s="38"/>
      <c r="R73" s="38"/>
    </row>
    <row r="74" spans="1:18" x14ac:dyDescent="0.3">
      <c r="A74" s="31" t="s">
        <v>896</v>
      </c>
      <c r="B74" s="30">
        <v>16540</v>
      </c>
      <c r="C74" s="30">
        <v>23.803999999999998</v>
      </c>
      <c r="D74" s="30">
        <v>-6.3000000000002387E-2</v>
      </c>
      <c r="E74" s="41">
        <v>23.914637584032189</v>
      </c>
      <c r="F74" s="41">
        <v>6.2695924764890276E-2</v>
      </c>
      <c r="G74" s="39">
        <v>-0.11063758403219026</v>
      </c>
      <c r="Q74" s="38"/>
      <c r="R74" s="38"/>
    </row>
    <row r="75" spans="1:18" x14ac:dyDescent="0.3">
      <c r="A75" s="31" t="s">
        <v>897</v>
      </c>
      <c r="B75" s="30">
        <v>16560</v>
      </c>
      <c r="C75" s="30">
        <v>23.751999999999999</v>
      </c>
      <c r="D75" s="30">
        <v>-5.1999999999999602E-2</v>
      </c>
      <c r="E75" s="41">
        <v>23.851941659267297</v>
      </c>
      <c r="F75" s="41">
        <v>6.2695924764890276E-2</v>
      </c>
      <c r="G75" s="39">
        <v>-9.9941659267297922E-2</v>
      </c>
      <c r="Q75" s="38"/>
      <c r="R75" s="38"/>
    </row>
    <row r="76" spans="1:18" x14ac:dyDescent="0.3">
      <c r="A76" s="31" t="s">
        <v>898</v>
      </c>
      <c r="B76" s="30">
        <v>16580</v>
      </c>
      <c r="C76" s="30">
        <v>23.683</v>
      </c>
      <c r="D76" s="30">
        <v>-6.8999999999999062E-2</v>
      </c>
      <c r="E76" s="41">
        <v>23.789245734502405</v>
      </c>
      <c r="F76" s="41">
        <v>6.2695924764890276E-2</v>
      </c>
      <c r="G76" s="39">
        <v>-0.10624573450240504</v>
      </c>
      <c r="Q76" s="38"/>
      <c r="R76" s="38"/>
    </row>
    <row r="77" spans="1:18" x14ac:dyDescent="0.3">
      <c r="A77" s="31" t="s">
        <v>899</v>
      </c>
      <c r="B77" s="30">
        <v>16600</v>
      </c>
      <c r="C77" s="30">
        <v>23.617999999999999</v>
      </c>
      <c r="D77" s="30">
        <v>-6.5000000000001279E-2</v>
      </c>
      <c r="E77" s="41">
        <v>23.726549809737513</v>
      </c>
      <c r="F77" s="41">
        <v>6.2695924764890276E-2</v>
      </c>
      <c r="G77" s="39">
        <v>-0.10854980973751438</v>
      </c>
      <c r="Q77" s="38"/>
      <c r="R77" s="38"/>
    </row>
    <row r="78" spans="1:18" x14ac:dyDescent="0.3">
      <c r="A78" s="31" t="s">
        <v>900</v>
      </c>
      <c r="B78" s="30">
        <v>16620</v>
      </c>
      <c r="C78" s="30">
        <v>23.542999999999999</v>
      </c>
      <c r="D78" s="30">
        <v>-7.4999999999999289E-2</v>
      </c>
      <c r="E78" s="41">
        <v>23.663853884972621</v>
      </c>
      <c r="F78" s="41">
        <v>6.2695924764890276E-2</v>
      </c>
      <c r="G78" s="39">
        <v>-0.12085388497262173</v>
      </c>
      <c r="Q78" s="38"/>
      <c r="R78" s="38"/>
    </row>
    <row r="79" spans="1:18" x14ac:dyDescent="0.3">
      <c r="A79" s="31" t="s">
        <v>901</v>
      </c>
      <c r="B79" s="30">
        <v>16640</v>
      </c>
      <c r="C79" s="30">
        <v>23.481999999999999</v>
      </c>
      <c r="D79" s="30">
        <v>-6.0999999999999943E-2</v>
      </c>
      <c r="E79" s="41">
        <v>23.601157960207729</v>
      </c>
      <c r="F79" s="41">
        <v>6.2695924764890276E-2</v>
      </c>
      <c r="G79" s="39">
        <v>-0.11915796020772973</v>
      </c>
      <c r="Q79" s="38"/>
      <c r="R79" s="38"/>
    </row>
    <row r="80" spans="1:18" x14ac:dyDescent="0.3">
      <c r="A80" s="31" t="s">
        <v>902</v>
      </c>
      <c r="B80" s="30">
        <v>16660</v>
      </c>
      <c r="C80" s="30">
        <v>23.41</v>
      </c>
      <c r="D80" s="30">
        <v>-7.1999999999999176E-2</v>
      </c>
      <c r="E80" s="41">
        <v>23.538462035442837</v>
      </c>
      <c r="F80" s="41">
        <v>6.2695924764890276E-2</v>
      </c>
      <c r="G80" s="39">
        <v>-0.12846203544283696</v>
      </c>
      <c r="Q80" s="38"/>
      <c r="R80" s="38"/>
    </row>
    <row r="81" spans="1:18" x14ac:dyDescent="0.3">
      <c r="A81" s="31" t="s">
        <v>903</v>
      </c>
      <c r="B81" s="30">
        <v>16680</v>
      </c>
      <c r="C81" s="30">
        <v>23.347000000000001</v>
      </c>
      <c r="D81" s="30">
        <v>-6.2999999999998835E-2</v>
      </c>
      <c r="E81" s="41">
        <v>23.475766110677945</v>
      </c>
      <c r="F81" s="41">
        <v>6.2695924764890276E-2</v>
      </c>
      <c r="G81" s="39">
        <v>-0.12876611067794386</v>
      </c>
      <c r="Q81" s="38"/>
      <c r="R81" s="38"/>
    </row>
    <row r="82" spans="1:18" x14ac:dyDescent="0.3">
      <c r="A82" s="31" t="s">
        <v>904</v>
      </c>
      <c r="B82" s="30">
        <v>16700</v>
      </c>
      <c r="C82" s="30">
        <v>23.297999999999998</v>
      </c>
      <c r="D82" s="30">
        <v>-4.9000000000003041E-2</v>
      </c>
      <c r="E82" s="41">
        <v>23.413070185913053</v>
      </c>
      <c r="F82" s="41">
        <v>6.2695924764890276E-2</v>
      </c>
      <c r="G82" s="39">
        <v>-0.11507018591305496</v>
      </c>
      <c r="Q82" s="38"/>
      <c r="R82" s="38"/>
    </row>
    <row r="83" spans="1:18" x14ac:dyDescent="0.3">
      <c r="A83" s="31" t="s">
        <v>905</v>
      </c>
      <c r="B83" s="30">
        <v>16720</v>
      </c>
      <c r="C83" s="30">
        <v>23.256</v>
      </c>
      <c r="D83" s="30">
        <v>-4.1999999999998039E-2</v>
      </c>
      <c r="E83" s="41">
        <v>23.350374261148161</v>
      </c>
      <c r="F83" s="41">
        <v>6.2695924764890276E-2</v>
      </c>
      <c r="G83" s="39">
        <v>-9.4374261148161054E-2</v>
      </c>
      <c r="Q83" s="38"/>
      <c r="R83" s="38"/>
    </row>
    <row r="84" spans="1:18" x14ac:dyDescent="0.3">
      <c r="A84" s="31" t="s">
        <v>906</v>
      </c>
      <c r="B84" s="30">
        <v>16740</v>
      </c>
      <c r="C84" s="30">
        <v>23.218</v>
      </c>
      <c r="D84" s="30">
        <v>-3.8000000000000256E-2</v>
      </c>
      <c r="E84" s="41">
        <v>23.287678336383269</v>
      </c>
      <c r="F84" s="41">
        <v>6.2695924764890276E-2</v>
      </c>
      <c r="G84" s="39">
        <v>-6.9678336383269368E-2</v>
      </c>
      <c r="Q84" s="38"/>
      <c r="R84" s="38"/>
    </row>
    <row r="85" spans="1:18" x14ac:dyDescent="0.3">
      <c r="A85" s="31" t="s">
        <v>907</v>
      </c>
      <c r="B85" s="30">
        <v>16760</v>
      </c>
      <c r="C85" s="30">
        <v>23.193999999999999</v>
      </c>
      <c r="D85" s="30">
        <v>-2.4000000000000909E-2</v>
      </c>
      <c r="E85" s="41">
        <v>23.224982411618377</v>
      </c>
      <c r="F85" s="41">
        <v>6.2695924764890276E-2</v>
      </c>
      <c r="G85" s="39">
        <v>-3.0982411618378336E-2</v>
      </c>
      <c r="Q85" s="38"/>
      <c r="R85" s="38"/>
    </row>
    <row r="86" spans="1:18" ht="15" thickBot="1" x14ac:dyDescent="0.35">
      <c r="A86" s="33" t="s">
        <v>908</v>
      </c>
      <c r="B86" s="34">
        <v>16780</v>
      </c>
      <c r="C86" s="34">
        <v>23.161999999999999</v>
      </c>
      <c r="D86" s="34">
        <v>-3.2000000000000028E-2</v>
      </c>
      <c r="E86" s="42">
        <v>23.162286486853485</v>
      </c>
      <c r="F86" s="42">
        <v>6.2695924764890276E-2</v>
      </c>
      <c r="G86" s="40">
        <v>-2.8648685348642289E-4</v>
      </c>
      <c r="Q86" s="38"/>
      <c r="R86" s="38"/>
    </row>
  </sheetData>
  <mergeCells count="12">
    <mergeCell ref="B69:G69"/>
    <mergeCell ref="A39:G39"/>
    <mergeCell ref="E1:G1"/>
    <mergeCell ref="B20:G20"/>
    <mergeCell ref="A18:G18"/>
    <mergeCell ref="B24:G24"/>
    <mergeCell ref="B30:G30"/>
    <mergeCell ref="Q1:R1"/>
    <mergeCell ref="B46:G46"/>
    <mergeCell ref="B42:G42"/>
    <mergeCell ref="B57:G57"/>
    <mergeCell ref="B65:G65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61E8-235B-461D-A890-A831A899C2DF}">
  <dimension ref="A1:R123"/>
  <sheetViews>
    <sheetView topLeftCell="A19" workbookViewId="0">
      <selection sqref="A1:XFD1"/>
    </sheetView>
  </sheetViews>
  <sheetFormatPr defaultRowHeight="14.4" x14ac:dyDescent="0.3"/>
  <cols>
    <col min="1" max="1" width="20.88671875" bestFit="1" customWidth="1"/>
    <col min="2" max="2" width="9.21875" bestFit="1" customWidth="1"/>
    <col min="3" max="3" width="6.6640625" bestFit="1" customWidth="1"/>
    <col min="4" max="4" width="10.44140625" bestFit="1" customWidth="1"/>
    <col min="5" max="5" width="6.109375" bestFit="1" customWidth="1"/>
    <col min="6" max="6" width="5.109375" bestFit="1" customWidth="1"/>
    <col min="7" max="7" width="5.77734375" bestFit="1" customWidth="1"/>
    <col min="8" max="8" width="11.5546875" bestFit="1" customWidth="1"/>
    <col min="9" max="9" width="10" bestFit="1" customWidth="1"/>
    <col min="10" max="10" width="8.6640625" bestFit="1" customWidth="1"/>
    <col min="11" max="11" width="11.6640625" bestFit="1" customWidth="1"/>
    <col min="12" max="12" width="9.6640625" bestFit="1" customWidth="1"/>
    <col min="13" max="13" width="5.77734375" bestFit="1" customWidth="1"/>
    <col min="14" max="14" width="9.77734375" bestFit="1" customWidth="1"/>
    <col min="15" max="16" width="11.6640625" bestFit="1" customWidth="1"/>
    <col min="17" max="17" width="6.33203125" customWidth="1"/>
    <col min="18" max="18" width="5.6640625" bestFit="1" customWidth="1"/>
  </cols>
  <sheetData>
    <row r="1" spans="1:18" x14ac:dyDescent="0.3">
      <c r="A1" s="36" t="s">
        <v>3284</v>
      </c>
      <c r="B1" s="37" t="s">
        <v>3285</v>
      </c>
      <c r="C1" s="37" t="s">
        <v>1</v>
      </c>
      <c r="D1" s="37" t="s">
        <v>3286</v>
      </c>
      <c r="E1" s="94" t="s">
        <v>52</v>
      </c>
      <c r="F1" s="94"/>
      <c r="G1" s="95"/>
      <c r="H1" s="44" t="s">
        <v>3293</v>
      </c>
      <c r="I1" s="44" t="s">
        <v>3290</v>
      </c>
      <c r="J1" s="44" t="s">
        <v>3289</v>
      </c>
      <c r="K1" s="44" t="s">
        <v>3291</v>
      </c>
      <c r="L1" s="44" t="s">
        <v>3292</v>
      </c>
      <c r="Q1" s="86" t="s">
        <v>3287</v>
      </c>
      <c r="R1" s="86"/>
    </row>
    <row r="2" spans="1:18" x14ac:dyDescent="0.3">
      <c r="A2" s="31" t="s">
        <v>1405</v>
      </c>
      <c r="B2" s="30">
        <v>26520</v>
      </c>
      <c r="C2" s="30">
        <v>15.647</v>
      </c>
      <c r="D2" s="30">
        <v>5.0000000000007816E-3</v>
      </c>
      <c r="E2" s="41">
        <v>15.625453675171169</v>
      </c>
      <c r="F2" s="41">
        <v>1.7035775127768313E-2</v>
      </c>
      <c r="G2" s="39">
        <v>2.1546324828831231E-2</v>
      </c>
      <c r="H2" t="s">
        <v>3223</v>
      </c>
      <c r="O2">
        <v>8.5178875638841568E-4</v>
      </c>
      <c r="P2">
        <v>1.7035775127768313E-2</v>
      </c>
      <c r="Q2" s="30" t="s">
        <v>3200</v>
      </c>
      <c r="R2" s="30">
        <v>1174</v>
      </c>
    </row>
    <row r="3" spans="1:18" x14ac:dyDescent="0.3">
      <c r="A3" s="31" t="s">
        <v>1406</v>
      </c>
      <c r="B3" s="30">
        <v>26540</v>
      </c>
      <c r="C3" s="30">
        <v>15.622</v>
      </c>
      <c r="D3" s="30">
        <v>-2.5000000000000355E-2</v>
      </c>
      <c r="E3" s="41">
        <v>15.608417900043401</v>
      </c>
      <c r="F3" s="41">
        <v>1.7035775127768313E-2</v>
      </c>
      <c r="G3" s="39">
        <v>1.3582099956598981E-2</v>
      </c>
      <c r="H3">
        <v>26500</v>
      </c>
      <c r="I3">
        <v>27480</v>
      </c>
      <c r="J3">
        <v>980</v>
      </c>
      <c r="K3">
        <v>15.642489450298937</v>
      </c>
      <c r="L3">
        <v>14.808</v>
      </c>
      <c r="M3" s="1">
        <v>-0.83448945029893729</v>
      </c>
      <c r="N3" s="1">
        <v>-1174.3707480651035</v>
      </c>
      <c r="O3">
        <v>1174</v>
      </c>
    </row>
    <row r="4" spans="1:18" x14ac:dyDescent="0.3">
      <c r="A4" s="31" t="s">
        <v>1407</v>
      </c>
      <c r="B4" s="30">
        <v>26560</v>
      </c>
      <c r="C4" s="30">
        <v>15.605</v>
      </c>
      <c r="D4" s="30">
        <v>-1.699999999999946E-2</v>
      </c>
      <c r="E4" s="41">
        <v>15.591382124915633</v>
      </c>
      <c r="F4" s="41">
        <v>1.7035775127768313E-2</v>
      </c>
      <c r="G4" s="39">
        <v>1.3617875084367626E-2</v>
      </c>
      <c r="M4" s="1"/>
      <c r="N4" s="1"/>
    </row>
    <row r="5" spans="1:18" x14ac:dyDescent="0.3">
      <c r="A5" s="31" t="s">
        <v>1408</v>
      </c>
      <c r="B5" s="30">
        <v>26580</v>
      </c>
      <c r="C5" s="30">
        <v>15.59</v>
      </c>
      <c r="D5" s="30">
        <v>-1.5000000000000568E-2</v>
      </c>
      <c r="E5" s="41">
        <v>15.574346349787865</v>
      </c>
      <c r="F5" s="41">
        <v>1.7035775127768313E-2</v>
      </c>
      <c r="G5" s="39">
        <v>1.5653650212135162E-2</v>
      </c>
      <c r="M5" s="1"/>
      <c r="N5" s="1"/>
    </row>
    <row r="6" spans="1:18" x14ac:dyDescent="0.3">
      <c r="A6" s="31" t="s">
        <v>1409</v>
      </c>
      <c r="B6" s="30">
        <v>26600</v>
      </c>
      <c r="C6" s="30">
        <v>15.567</v>
      </c>
      <c r="D6" s="30">
        <v>-2.2999999999999687E-2</v>
      </c>
      <c r="E6" s="41">
        <v>15.557310574660097</v>
      </c>
      <c r="F6" s="41">
        <v>1.7035775127768313E-2</v>
      </c>
      <c r="G6" s="39">
        <v>9.689425339903579E-3</v>
      </c>
      <c r="M6" s="1"/>
      <c r="N6" s="1"/>
    </row>
    <row r="7" spans="1:18" x14ac:dyDescent="0.3">
      <c r="A7" s="31" t="s">
        <v>1410</v>
      </c>
      <c r="B7" s="30">
        <v>26620</v>
      </c>
      <c r="C7" s="30">
        <v>15.558999999999999</v>
      </c>
      <c r="D7" s="30">
        <v>-8.0000000000008953E-3</v>
      </c>
      <c r="E7" s="41">
        <v>15.540274799532328</v>
      </c>
      <c r="F7" s="41">
        <v>1.7035775127768313E-2</v>
      </c>
      <c r="G7" s="39">
        <v>1.8725200467670788E-2</v>
      </c>
      <c r="M7" s="1"/>
      <c r="N7" s="1"/>
    </row>
    <row r="8" spans="1:18" x14ac:dyDescent="0.3">
      <c r="A8" s="31" t="s">
        <v>1411</v>
      </c>
      <c r="B8" s="30">
        <v>26640</v>
      </c>
      <c r="C8" s="30">
        <v>15.548999999999999</v>
      </c>
      <c r="D8" s="30">
        <v>-9.9999999999997868E-3</v>
      </c>
      <c r="E8" s="41">
        <v>15.52323902440456</v>
      </c>
      <c r="F8" s="41">
        <v>1.7035775127768313E-2</v>
      </c>
      <c r="G8" s="39">
        <v>2.5760975595439106E-2</v>
      </c>
      <c r="M8" s="1"/>
      <c r="N8" s="1"/>
    </row>
    <row r="9" spans="1:18" x14ac:dyDescent="0.3">
      <c r="A9" s="31" t="s">
        <v>1412</v>
      </c>
      <c r="B9" s="30">
        <v>26660</v>
      </c>
      <c r="C9" s="30">
        <v>15.541</v>
      </c>
      <c r="D9" s="30">
        <v>-7.9999999999991189E-3</v>
      </c>
      <c r="E9" s="41">
        <v>15.506203249276792</v>
      </c>
      <c r="F9" s="41">
        <v>1.7035775127768313E-2</v>
      </c>
      <c r="G9" s="39">
        <v>3.4796750723208092E-2</v>
      </c>
      <c r="M9" s="1"/>
      <c r="N9" s="1"/>
    </row>
    <row r="10" spans="1:18" x14ac:dyDescent="0.3">
      <c r="A10" s="31" t="s">
        <v>1413</v>
      </c>
      <c r="B10" s="30">
        <v>26680</v>
      </c>
      <c r="C10" s="30">
        <v>15.537000000000001</v>
      </c>
      <c r="D10" s="30">
        <v>-3.9999999999995595E-3</v>
      </c>
      <c r="E10" s="41">
        <v>15.489167474149024</v>
      </c>
      <c r="F10" s="41">
        <v>1.7035775127768313E-2</v>
      </c>
      <c r="G10" s="39">
        <v>4.7832525850976637E-2</v>
      </c>
      <c r="M10" s="1"/>
      <c r="N10" s="1"/>
    </row>
    <row r="11" spans="1:18" x14ac:dyDescent="0.3">
      <c r="A11" s="31" t="s">
        <v>1414</v>
      </c>
      <c r="B11" s="30">
        <v>26700</v>
      </c>
      <c r="C11" s="30">
        <v>15.528</v>
      </c>
      <c r="D11" s="30">
        <v>-9.0000000000003411E-3</v>
      </c>
      <c r="E11" s="41">
        <v>15.472131699021256</v>
      </c>
      <c r="F11" s="41">
        <v>1.7035775127768313E-2</v>
      </c>
      <c r="G11" s="39">
        <v>5.5868300978744401E-2</v>
      </c>
      <c r="M11" s="1"/>
      <c r="N11" s="1"/>
    </row>
    <row r="12" spans="1:18" x14ac:dyDescent="0.3">
      <c r="A12" s="31" t="s">
        <v>1415</v>
      </c>
      <c r="B12" s="30">
        <v>26720</v>
      </c>
      <c r="C12" s="30">
        <v>15.49</v>
      </c>
      <c r="D12" s="30">
        <v>-3.8000000000000256E-2</v>
      </c>
      <c r="E12" s="41">
        <v>15.455095923893488</v>
      </c>
      <c r="F12" s="41">
        <v>1.7035775127768313E-2</v>
      </c>
      <c r="G12" s="39">
        <v>3.490407610651225E-2</v>
      </c>
      <c r="M12" s="1"/>
      <c r="N12" s="1"/>
    </row>
    <row r="13" spans="1:18" x14ac:dyDescent="0.3">
      <c r="A13" s="31" t="s">
        <v>1416</v>
      </c>
      <c r="B13" s="30">
        <v>26740</v>
      </c>
      <c r="C13" s="30">
        <v>15.464</v>
      </c>
      <c r="D13" s="30">
        <v>-2.5999999999999801E-2</v>
      </c>
      <c r="E13" s="41">
        <v>15.43806014876572</v>
      </c>
      <c r="F13" s="41">
        <v>1.7035775127768313E-2</v>
      </c>
      <c r="G13" s="39">
        <v>2.5939851234280553E-2</v>
      </c>
      <c r="M13" s="1"/>
      <c r="N13" s="1"/>
    </row>
    <row r="14" spans="1:18" x14ac:dyDescent="0.3">
      <c r="A14" s="31" t="s">
        <v>1417</v>
      </c>
      <c r="B14" s="30">
        <v>26760</v>
      </c>
      <c r="C14" s="30">
        <v>15.455</v>
      </c>
      <c r="D14" s="30">
        <v>-9.0000000000003411E-3</v>
      </c>
      <c r="E14" s="41">
        <v>15.421024373637952</v>
      </c>
      <c r="F14" s="41">
        <v>1.7035775127768313E-2</v>
      </c>
      <c r="G14" s="39">
        <v>3.3975626362048317E-2</v>
      </c>
      <c r="M14" s="1"/>
      <c r="N14" s="1"/>
    </row>
    <row r="15" spans="1:18" x14ac:dyDescent="0.3">
      <c r="A15" s="31" t="s">
        <v>1418</v>
      </c>
      <c r="B15" s="30">
        <v>26780</v>
      </c>
      <c r="C15" s="30">
        <v>15.45</v>
      </c>
      <c r="D15" s="30">
        <v>-5.0000000000007816E-3</v>
      </c>
      <c r="E15" s="41">
        <v>15.403988598510184</v>
      </c>
      <c r="F15" s="41">
        <v>1.7035775127768313E-2</v>
      </c>
      <c r="G15" s="39">
        <v>4.601140148981564E-2</v>
      </c>
      <c r="M15" s="1"/>
      <c r="N15" s="1"/>
    </row>
    <row r="16" spans="1:18" x14ac:dyDescent="0.3">
      <c r="A16" s="31" t="s">
        <v>1419</v>
      </c>
      <c r="B16" s="30">
        <v>26800</v>
      </c>
      <c r="C16" s="30">
        <v>15.403</v>
      </c>
      <c r="D16" s="30">
        <v>-4.699999999999882E-2</v>
      </c>
      <c r="E16" s="41">
        <v>15.386952823382416</v>
      </c>
      <c r="F16" s="41">
        <v>1.7035775127768313E-2</v>
      </c>
      <c r="G16" s="39">
        <v>1.6047176617584924E-2</v>
      </c>
      <c r="M16" s="1"/>
      <c r="N16" s="1"/>
    </row>
    <row r="17" spans="1:14" x14ac:dyDescent="0.3">
      <c r="A17" s="31" t="s">
        <v>1420</v>
      </c>
      <c r="B17" s="30">
        <v>26820</v>
      </c>
      <c r="C17" s="30">
        <v>15.363</v>
      </c>
      <c r="D17" s="30">
        <v>-4.0000000000000924E-2</v>
      </c>
      <c r="E17" s="41">
        <v>15.369917048254647</v>
      </c>
      <c r="F17" s="41">
        <v>1.7035775127768313E-2</v>
      </c>
      <c r="G17" s="39">
        <v>-6.9170482546478951E-3</v>
      </c>
      <c r="M17" s="1"/>
      <c r="N17" s="1"/>
    </row>
    <row r="18" spans="1:14" x14ac:dyDescent="0.3">
      <c r="A18" s="31" t="s">
        <v>1421</v>
      </c>
      <c r="B18" s="30">
        <v>26840</v>
      </c>
      <c r="C18" s="30">
        <v>15.324</v>
      </c>
      <c r="D18" s="30">
        <v>-3.8999999999999702E-2</v>
      </c>
      <c r="E18" s="41">
        <v>15.352881273126879</v>
      </c>
      <c r="F18" s="41">
        <v>1.7035775127768313E-2</v>
      </c>
      <c r="G18" s="39">
        <v>-2.8881273126879492E-2</v>
      </c>
      <c r="M18" s="1"/>
      <c r="N18" s="1"/>
    </row>
    <row r="19" spans="1:14" x14ac:dyDescent="0.3">
      <c r="A19" s="31" t="s">
        <v>1422</v>
      </c>
      <c r="B19" s="30">
        <v>26860</v>
      </c>
      <c r="C19" s="30">
        <v>15.313000000000001</v>
      </c>
      <c r="D19" s="30">
        <v>-1.0999999999999233E-2</v>
      </c>
      <c r="E19" s="41">
        <v>15.335845497999111</v>
      </c>
      <c r="F19" s="41">
        <v>1.7035775127768313E-2</v>
      </c>
      <c r="G19" s="39">
        <v>-2.284549799911062E-2</v>
      </c>
      <c r="M19" s="1"/>
      <c r="N19" s="1"/>
    </row>
    <row r="20" spans="1:14" x14ac:dyDescent="0.3">
      <c r="A20" s="31" t="s">
        <v>1423</v>
      </c>
      <c r="B20" s="30">
        <v>26880</v>
      </c>
      <c r="C20" s="30">
        <v>15.302</v>
      </c>
      <c r="D20" s="30">
        <v>-1.1000000000001009E-2</v>
      </c>
      <c r="E20" s="41">
        <v>15.318809722871343</v>
      </c>
      <c r="F20" s="41">
        <v>1.7035775127768313E-2</v>
      </c>
      <c r="G20" s="39">
        <v>-1.6809722871343524E-2</v>
      </c>
      <c r="M20" s="1"/>
      <c r="N20" s="1"/>
    </row>
    <row r="21" spans="1:14" x14ac:dyDescent="0.3">
      <c r="A21" s="31" t="s">
        <v>1424</v>
      </c>
      <c r="B21" s="30">
        <v>26900</v>
      </c>
      <c r="C21" s="30">
        <v>15.287000000000001</v>
      </c>
      <c r="D21" s="30">
        <v>-1.4999999999998792E-2</v>
      </c>
      <c r="E21" s="41">
        <v>15.301773947743575</v>
      </c>
      <c r="F21" s="41">
        <v>1.7035775127768313E-2</v>
      </c>
      <c r="G21" s="39">
        <v>-1.4773947743574212E-2</v>
      </c>
      <c r="M21" s="1"/>
      <c r="N21" s="1"/>
    </row>
    <row r="22" spans="1:14" x14ac:dyDescent="0.3">
      <c r="A22" s="31" t="s">
        <v>1425</v>
      </c>
      <c r="B22" s="30">
        <v>26920</v>
      </c>
      <c r="C22" s="30">
        <v>15.266</v>
      </c>
      <c r="D22" s="30">
        <v>-2.1000000000000796E-2</v>
      </c>
      <c r="E22" s="41">
        <v>15.284738172615807</v>
      </c>
      <c r="F22" s="41">
        <v>1.7035775127768313E-2</v>
      </c>
      <c r="G22" s="39">
        <v>-1.8738172615806903E-2</v>
      </c>
      <c r="M22" s="1"/>
      <c r="N22" s="1"/>
    </row>
    <row r="23" spans="1:14" x14ac:dyDescent="0.3">
      <c r="A23" s="31" t="s">
        <v>1426</v>
      </c>
      <c r="B23" s="30">
        <v>26940</v>
      </c>
      <c r="C23" s="30">
        <v>15.231999999999999</v>
      </c>
      <c r="D23" s="30">
        <v>-3.4000000000000696E-2</v>
      </c>
      <c r="E23" s="41">
        <v>15.267702397488039</v>
      </c>
      <c r="F23" s="41">
        <v>1.7035775127768313E-2</v>
      </c>
      <c r="G23" s="39">
        <v>-3.5702397488039495E-2</v>
      </c>
      <c r="M23" s="1"/>
      <c r="N23" s="1"/>
    </row>
    <row r="24" spans="1:14" x14ac:dyDescent="0.3">
      <c r="A24" s="31" t="s">
        <v>1427</v>
      </c>
      <c r="B24" s="30">
        <v>26960</v>
      </c>
      <c r="C24" s="30">
        <v>15.195</v>
      </c>
      <c r="D24" s="30">
        <v>-3.6999999999999034E-2</v>
      </c>
      <c r="E24" s="41">
        <v>15.250666622360271</v>
      </c>
      <c r="F24" s="41">
        <v>1.7035775127768313E-2</v>
      </c>
      <c r="G24" s="39">
        <v>-5.5666622360270424E-2</v>
      </c>
      <c r="M24" s="1"/>
      <c r="N24" s="1"/>
    </row>
    <row r="25" spans="1:14" x14ac:dyDescent="0.3">
      <c r="A25" s="31" t="s">
        <v>1428</v>
      </c>
      <c r="B25" s="30">
        <v>26980</v>
      </c>
      <c r="C25" s="30">
        <v>15.16</v>
      </c>
      <c r="D25" s="30">
        <v>-3.5000000000000142E-2</v>
      </c>
      <c r="E25" s="41">
        <v>15.233630847232503</v>
      </c>
      <c r="F25" s="41">
        <v>1.7035775127768313E-2</v>
      </c>
      <c r="G25" s="39">
        <v>-7.3630847232502461E-2</v>
      </c>
      <c r="M25" s="1"/>
      <c r="N25" s="1"/>
    </row>
    <row r="26" spans="1:14" x14ac:dyDescent="0.3">
      <c r="A26" s="31" t="s">
        <v>1429</v>
      </c>
      <c r="B26" s="90"/>
      <c r="C26" s="91"/>
      <c r="D26" s="91"/>
      <c r="E26" s="91"/>
      <c r="F26" s="91"/>
      <c r="G26" s="92"/>
      <c r="M26" s="1"/>
      <c r="N26" s="1"/>
    </row>
    <row r="27" spans="1:14" x14ac:dyDescent="0.3">
      <c r="A27" s="31" t="s">
        <v>1430</v>
      </c>
      <c r="B27" s="30">
        <v>27000</v>
      </c>
      <c r="C27" s="30">
        <v>15.151999999999999</v>
      </c>
      <c r="D27" s="30">
        <v>-8.0000000000008953E-3</v>
      </c>
      <c r="E27" s="41">
        <v>15.216595072104734</v>
      </c>
      <c r="F27" s="41">
        <v>1.7035775127768313E-2</v>
      </c>
      <c r="G27" s="39">
        <v>-6.4595072104735252E-2</v>
      </c>
      <c r="M27" s="1"/>
      <c r="N27" s="1"/>
    </row>
    <row r="28" spans="1:14" x14ac:dyDescent="0.3">
      <c r="A28" s="31" t="s">
        <v>1431</v>
      </c>
      <c r="B28" s="30">
        <v>27020</v>
      </c>
      <c r="C28" s="30">
        <v>15.116</v>
      </c>
      <c r="D28" s="30">
        <v>-3.5999999999999588E-2</v>
      </c>
      <c r="E28" s="41">
        <v>15.199559296976966</v>
      </c>
      <c r="F28" s="41">
        <v>1.7035775127768313E-2</v>
      </c>
      <c r="G28" s="39">
        <v>-8.3559296976966735E-2</v>
      </c>
      <c r="M28" s="1"/>
      <c r="N28" s="1"/>
    </row>
    <row r="29" spans="1:14" x14ac:dyDescent="0.3">
      <c r="A29" s="31" t="s">
        <v>1432</v>
      </c>
      <c r="B29" s="30">
        <v>27040</v>
      </c>
      <c r="C29" s="30">
        <v>15.086</v>
      </c>
      <c r="D29" s="30">
        <v>-2.9999999999999361E-2</v>
      </c>
      <c r="E29" s="41">
        <v>15.182523521849198</v>
      </c>
      <c r="F29" s="41">
        <v>1.7035775127768313E-2</v>
      </c>
      <c r="G29" s="39">
        <v>-9.6523521849197991E-2</v>
      </c>
      <c r="M29" s="1"/>
      <c r="N29" s="1"/>
    </row>
    <row r="30" spans="1:14" x14ac:dyDescent="0.3">
      <c r="A30" s="31" t="s">
        <v>1433</v>
      </c>
      <c r="B30" s="30">
        <v>27060</v>
      </c>
      <c r="C30" s="30">
        <v>15.071999999999999</v>
      </c>
      <c r="D30" s="30">
        <v>-1.4000000000001123E-2</v>
      </c>
      <c r="E30" s="41">
        <v>15.16548774672143</v>
      </c>
      <c r="F30" s="41">
        <v>1.7035775127768313E-2</v>
      </c>
      <c r="G30" s="39">
        <v>-9.3487746721431009E-2</v>
      </c>
      <c r="M30" s="1"/>
      <c r="N30" s="1"/>
    </row>
    <row r="31" spans="1:14" x14ac:dyDescent="0.3">
      <c r="A31" s="31" t="s">
        <v>1434</v>
      </c>
      <c r="B31" s="30">
        <v>27080</v>
      </c>
      <c r="C31" s="30">
        <v>15.061999999999999</v>
      </c>
      <c r="D31" s="30">
        <v>-9.9999999999997868E-3</v>
      </c>
      <c r="E31" s="41">
        <v>15.148451971593662</v>
      </c>
      <c r="F31" s="41">
        <v>1.7035775127768313E-2</v>
      </c>
      <c r="G31" s="39">
        <v>-8.6451971593662691E-2</v>
      </c>
      <c r="M31" s="1"/>
      <c r="N31" s="1"/>
    </row>
    <row r="32" spans="1:14" x14ac:dyDescent="0.3">
      <c r="A32" s="31" t="s">
        <v>1435</v>
      </c>
      <c r="B32" s="30">
        <v>27100</v>
      </c>
      <c r="C32" s="30">
        <v>15.044</v>
      </c>
      <c r="D32" s="30">
        <v>-1.7999999999998906E-2</v>
      </c>
      <c r="E32" s="41">
        <v>15.131416196465894</v>
      </c>
      <c r="F32" s="41">
        <v>1.7035775127768313E-2</v>
      </c>
      <c r="G32" s="39">
        <v>-8.7416196465893492E-2</v>
      </c>
      <c r="M32" s="1"/>
      <c r="N32" s="1"/>
    </row>
    <row r="33" spans="1:14" x14ac:dyDescent="0.3">
      <c r="A33" s="31" t="s">
        <v>1436</v>
      </c>
      <c r="B33" s="30">
        <v>27120</v>
      </c>
      <c r="C33" s="30">
        <v>15.032999999999999</v>
      </c>
      <c r="D33" s="30">
        <v>-1.1000000000001009E-2</v>
      </c>
      <c r="E33" s="41">
        <v>15.114380421338126</v>
      </c>
      <c r="F33" s="41">
        <v>1.7035775127768313E-2</v>
      </c>
      <c r="G33" s="39">
        <v>-8.1380421338126396E-2</v>
      </c>
      <c r="M33" s="1"/>
      <c r="N33" s="1"/>
    </row>
    <row r="34" spans="1:14" x14ac:dyDescent="0.3">
      <c r="A34" s="31" t="s">
        <v>1437</v>
      </c>
      <c r="B34" s="30">
        <v>27140</v>
      </c>
      <c r="C34" s="30">
        <v>15.044</v>
      </c>
      <c r="D34" s="30">
        <v>1.1000000000001009E-2</v>
      </c>
      <c r="E34" s="41">
        <v>15.097344646210358</v>
      </c>
      <c r="F34" s="41">
        <v>1.7035775127768313E-2</v>
      </c>
      <c r="G34" s="39">
        <v>-5.3344646210357283E-2</v>
      </c>
      <c r="M34" s="1"/>
      <c r="N34" s="1"/>
    </row>
    <row r="35" spans="1:14" x14ac:dyDescent="0.3">
      <c r="A35" s="31" t="s">
        <v>1438</v>
      </c>
      <c r="B35" s="30">
        <v>27160</v>
      </c>
      <c r="C35" s="30">
        <v>15.035</v>
      </c>
      <c r="D35" s="30">
        <v>-9.0000000000003411E-3</v>
      </c>
      <c r="E35" s="41">
        <v>15.08030887108259</v>
      </c>
      <c r="F35" s="41">
        <v>1.7035775127768313E-2</v>
      </c>
      <c r="G35" s="39">
        <v>-4.5308871082589519E-2</v>
      </c>
      <c r="M35" s="1"/>
      <c r="N35" s="1"/>
    </row>
    <row r="36" spans="1:14" x14ac:dyDescent="0.3">
      <c r="A36" s="31" t="s">
        <v>1439</v>
      </c>
      <c r="B36" s="30">
        <v>27180</v>
      </c>
      <c r="C36" s="30">
        <v>15.058999999999999</v>
      </c>
      <c r="D36" s="30">
        <v>2.3999999999999133E-2</v>
      </c>
      <c r="E36" s="41">
        <v>15.063273095954822</v>
      </c>
      <c r="F36" s="41">
        <v>1.7035775127768313E-2</v>
      </c>
      <c r="G36" s="39">
        <v>-4.2730959548222813E-3</v>
      </c>
      <c r="M36" s="1"/>
      <c r="N36" s="1"/>
    </row>
    <row r="37" spans="1:14" x14ac:dyDescent="0.3">
      <c r="A37" s="31" t="s">
        <v>1440</v>
      </c>
      <c r="B37" s="30">
        <v>27200</v>
      </c>
      <c r="C37" s="30">
        <v>15.103</v>
      </c>
      <c r="D37" s="30">
        <v>4.4000000000000483E-2</v>
      </c>
      <c r="E37" s="41">
        <v>15.046237320827053</v>
      </c>
      <c r="F37" s="41">
        <v>1.7035775127768313E-2</v>
      </c>
      <c r="G37" s="39">
        <v>5.6762679172946306E-2</v>
      </c>
      <c r="M37" s="1"/>
      <c r="N37" s="1"/>
    </row>
    <row r="38" spans="1:14" x14ac:dyDescent="0.3">
      <c r="A38" s="31" t="s">
        <v>1441</v>
      </c>
      <c r="B38" s="30">
        <v>27220</v>
      </c>
      <c r="C38" s="30">
        <v>15.148999999999999</v>
      </c>
      <c r="D38" s="30">
        <v>4.5999999999999375E-2</v>
      </c>
      <c r="E38" s="41">
        <v>15.029201545699285</v>
      </c>
      <c r="F38" s="41">
        <v>1.7035775127768313E-2</v>
      </c>
      <c r="G38" s="39">
        <v>0.11979845430071379</v>
      </c>
      <c r="M38" s="1"/>
      <c r="N38" s="1"/>
    </row>
    <row r="39" spans="1:14" x14ac:dyDescent="0.3">
      <c r="A39" s="31" t="s">
        <v>1442</v>
      </c>
      <c r="B39" s="30">
        <v>27240</v>
      </c>
      <c r="C39" s="30">
        <v>15.138999999999999</v>
      </c>
      <c r="D39" s="30">
        <v>-9.9999999999997868E-3</v>
      </c>
      <c r="E39" s="41">
        <v>15.012165770571517</v>
      </c>
      <c r="F39" s="41">
        <v>1.7035775127768313E-2</v>
      </c>
      <c r="G39" s="39">
        <v>0.1268342294284821</v>
      </c>
      <c r="M39" s="1"/>
      <c r="N39" s="1"/>
    </row>
    <row r="40" spans="1:14" x14ac:dyDescent="0.3">
      <c r="A40" s="31" t="s">
        <v>1443</v>
      </c>
      <c r="B40" s="30">
        <v>27260</v>
      </c>
      <c r="C40" s="30">
        <v>15.023</v>
      </c>
      <c r="D40" s="30">
        <v>-0.11599999999999966</v>
      </c>
      <c r="E40" s="41">
        <v>14.995129995443749</v>
      </c>
      <c r="F40" s="41">
        <v>1.7035775127768313E-2</v>
      </c>
      <c r="G40" s="39">
        <v>2.7870004556250549E-2</v>
      </c>
      <c r="M40" s="1"/>
      <c r="N40" s="1"/>
    </row>
    <row r="41" spans="1:14" x14ac:dyDescent="0.3">
      <c r="A41" s="31" t="s">
        <v>1444</v>
      </c>
      <c r="B41" s="30">
        <v>27280</v>
      </c>
      <c r="C41" s="30">
        <v>14.987</v>
      </c>
      <c r="D41" s="30">
        <v>-3.5999999999999588E-2</v>
      </c>
      <c r="E41" s="41">
        <v>14.978094220315981</v>
      </c>
      <c r="F41" s="41">
        <v>1.7035775127768313E-2</v>
      </c>
      <c r="G41" s="39">
        <v>8.9057796840190662E-3</v>
      </c>
      <c r="M41" s="1"/>
      <c r="N41" s="1"/>
    </row>
    <row r="42" spans="1:14" x14ac:dyDescent="0.3">
      <c r="A42" s="31" t="s">
        <v>3214</v>
      </c>
      <c r="B42" s="96" t="s">
        <v>3194</v>
      </c>
      <c r="C42" s="97"/>
      <c r="D42" s="97"/>
      <c r="E42" s="97"/>
      <c r="F42" s="97"/>
      <c r="G42" s="98"/>
      <c r="M42" s="1"/>
      <c r="N42" s="1"/>
    </row>
    <row r="43" spans="1:14" x14ac:dyDescent="0.3">
      <c r="A43" s="31" t="s">
        <v>1445</v>
      </c>
      <c r="B43" s="30">
        <v>27300</v>
      </c>
      <c r="C43" s="30">
        <v>14.98</v>
      </c>
      <c r="D43" s="30">
        <v>-6.9999999999996732E-3</v>
      </c>
      <c r="E43" s="41">
        <v>14.961058445188213</v>
      </c>
      <c r="F43" s="41">
        <v>1.7035775127768313E-2</v>
      </c>
      <c r="G43" s="39">
        <v>1.8941554811787498E-2</v>
      </c>
      <c r="M43" s="1"/>
      <c r="N43" s="1"/>
    </row>
    <row r="44" spans="1:14" x14ac:dyDescent="0.3">
      <c r="A44" s="31" t="s">
        <v>1446</v>
      </c>
      <c r="B44" s="30">
        <v>27320</v>
      </c>
      <c r="C44" s="30">
        <v>14.956</v>
      </c>
      <c r="D44" s="30">
        <v>-2.4000000000000909E-2</v>
      </c>
      <c r="E44" s="41">
        <v>14.944022670060445</v>
      </c>
      <c r="F44" s="41">
        <v>1.7035775127768313E-2</v>
      </c>
      <c r="G44" s="39">
        <v>1.1977329939554693E-2</v>
      </c>
      <c r="M44" s="1"/>
      <c r="N44" s="1"/>
    </row>
    <row r="45" spans="1:14" x14ac:dyDescent="0.3">
      <c r="A45" s="31" t="s">
        <v>3219</v>
      </c>
      <c r="B45" s="96" t="s">
        <v>3220</v>
      </c>
      <c r="C45" s="97"/>
      <c r="D45" s="97"/>
      <c r="E45" s="97"/>
      <c r="F45" s="97"/>
      <c r="G45" s="98"/>
      <c r="M45" s="1"/>
      <c r="N45" s="1"/>
    </row>
    <row r="46" spans="1:14" x14ac:dyDescent="0.3">
      <c r="A46" s="31" t="s">
        <v>1447</v>
      </c>
      <c r="B46" s="30">
        <v>27340</v>
      </c>
      <c r="C46" s="30">
        <v>14.882</v>
      </c>
      <c r="D46" s="30">
        <v>-7.3999999999999844E-2</v>
      </c>
      <c r="E46" s="41">
        <v>14.926986894932677</v>
      </c>
      <c r="F46" s="41">
        <v>1.7035775127768313E-2</v>
      </c>
      <c r="G46" s="39">
        <v>-4.4986894932677046E-2</v>
      </c>
      <c r="M46" s="1"/>
      <c r="N46" s="1"/>
    </row>
    <row r="47" spans="1:14" x14ac:dyDescent="0.3">
      <c r="A47" s="31" t="s">
        <v>1448</v>
      </c>
      <c r="B47" s="30">
        <v>27360</v>
      </c>
      <c r="C47" s="30">
        <v>14.865</v>
      </c>
      <c r="D47" s="30">
        <v>-1.699999999999946E-2</v>
      </c>
      <c r="E47" s="41">
        <v>14.909951119804909</v>
      </c>
      <c r="F47" s="41">
        <v>1.7035775127768313E-2</v>
      </c>
      <c r="G47" s="39">
        <v>-4.4951119804908402E-2</v>
      </c>
      <c r="M47" s="1"/>
      <c r="N47" s="1"/>
    </row>
    <row r="48" spans="1:14" x14ac:dyDescent="0.3">
      <c r="A48" s="31" t="s">
        <v>1449</v>
      </c>
      <c r="B48" s="30">
        <v>27380</v>
      </c>
      <c r="C48" s="30">
        <v>14.853999999999999</v>
      </c>
      <c r="D48" s="30">
        <v>-1.1000000000001009E-2</v>
      </c>
      <c r="E48" s="41">
        <v>14.892915344677141</v>
      </c>
      <c r="F48" s="41">
        <v>1.7035775127768313E-2</v>
      </c>
      <c r="G48" s="39">
        <v>-3.8915344677141306E-2</v>
      </c>
      <c r="M48" s="1"/>
      <c r="N48" s="1"/>
    </row>
    <row r="49" spans="1:18" x14ac:dyDescent="0.3">
      <c r="A49" s="31" t="s">
        <v>1450</v>
      </c>
      <c r="B49" s="30">
        <v>27400</v>
      </c>
      <c r="C49" s="30">
        <v>14.84</v>
      </c>
      <c r="D49" s="30">
        <v>-1.3999999999999346E-2</v>
      </c>
      <c r="E49" s="41">
        <v>14.875879569549372</v>
      </c>
      <c r="F49" s="41">
        <v>1.7035775127768313E-2</v>
      </c>
      <c r="G49" s="39">
        <v>-3.5879569549372547E-2</v>
      </c>
      <c r="M49" s="1"/>
      <c r="N49" s="1"/>
    </row>
    <row r="50" spans="1:18" x14ac:dyDescent="0.3">
      <c r="A50" s="31" t="s">
        <v>1451</v>
      </c>
      <c r="B50" s="30">
        <v>27420</v>
      </c>
      <c r="C50" s="30">
        <v>14.837</v>
      </c>
      <c r="D50" s="30">
        <v>-3.0000000000001137E-3</v>
      </c>
      <c r="E50" s="41">
        <v>14.858843794421604</v>
      </c>
      <c r="F50" s="41">
        <v>1.7035775127768313E-2</v>
      </c>
      <c r="G50" s="39">
        <v>-2.1843794421604557E-2</v>
      </c>
      <c r="M50" s="1"/>
      <c r="N50" s="1"/>
    </row>
    <row r="51" spans="1:18" x14ac:dyDescent="0.3">
      <c r="A51" s="31" t="s">
        <v>3221</v>
      </c>
      <c r="B51" s="96" t="s">
        <v>3222</v>
      </c>
      <c r="C51" s="97"/>
      <c r="D51" s="97"/>
      <c r="E51" s="97"/>
      <c r="F51" s="97"/>
      <c r="G51" s="98"/>
      <c r="M51" s="1"/>
      <c r="N51" s="1"/>
    </row>
    <row r="52" spans="1:18" x14ac:dyDescent="0.3">
      <c r="A52" s="31" t="s">
        <v>1452</v>
      </c>
      <c r="B52" s="30">
        <v>27440</v>
      </c>
      <c r="C52" s="30">
        <v>14.826000000000001</v>
      </c>
      <c r="D52" s="30">
        <v>-1.0999999999999233E-2</v>
      </c>
      <c r="E52" s="41">
        <v>14.841808019293836</v>
      </c>
      <c r="F52" s="41">
        <v>1.7035775127768313E-2</v>
      </c>
      <c r="G52" s="39">
        <v>-1.5808019293835684E-2</v>
      </c>
      <c r="M52" s="1"/>
      <c r="N52" s="1"/>
    </row>
    <row r="53" spans="1:18" x14ac:dyDescent="0.3">
      <c r="A53" s="31" t="s">
        <v>1453</v>
      </c>
      <c r="B53" s="30">
        <v>27460</v>
      </c>
      <c r="C53" s="30">
        <v>14.811999999999999</v>
      </c>
      <c r="D53" s="30">
        <v>-1.4000000000001123E-2</v>
      </c>
      <c r="E53" s="41">
        <v>14.824772244166068</v>
      </c>
      <c r="F53" s="41">
        <v>1.7035775127768313E-2</v>
      </c>
      <c r="G53" s="39">
        <v>-1.2772244166068702E-2</v>
      </c>
      <c r="M53" s="1"/>
      <c r="N53" s="1"/>
    </row>
    <row r="54" spans="1:18" x14ac:dyDescent="0.3">
      <c r="A54" s="31" t="s">
        <v>1454</v>
      </c>
      <c r="B54" s="30">
        <v>27480</v>
      </c>
      <c r="C54" s="30">
        <v>14.808</v>
      </c>
      <c r="D54" s="30">
        <v>-3.9999999999995595E-3</v>
      </c>
      <c r="E54" s="41">
        <v>14.8077364690383</v>
      </c>
      <c r="F54" s="41">
        <v>1.7035775127768313E-2</v>
      </c>
      <c r="G54" s="39">
        <v>2.6353096169984269E-4</v>
      </c>
      <c r="M54" s="1"/>
      <c r="N54" s="1"/>
    </row>
    <row r="55" spans="1:18" x14ac:dyDescent="0.3">
      <c r="A55" s="93"/>
      <c r="B55" s="91"/>
      <c r="C55" s="91"/>
      <c r="D55" s="91"/>
      <c r="E55" s="91"/>
      <c r="F55" s="91"/>
      <c r="G55" s="92"/>
      <c r="H55" t="s">
        <v>3224</v>
      </c>
      <c r="M55" s="1"/>
      <c r="N55" s="1"/>
      <c r="O55">
        <v>9.7895252080274105E-5</v>
      </c>
      <c r="P55">
        <v>1.9579050416054823E-3</v>
      </c>
      <c r="Q55" s="30" t="s">
        <v>3200</v>
      </c>
      <c r="R55" s="30">
        <v>10215</v>
      </c>
    </row>
    <row r="56" spans="1:18" x14ac:dyDescent="0.3">
      <c r="A56" s="31" t="s">
        <v>1455</v>
      </c>
      <c r="B56" s="30">
        <v>27500</v>
      </c>
      <c r="C56" s="30">
        <v>14.814</v>
      </c>
      <c r="D56" s="30">
        <v>6.0000000000002274E-3</v>
      </c>
      <c r="E56" s="41">
        <v>14.805778563996695</v>
      </c>
      <c r="F56" s="41">
        <v>1.9579050416054823E-3</v>
      </c>
      <c r="G56" s="39">
        <v>8.2214360033052714E-3</v>
      </c>
      <c r="H56">
        <v>27480</v>
      </c>
      <c r="I56">
        <v>28080</v>
      </c>
      <c r="J56">
        <v>600</v>
      </c>
      <c r="K56">
        <v>14.8077364690383</v>
      </c>
      <c r="L56">
        <v>14.749000000000001</v>
      </c>
      <c r="M56" s="1">
        <v>-5.8736469038299433E-2</v>
      </c>
      <c r="N56" s="1">
        <v>-10215.11864475147</v>
      </c>
      <c r="O56">
        <v>10215</v>
      </c>
    </row>
    <row r="57" spans="1:18" x14ac:dyDescent="0.3">
      <c r="A57" s="31" t="s">
        <v>1456</v>
      </c>
      <c r="B57" s="30">
        <v>27520</v>
      </c>
      <c r="C57" s="30">
        <v>14.794</v>
      </c>
      <c r="D57" s="30">
        <v>-1.9999999999999574E-2</v>
      </c>
      <c r="E57" s="41">
        <v>14.80382065895509</v>
      </c>
      <c r="F57" s="41">
        <v>1.9579050416054823E-3</v>
      </c>
      <c r="G57" s="39">
        <v>-9.820658955089101E-3</v>
      </c>
      <c r="M57" s="1"/>
      <c r="N57" s="1"/>
    </row>
    <row r="58" spans="1:18" x14ac:dyDescent="0.3">
      <c r="A58" s="31" t="s">
        <v>1457</v>
      </c>
      <c r="B58" s="30">
        <v>27540</v>
      </c>
      <c r="C58" s="30">
        <v>14.776</v>
      </c>
      <c r="D58" s="30">
        <v>-1.8000000000000682E-2</v>
      </c>
      <c r="E58" s="41">
        <v>14.801862753913484</v>
      </c>
      <c r="F58" s="41">
        <v>1.9579050416054823E-3</v>
      </c>
      <c r="G58" s="39">
        <v>-2.5862753913484582E-2</v>
      </c>
      <c r="M58" s="1"/>
      <c r="N58" s="1"/>
    </row>
    <row r="59" spans="1:18" x14ac:dyDescent="0.3">
      <c r="A59" s="31" t="s">
        <v>1458</v>
      </c>
      <c r="B59" s="30">
        <v>27560</v>
      </c>
      <c r="C59" s="30">
        <v>14.749000000000001</v>
      </c>
      <c r="D59" s="30">
        <v>-2.6999999999999247E-2</v>
      </c>
      <c r="E59" s="41">
        <v>14.799904848871879</v>
      </c>
      <c r="F59" s="41">
        <v>1.9579050416054823E-3</v>
      </c>
      <c r="G59" s="39">
        <v>-5.0904848871878627E-2</v>
      </c>
      <c r="M59" s="1"/>
      <c r="N59" s="1"/>
    </row>
    <row r="60" spans="1:18" x14ac:dyDescent="0.3">
      <c r="A60" s="31" t="s">
        <v>1459</v>
      </c>
      <c r="B60" s="30">
        <v>27580</v>
      </c>
      <c r="C60" s="30">
        <v>14.744999999999999</v>
      </c>
      <c r="D60" s="30">
        <v>-4.0000000000013358E-3</v>
      </c>
      <c r="E60" s="41">
        <v>14.797946943830274</v>
      </c>
      <c r="F60" s="41">
        <v>1.9579050416054823E-3</v>
      </c>
      <c r="G60" s="39">
        <v>-5.2946943830274762E-2</v>
      </c>
      <c r="M60" s="1"/>
      <c r="N60" s="1"/>
    </row>
    <row r="61" spans="1:18" x14ac:dyDescent="0.3">
      <c r="A61" s="31" t="s">
        <v>1460</v>
      </c>
      <c r="B61" s="30">
        <v>27600</v>
      </c>
      <c r="C61" s="30">
        <v>14.746</v>
      </c>
      <c r="D61" s="30">
        <v>1.0000000000012221E-3</v>
      </c>
      <c r="E61" s="41">
        <v>14.795989038788669</v>
      </c>
      <c r="F61" s="41">
        <v>1.9579050416054823E-3</v>
      </c>
      <c r="G61" s="39">
        <v>-4.9989038788668338E-2</v>
      </c>
      <c r="M61" s="1"/>
      <c r="N61" s="1"/>
    </row>
    <row r="62" spans="1:18" x14ac:dyDescent="0.3">
      <c r="A62" s="31" t="s">
        <v>1461</v>
      </c>
      <c r="B62" s="30">
        <v>27620</v>
      </c>
      <c r="C62" s="30">
        <v>14.776</v>
      </c>
      <c r="D62" s="30">
        <v>2.9999999999999361E-2</v>
      </c>
      <c r="E62" s="41">
        <v>14.794031133747064</v>
      </c>
      <c r="F62" s="41">
        <v>1.9579050416054823E-3</v>
      </c>
      <c r="G62" s="39">
        <v>-1.8031133747063777E-2</v>
      </c>
      <c r="M62" s="1"/>
      <c r="N62" s="1"/>
    </row>
    <row r="63" spans="1:18" x14ac:dyDescent="0.3">
      <c r="A63" s="31" t="s">
        <v>1462</v>
      </c>
      <c r="B63" s="30">
        <v>27640</v>
      </c>
      <c r="C63" s="30">
        <v>14.765000000000001</v>
      </c>
      <c r="D63" s="30">
        <v>-1.0999999999999233E-2</v>
      </c>
      <c r="E63" s="41">
        <v>14.792073228705458</v>
      </c>
      <c r="F63" s="41">
        <v>1.9579050416054823E-3</v>
      </c>
      <c r="G63" s="39">
        <v>-2.7073228705457808E-2</v>
      </c>
      <c r="M63" s="1"/>
      <c r="N63" s="1"/>
    </row>
    <row r="64" spans="1:18" x14ac:dyDescent="0.3">
      <c r="A64" s="31" t="s">
        <v>1463</v>
      </c>
      <c r="B64" s="30">
        <v>27660</v>
      </c>
      <c r="C64" s="30">
        <v>14.768000000000001</v>
      </c>
      <c r="D64" s="30">
        <v>3.0000000000001137E-3</v>
      </c>
      <c r="E64" s="41">
        <v>14.790115323663853</v>
      </c>
      <c r="F64" s="41">
        <v>1.9579050416054823E-3</v>
      </c>
      <c r="G64" s="39">
        <v>-2.2115323663852493E-2</v>
      </c>
      <c r="M64" s="1"/>
      <c r="N64" s="1"/>
    </row>
    <row r="65" spans="1:14" x14ac:dyDescent="0.3">
      <c r="A65" s="31" t="s">
        <v>1464</v>
      </c>
      <c r="B65" s="30">
        <v>27680</v>
      </c>
      <c r="C65" s="30">
        <v>14.769</v>
      </c>
      <c r="D65" s="30">
        <v>9.9999999999944578E-4</v>
      </c>
      <c r="E65" s="41">
        <v>14.788157418622248</v>
      </c>
      <c r="F65" s="41">
        <v>1.9579050416054823E-3</v>
      </c>
      <c r="G65" s="39">
        <v>-1.9157418622247846E-2</v>
      </c>
      <c r="M65" s="1"/>
      <c r="N65" s="1"/>
    </row>
    <row r="66" spans="1:14" x14ac:dyDescent="0.3">
      <c r="A66" s="31" t="s">
        <v>1465</v>
      </c>
      <c r="B66" s="30">
        <v>27700</v>
      </c>
      <c r="C66" s="30">
        <v>14.763999999999999</v>
      </c>
      <c r="D66" s="30">
        <v>-5.0000000000007816E-3</v>
      </c>
      <c r="E66" s="41">
        <v>14.786199513580643</v>
      </c>
      <c r="F66" s="41">
        <v>1.9579050416054823E-3</v>
      </c>
      <c r="G66" s="39">
        <v>-2.2199513580643426E-2</v>
      </c>
      <c r="M66" s="1"/>
      <c r="N66" s="1"/>
    </row>
    <row r="67" spans="1:14" x14ac:dyDescent="0.3">
      <c r="A67" s="31" t="s">
        <v>1466</v>
      </c>
      <c r="B67" s="30">
        <v>27720</v>
      </c>
      <c r="C67" s="30">
        <v>14.78</v>
      </c>
      <c r="D67" s="30">
        <v>1.6000000000000014E-2</v>
      </c>
      <c r="E67" s="41">
        <v>14.784241608539038</v>
      </c>
      <c r="F67" s="41">
        <v>1.9579050416054823E-3</v>
      </c>
      <c r="G67" s="39">
        <v>-4.2416085390382108E-3</v>
      </c>
      <c r="M67" s="1"/>
      <c r="N67" s="1"/>
    </row>
    <row r="68" spans="1:14" x14ac:dyDescent="0.3">
      <c r="A68" s="31" t="s">
        <v>1467</v>
      </c>
      <c r="B68" s="30">
        <v>27740</v>
      </c>
      <c r="C68" s="30">
        <v>14.803000000000001</v>
      </c>
      <c r="D68" s="30">
        <v>2.3000000000001464E-2</v>
      </c>
      <c r="E68" s="41">
        <v>14.782283703497432</v>
      </c>
      <c r="F68" s="41">
        <v>1.9579050416054823E-3</v>
      </c>
      <c r="G68" s="39">
        <v>2.0716296502568454E-2</v>
      </c>
      <c r="M68" s="1"/>
      <c r="N68" s="1"/>
    </row>
    <row r="69" spans="1:14" x14ac:dyDescent="0.3">
      <c r="A69" s="31" t="s">
        <v>1468</v>
      </c>
      <c r="B69" s="30">
        <v>27760</v>
      </c>
      <c r="C69" s="30">
        <v>14.791</v>
      </c>
      <c r="D69" s="30">
        <v>-1.2000000000000455E-2</v>
      </c>
      <c r="E69" s="41">
        <v>14.780325798455827</v>
      </c>
      <c r="F69" s="41">
        <v>1.9579050416054823E-3</v>
      </c>
      <c r="G69" s="39">
        <v>1.0674201544173201E-2</v>
      </c>
      <c r="M69" s="1"/>
      <c r="N69" s="1"/>
    </row>
    <row r="70" spans="1:14" x14ac:dyDescent="0.3">
      <c r="A70" s="31" t="s">
        <v>1469</v>
      </c>
      <c r="B70" s="30">
        <v>27780</v>
      </c>
      <c r="C70" s="30">
        <v>14.782999999999999</v>
      </c>
      <c r="D70" s="30">
        <v>-8.0000000000008953E-3</v>
      </c>
      <c r="E70" s="41">
        <v>14.778367893414222</v>
      </c>
      <c r="F70" s="41">
        <v>1.9579050416054823E-3</v>
      </c>
      <c r="G70" s="39">
        <v>4.6321065857775068E-3</v>
      </c>
      <c r="M70" s="1"/>
      <c r="N70" s="1"/>
    </row>
    <row r="71" spans="1:14" x14ac:dyDescent="0.3">
      <c r="A71" s="31" t="s">
        <v>1470</v>
      </c>
      <c r="B71" s="30">
        <v>27800</v>
      </c>
      <c r="C71" s="30">
        <v>14.773999999999999</v>
      </c>
      <c r="D71" s="30">
        <v>-9.0000000000003411E-3</v>
      </c>
      <c r="E71" s="41">
        <v>14.776409988372617</v>
      </c>
      <c r="F71" s="41">
        <v>1.9579050416054823E-3</v>
      </c>
      <c r="G71" s="39">
        <v>-2.409988372617633E-3</v>
      </c>
      <c r="M71" s="1"/>
      <c r="N71" s="1"/>
    </row>
    <row r="72" spans="1:14" x14ac:dyDescent="0.3">
      <c r="A72" s="31" t="s">
        <v>1471</v>
      </c>
      <c r="B72" s="30">
        <v>27820</v>
      </c>
      <c r="C72" s="30">
        <v>14.731</v>
      </c>
      <c r="D72" s="30">
        <v>-4.2999999999999261E-2</v>
      </c>
      <c r="E72" s="41">
        <v>14.774452083331012</v>
      </c>
      <c r="F72" s="41">
        <v>1.9579050416054823E-3</v>
      </c>
      <c r="G72" s="39">
        <v>-4.3452083331011693E-2</v>
      </c>
      <c r="M72" s="1"/>
      <c r="N72" s="1"/>
    </row>
    <row r="73" spans="1:14" x14ac:dyDescent="0.3">
      <c r="A73" s="31" t="s">
        <v>1472</v>
      </c>
      <c r="B73" s="30">
        <v>27840</v>
      </c>
      <c r="C73" s="30">
        <v>14.718999999999999</v>
      </c>
      <c r="D73" s="30">
        <v>-1.2000000000000455E-2</v>
      </c>
      <c r="E73" s="41">
        <v>14.772494178289406</v>
      </c>
      <c r="F73" s="41">
        <v>1.9579050416054823E-3</v>
      </c>
      <c r="G73" s="39">
        <v>-5.3494178289406946E-2</v>
      </c>
      <c r="M73" s="1"/>
      <c r="N73" s="1"/>
    </row>
    <row r="74" spans="1:14" x14ac:dyDescent="0.3">
      <c r="A74" s="31" t="s">
        <v>1473</v>
      </c>
      <c r="B74" s="30">
        <v>27860</v>
      </c>
      <c r="C74" s="30">
        <v>14.711</v>
      </c>
      <c r="D74" s="30">
        <v>-7.9999999999991189E-3</v>
      </c>
      <c r="E74" s="41">
        <v>14.770536273247801</v>
      </c>
      <c r="F74" s="41">
        <v>1.9579050416054823E-3</v>
      </c>
      <c r="G74" s="39">
        <v>-5.9536273247800864E-2</v>
      </c>
      <c r="M74" s="1"/>
      <c r="N74" s="1"/>
    </row>
    <row r="75" spans="1:14" x14ac:dyDescent="0.3">
      <c r="A75" s="31" t="s">
        <v>1474</v>
      </c>
      <c r="B75" s="30">
        <v>27880</v>
      </c>
      <c r="C75" s="30">
        <v>14.727</v>
      </c>
      <c r="D75" s="30">
        <v>1.6000000000000014E-2</v>
      </c>
      <c r="E75" s="41">
        <v>14.768578368206196</v>
      </c>
      <c r="F75" s="41">
        <v>1.9579050416054823E-3</v>
      </c>
      <c r="G75" s="39">
        <v>-4.1578368206195648E-2</v>
      </c>
      <c r="M75" s="1"/>
      <c r="N75" s="1"/>
    </row>
    <row r="76" spans="1:14" x14ac:dyDescent="0.3">
      <c r="A76" s="31" t="s">
        <v>1475</v>
      </c>
      <c r="B76" s="30">
        <v>27900</v>
      </c>
      <c r="C76" s="30">
        <v>14.749000000000001</v>
      </c>
      <c r="D76" s="30">
        <v>2.2000000000000242E-2</v>
      </c>
      <c r="E76" s="41">
        <v>14.766620463164591</v>
      </c>
      <c r="F76" s="41">
        <v>1.9579050416054823E-3</v>
      </c>
      <c r="G76" s="39">
        <v>-1.7620463164590205E-2</v>
      </c>
      <c r="M76" s="1"/>
      <c r="N76" s="1"/>
    </row>
    <row r="77" spans="1:14" x14ac:dyDescent="0.3">
      <c r="A77" s="31" t="s">
        <v>1476</v>
      </c>
      <c r="B77" s="30">
        <v>27920</v>
      </c>
      <c r="C77" s="30">
        <v>14.67</v>
      </c>
      <c r="D77" s="30">
        <v>-7.9000000000000625E-2</v>
      </c>
      <c r="E77" s="41">
        <v>14.764662558122986</v>
      </c>
      <c r="F77" s="41">
        <v>1.9579050416054823E-3</v>
      </c>
      <c r="G77" s="39">
        <v>-9.4662558122985629E-2</v>
      </c>
      <c r="M77" s="1"/>
      <c r="N77" s="1"/>
    </row>
    <row r="78" spans="1:14" x14ac:dyDescent="0.3">
      <c r="A78" s="31" t="s">
        <v>1477</v>
      </c>
      <c r="B78" s="30">
        <v>27940</v>
      </c>
      <c r="C78" s="30">
        <v>14.621</v>
      </c>
      <c r="D78" s="30">
        <v>-4.8999999999999488E-2</v>
      </c>
      <c r="E78" s="41">
        <v>14.76270465308138</v>
      </c>
      <c r="F78" s="41">
        <v>1.9579050416054823E-3</v>
      </c>
      <c r="G78" s="39">
        <v>-0.14170465308137992</v>
      </c>
      <c r="M78" s="1"/>
      <c r="N78" s="1"/>
    </row>
    <row r="79" spans="1:14" x14ac:dyDescent="0.3">
      <c r="A79" s="31" t="s">
        <v>1478</v>
      </c>
      <c r="B79" s="30">
        <v>27960</v>
      </c>
      <c r="C79" s="30">
        <v>14.614000000000001</v>
      </c>
      <c r="D79" s="30">
        <v>-6.9999999999996732E-3</v>
      </c>
      <c r="E79" s="41">
        <v>14.760746748039775</v>
      </c>
      <c r="F79" s="41">
        <v>1.9579050416054823E-3</v>
      </c>
      <c r="G79" s="39">
        <v>-0.14674674803977439</v>
      </c>
      <c r="M79" s="1"/>
      <c r="N79" s="1"/>
    </row>
    <row r="80" spans="1:14" x14ac:dyDescent="0.3">
      <c r="A80" s="31" t="s">
        <v>1479</v>
      </c>
      <c r="B80" s="30">
        <v>27980</v>
      </c>
      <c r="C80" s="30">
        <v>14.617000000000001</v>
      </c>
      <c r="D80" s="30">
        <v>3.0000000000001137E-3</v>
      </c>
      <c r="E80" s="41">
        <v>14.75878884299817</v>
      </c>
      <c r="F80" s="41">
        <v>1.9579050416054823E-3</v>
      </c>
      <c r="G80" s="39">
        <v>-0.14178884299816907</v>
      </c>
      <c r="M80" s="1"/>
      <c r="N80" s="1"/>
    </row>
    <row r="81" spans="1:18" x14ac:dyDescent="0.3">
      <c r="A81" s="31" t="s">
        <v>1480</v>
      </c>
      <c r="B81" s="90"/>
      <c r="C81" s="91"/>
      <c r="D81" s="91"/>
      <c r="E81" s="91"/>
      <c r="F81" s="91"/>
      <c r="G81" s="92"/>
      <c r="M81" s="1"/>
      <c r="N81" s="1"/>
    </row>
    <row r="82" spans="1:18" x14ac:dyDescent="0.3">
      <c r="A82" s="31" t="s">
        <v>1481</v>
      </c>
      <c r="B82" s="30">
        <v>28000</v>
      </c>
      <c r="C82" s="30">
        <v>14.657999999999999</v>
      </c>
      <c r="D82" s="30">
        <v>4.0999999999998593E-2</v>
      </c>
      <c r="E82" s="41">
        <v>14.756830937956565</v>
      </c>
      <c r="F82" s="41">
        <v>1.9579050416054823E-3</v>
      </c>
      <c r="G82" s="39">
        <v>-9.8830937956565279E-2</v>
      </c>
      <c r="M82" s="1"/>
      <c r="N82" s="1"/>
    </row>
    <row r="83" spans="1:18" x14ac:dyDescent="0.3">
      <c r="A83" s="31" t="s">
        <v>1482</v>
      </c>
      <c r="B83" s="30">
        <v>28020</v>
      </c>
      <c r="C83" s="30">
        <v>14.71</v>
      </c>
      <c r="D83" s="30">
        <v>5.2000000000001378E-2</v>
      </c>
      <c r="E83" s="41">
        <v>14.75487303291496</v>
      </c>
      <c r="F83" s="41">
        <v>1.9579050416054823E-3</v>
      </c>
      <c r="G83" s="39">
        <v>-4.4873032914958699E-2</v>
      </c>
      <c r="M83" s="1"/>
      <c r="N83" s="1"/>
    </row>
    <row r="84" spans="1:18" x14ac:dyDescent="0.3">
      <c r="A84" s="31" t="s">
        <v>1483</v>
      </c>
      <c r="B84" s="30">
        <v>28040</v>
      </c>
      <c r="C84" s="30">
        <v>14.734999999999999</v>
      </c>
      <c r="D84" s="30">
        <v>2.4999999999998579E-2</v>
      </c>
      <c r="E84" s="41">
        <v>14.752915127873354</v>
      </c>
      <c r="F84" s="41">
        <v>1.9579050416054823E-3</v>
      </c>
      <c r="G84" s="39">
        <v>-1.7915127873354919E-2</v>
      </c>
      <c r="M84" s="1"/>
      <c r="N84" s="1"/>
    </row>
    <row r="85" spans="1:18" x14ac:dyDescent="0.3">
      <c r="A85" s="31" t="s">
        <v>1484</v>
      </c>
      <c r="B85" s="30">
        <v>28060</v>
      </c>
      <c r="C85" s="30">
        <v>14.75</v>
      </c>
      <c r="D85" s="30">
        <v>1.5000000000000568E-2</v>
      </c>
      <c r="E85" s="41">
        <v>14.750957222831749</v>
      </c>
      <c r="F85" s="41">
        <v>1.9579050416054823E-3</v>
      </c>
      <c r="G85" s="39">
        <v>-9.5722283174914935E-4</v>
      </c>
      <c r="M85" s="1"/>
      <c r="N85" s="1"/>
    </row>
    <row r="86" spans="1:18" x14ac:dyDescent="0.3">
      <c r="A86" s="31" t="s">
        <v>1485</v>
      </c>
      <c r="B86" s="30">
        <v>28080</v>
      </c>
      <c r="C86" s="30">
        <v>14.749000000000001</v>
      </c>
      <c r="D86" s="30">
        <v>-9.9999999999944578E-4</v>
      </c>
      <c r="E86" s="41">
        <v>14.748999317790144</v>
      </c>
      <c r="F86" s="41">
        <v>1.9579050416054823E-3</v>
      </c>
      <c r="G86" s="39">
        <v>6.8220985660616407E-7</v>
      </c>
      <c r="M86" s="1"/>
      <c r="N86" s="1"/>
    </row>
    <row r="87" spans="1:18" x14ac:dyDescent="0.3">
      <c r="A87" s="93"/>
      <c r="B87" s="91"/>
      <c r="C87" s="91"/>
      <c r="D87" s="91"/>
      <c r="E87" s="91"/>
      <c r="F87" s="91"/>
      <c r="G87" s="92"/>
      <c r="H87" t="s">
        <v>3229</v>
      </c>
      <c r="M87" s="1"/>
      <c r="N87" s="1"/>
      <c r="O87">
        <v>3.1075201988812925E-4</v>
      </c>
      <c r="P87">
        <v>6.2150403977625848E-3</v>
      </c>
      <c r="Q87" s="30" t="s">
        <v>3202</v>
      </c>
      <c r="R87" s="30">
        <v>3218</v>
      </c>
    </row>
    <row r="88" spans="1:18" x14ac:dyDescent="0.3">
      <c r="A88" s="31" t="s">
        <v>1486</v>
      </c>
      <c r="B88" s="30">
        <v>28100</v>
      </c>
      <c r="C88" s="30">
        <v>14.836</v>
      </c>
      <c r="D88" s="30">
        <v>8.6999999999999744E-2</v>
      </c>
      <c r="E88" s="41">
        <v>14.755214358187906</v>
      </c>
      <c r="F88" s="41">
        <v>6.2150403977625848E-3</v>
      </c>
      <c r="G88" s="39">
        <v>8.07856418120938E-2</v>
      </c>
      <c r="H88">
        <v>28080</v>
      </c>
      <c r="I88">
        <v>28360</v>
      </c>
      <c r="J88">
        <v>280</v>
      </c>
      <c r="K88">
        <v>14.748999317790144</v>
      </c>
      <c r="L88">
        <v>14.836</v>
      </c>
      <c r="M88" s="1">
        <v>8.700068220985635E-2</v>
      </c>
      <c r="N88" s="1">
        <v>3218.3655678079117</v>
      </c>
      <c r="O88">
        <v>3218</v>
      </c>
    </row>
    <row r="89" spans="1:18" x14ac:dyDescent="0.3">
      <c r="A89" s="31" t="s">
        <v>1487</v>
      </c>
      <c r="B89" s="30">
        <v>28120</v>
      </c>
      <c r="C89" s="30">
        <v>14.864000000000001</v>
      </c>
      <c r="D89" s="30">
        <v>2.8000000000000469E-2</v>
      </c>
      <c r="E89" s="41">
        <v>14.761429398585669</v>
      </c>
      <c r="F89" s="41">
        <v>6.2150403977625848E-3</v>
      </c>
      <c r="G89" s="39">
        <v>0.10257060141433172</v>
      </c>
      <c r="M89" s="1"/>
      <c r="N89" s="1"/>
    </row>
    <row r="90" spans="1:18" x14ac:dyDescent="0.3">
      <c r="A90" s="31" t="s">
        <v>1488</v>
      </c>
      <c r="B90" s="30">
        <v>28140</v>
      </c>
      <c r="C90" s="30">
        <v>14.887</v>
      </c>
      <c r="D90" s="30">
        <v>2.2999999999999687E-2</v>
      </c>
      <c r="E90" s="41">
        <v>14.767644438983432</v>
      </c>
      <c r="F90" s="41">
        <v>6.2150403977625848E-3</v>
      </c>
      <c r="G90" s="39">
        <v>0.11935556101656886</v>
      </c>
      <c r="M90" s="1"/>
      <c r="N90" s="1"/>
    </row>
    <row r="91" spans="1:18" x14ac:dyDescent="0.3">
      <c r="A91" s="31" t="s">
        <v>1489</v>
      </c>
      <c r="B91" s="30">
        <v>28160</v>
      </c>
      <c r="C91" s="30">
        <v>14.914</v>
      </c>
      <c r="D91" s="30">
        <v>2.6999999999999247E-2</v>
      </c>
      <c r="E91" s="41">
        <v>14.773859479381194</v>
      </c>
      <c r="F91" s="41">
        <v>6.2150403977625848E-3</v>
      </c>
      <c r="G91" s="39">
        <v>0.14014052061880555</v>
      </c>
      <c r="M91" s="1"/>
      <c r="N91" s="1"/>
    </row>
    <row r="92" spans="1:18" x14ac:dyDescent="0.3">
      <c r="A92" s="31" t="s">
        <v>1490</v>
      </c>
      <c r="B92" s="30">
        <v>28180</v>
      </c>
      <c r="C92" s="30">
        <v>14.946</v>
      </c>
      <c r="D92" s="30">
        <v>3.2000000000000028E-2</v>
      </c>
      <c r="E92" s="41">
        <v>14.780074519778957</v>
      </c>
      <c r="F92" s="41">
        <v>6.2150403977625848E-3</v>
      </c>
      <c r="G92" s="39">
        <v>0.16592548022104303</v>
      </c>
      <c r="M92" s="1"/>
      <c r="N92" s="1"/>
    </row>
    <row r="93" spans="1:18" x14ac:dyDescent="0.3">
      <c r="A93" s="31" t="s">
        <v>1491</v>
      </c>
      <c r="B93" s="30">
        <v>28200</v>
      </c>
      <c r="C93" s="30">
        <v>14.965999999999999</v>
      </c>
      <c r="D93" s="30">
        <v>1.9999999999999574E-2</v>
      </c>
      <c r="E93" s="41">
        <v>14.786289560176719</v>
      </c>
      <c r="F93" s="41">
        <v>6.2150403977625848E-3</v>
      </c>
      <c r="G93" s="39">
        <v>0.17971043982328005</v>
      </c>
      <c r="M93" s="1"/>
      <c r="N93" s="1"/>
    </row>
    <row r="94" spans="1:18" x14ac:dyDescent="0.3">
      <c r="A94" s="31" t="s">
        <v>3227</v>
      </c>
      <c r="B94" s="96" t="s">
        <v>3228</v>
      </c>
      <c r="C94" s="97"/>
      <c r="D94" s="97"/>
      <c r="E94" s="97"/>
      <c r="F94" s="97"/>
      <c r="G94" s="98"/>
      <c r="M94" s="1"/>
      <c r="N94" s="1"/>
    </row>
    <row r="95" spans="1:18" x14ac:dyDescent="0.3">
      <c r="A95" s="31" t="s">
        <v>1492</v>
      </c>
      <c r="B95" s="30">
        <v>28220</v>
      </c>
      <c r="C95" s="30">
        <v>14.946</v>
      </c>
      <c r="D95" s="30">
        <v>-1.9999999999999574E-2</v>
      </c>
      <c r="E95" s="41">
        <v>14.792504600574482</v>
      </c>
      <c r="F95" s="41">
        <v>6.2150403977625848E-3</v>
      </c>
      <c r="G95" s="39">
        <v>0.15349539942551793</v>
      </c>
      <c r="M95" s="1"/>
      <c r="N95" s="1"/>
    </row>
    <row r="96" spans="1:18" x14ac:dyDescent="0.3">
      <c r="A96" s="31" t="s">
        <v>1493</v>
      </c>
      <c r="B96" s="30">
        <v>28240</v>
      </c>
      <c r="C96" s="30">
        <v>14.920999999999999</v>
      </c>
      <c r="D96" s="30">
        <v>-2.5000000000000355E-2</v>
      </c>
      <c r="E96" s="41">
        <v>14.798719640972244</v>
      </c>
      <c r="F96" s="41">
        <v>6.2150403977625848E-3</v>
      </c>
      <c r="G96" s="39">
        <v>0.12228035902775503</v>
      </c>
      <c r="M96" s="1"/>
      <c r="N96" s="1"/>
    </row>
    <row r="97" spans="1:18" x14ac:dyDescent="0.3">
      <c r="A97" s="31" t="s">
        <v>1494</v>
      </c>
      <c r="B97" s="30">
        <v>28260</v>
      </c>
      <c r="C97" s="30">
        <v>14.878</v>
      </c>
      <c r="D97" s="30">
        <v>-4.2999999999999261E-2</v>
      </c>
      <c r="E97" s="41">
        <v>14.804934681370007</v>
      </c>
      <c r="F97" s="41">
        <v>6.2150403977625848E-3</v>
      </c>
      <c r="G97" s="39">
        <v>7.3065318629993214E-2</v>
      </c>
      <c r="M97" s="1"/>
      <c r="N97" s="1"/>
    </row>
    <row r="98" spans="1:18" x14ac:dyDescent="0.3">
      <c r="A98" s="31" t="s">
        <v>1495</v>
      </c>
      <c r="B98" s="30">
        <v>28280</v>
      </c>
      <c r="C98" s="30">
        <v>14.863</v>
      </c>
      <c r="D98" s="30">
        <v>-1.5000000000000568E-2</v>
      </c>
      <c r="E98" s="41">
        <v>14.811149721767769</v>
      </c>
      <c r="F98" s="41">
        <v>6.2150403977625848E-3</v>
      </c>
      <c r="G98" s="39">
        <v>5.1850278232230096E-2</v>
      </c>
      <c r="M98" s="1"/>
      <c r="N98" s="1"/>
    </row>
    <row r="99" spans="1:18" x14ac:dyDescent="0.3">
      <c r="A99" s="31" t="s">
        <v>1496</v>
      </c>
      <c r="B99" s="30">
        <v>28300</v>
      </c>
      <c r="C99" s="30">
        <v>14.853</v>
      </c>
      <c r="D99" s="30">
        <v>-9.9999999999997868E-3</v>
      </c>
      <c r="E99" s="41">
        <v>14.817364762165532</v>
      </c>
      <c r="F99" s="41">
        <v>6.2150403977625848E-3</v>
      </c>
      <c r="G99" s="39">
        <v>3.5635237834467759E-2</v>
      </c>
      <c r="M99" s="1"/>
      <c r="N99" s="1"/>
    </row>
    <row r="100" spans="1:18" x14ac:dyDescent="0.3">
      <c r="A100" s="31" t="s">
        <v>1497</v>
      </c>
      <c r="B100" s="30">
        <v>28320</v>
      </c>
      <c r="C100" s="30">
        <v>14.811999999999999</v>
      </c>
      <c r="D100" s="30">
        <v>-4.1000000000000369E-2</v>
      </c>
      <c r="E100" s="41">
        <v>14.823579802563295</v>
      </c>
      <c r="F100" s="41">
        <v>6.2150403977625848E-3</v>
      </c>
      <c r="G100" s="39">
        <v>-1.1579802563295161E-2</v>
      </c>
      <c r="M100" s="1"/>
      <c r="N100" s="1"/>
    </row>
    <row r="101" spans="1:18" x14ac:dyDescent="0.3">
      <c r="A101" s="31" t="s">
        <v>1498</v>
      </c>
      <c r="B101" s="30">
        <v>28340</v>
      </c>
      <c r="C101" s="30">
        <v>14.813000000000001</v>
      </c>
      <c r="D101" s="30">
        <v>1.0000000000012221E-3</v>
      </c>
      <c r="E101" s="41">
        <v>14.829794842961057</v>
      </c>
      <c r="F101" s="41">
        <v>6.2150403977625848E-3</v>
      </c>
      <c r="G101" s="39">
        <v>-1.6794842961056489E-2</v>
      </c>
      <c r="M101" s="1"/>
      <c r="N101" s="1"/>
    </row>
    <row r="102" spans="1:18" x14ac:dyDescent="0.3">
      <c r="A102" s="31" t="s">
        <v>1499</v>
      </c>
      <c r="B102" s="30">
        <v>28360</v>
      </c>
      <c r="C102" s="30">
        <v>14.836</v>
      </c>
      <c r="D102" s="30">
        <v>2.2999999999999687E-2</v>
      </c>
      <c r="E102" s="41">
        <v>14.83600988335882</v>
      </c>
      <c r="F102" s="41">
        <v>6.2150403977625848E-3</v>
      </c>
      <c r="G102" s="39">
        <v>-9.8833588193514288E-6</v>
      </c>
      <c r="M102" s="1"/>
      <c r="N102" s="1"/>
    </row>
    <row r="103" spans="1:18" x14ac:dyDescent="0.3">
      <c r="A103" s="93"/>
      <c r="B103" s="91"/>
      <c r="C103" s="91"/>
      <c r="D103" s="91"/>
      <c r="E103" s="91"/>
      <c r="F103" s="91"/>
      <c r="G103" s="92"/>
      <c r="H103" t="s">
        <v>3288</v>
      </c>
      <c r="M103" s="1"/>
      <c r="N103" s="1"/>
      <c r="O103">
        <v>7.3421439060205576E-4</v>
      </c>
      <c r="P103">
        <v>1.4684287812041116E-2</v>
      </c>
      <c r="Q103" s="30" t="s">
        <v>3200</v>
      </c>
      <c r="R103" s="30">
        <v>1362</v>
      </c>
    </row>
    <row r="104" spans="1:18" x14ac:dyDescent="0.3">
      <c r="A104" s="31" t="s">
        <v>1500</v>
      </c>
      <c r="B104" s="30">
        <v>28380</v>
      </c>
      <c r="C104" s="30">
        <v>14.865</v>
      </c>
      <c r="D104" s="30">
        <v>2.8999999999999915E-2</v>
      </c>
      <c r="E104" s="41">
        <v>14.821325595546778</v>
      </c>
      <c r="F104" s="41">
        <v>1.4684287812041116E-2</v>
      </c>
      <c r="G104" s="39">
        <v>4.3674404453222238E-2</v>
      </c>
      <c r="H104">
        <v>28360</v>
      </c>
      <c r="I104">
        <v>28680</v>
      </c>
      <c r="J104">
        <v>320</v>
      </c>
      <c r="K104">
        <v>14.83600988335882</v>
      </c>
      <c r="L104">
        <v>14.601000000000001</v>
      </c>
      <c r="M104" s="1">
        <v>-0.23500988335881878</v>
      </c>
      <c r="N104" s="1">
        <v>-1361.6448611712906</v>
      </c>
      <c r="O104">
        <v>1362</v>
      </c>
    </row>
    <row r="105" spans="1:18" x14ac:dyDescent="0.3">
      <c r="A105" s="31" t="s">
        <v>1501</v>
      </c>
      <c r="B105" s="30">
        <v>28400</v>
      </c>
      <c r="C105" s="30">
        <v>14.848000000000001</v>
      </c>
      <c r="D105" s="30">
        <v>-1.699999999999946E-2</v>
      </c>
      <c r="E105" s="41">
        <v>14.806641307734736</v>
      </c>
      <c r="F105" s="41">
        <v>1.4684287812041116E-2</v>
      </c>
      <c r="G105" s="39">
        <v>4.1358692265264452E-2</v>
      </c>
      <c r="M105" s="1"/>
      <c r="N105" s="1"/>
    </row>
    <row r="106" spans="1:18" x14ac:dyDescent="0.3">
      <c r="A106" s="31" t="s">
        <v>3225</v>
      </c>
      <c r="B106" s="96" t="s">
        <v>3226</v>
      </c>
      <c r="C106" s="97"/>
      <c r="D106" s="97"/>
      <c r="E106" s="97"/>
      <c r="F106" s="97"/>
      <c r="G106" s="98"/>
      <c r="M106" s="1"/>
      <c r="N106" s="1"/>
    </row>
    <row r="107" spans="1:18" x14ac:dyDescent="0.3">
      <c r="A107" s="31" t="s">
        <v>1502</v>
      </c>
      <c r="B107" s="30">
        <v>28420</v>
      </c>
      <c r="C107" s="30">
        <v>14.853</v>
      </c>
      <c r="D107" s="30">
        <v>4.9999999999990052E-3</v>
      </c>
      <c r="E107" s="41">
        <v>14.791957019922695</v>
      </c>
      <c r="F107" s="41">
        <v>1.4684287812041116E-2</v>
      </c>
      <c r="G107" s="39">
        <v>6.1042980077305131E-2</v>
      </c>
      <c r="M107" s="1"/>
      <c r="N107" s="1"/>
    </row>
    <row r="108" spans="1:18" x14ac:dyDescent="0.3">
      <c r="A108" s="31" t="s">
        <v>1503</v>
      </c>
      <c r="B108" s="30">
        <v>28440</v>
      </c>
      <c r="C108" s="30">
        <v>14.864000000000001</v>
      </c>
      <c r="D108" s="30">
        <v>1.1000000000001009E-2</v>
      </c>
      <c r="E108" s="41">
        <v>14.777272732110653</v>
      </c>
      <c r="F108" s="41">
        <v>1.4684287812041116E-2</v>
      </c>
      <c r="G108" s="39">
        <v>8.6727267889347814E-2</v>
      </c>
      <c r="M108" s="1"/>
      <c r="N108" s="1"/>
    </row>
    <row r="109" spans="1:18" x14ac:dyDescent="0.3">
      <c r="A109" s="31" t="s">
        <v>1504</v>
      </c>
      <c r="B109" s="30">
        <v>28460</v>
      </c>
      <c r="C109" s="30">
        <v>14.826000000000001</v>
      </c>
      <c r="D109" s="30">
        <v>-3.8000000000000256E-2</v>
      </c>
      <c r="E109" s="41">
        <v>14.762588444298611</v>
      </c>
      <c r="F109" s="41">
        <v>1.4684287812041116E-2</v>
      </c>
      <c r="G109" s="39">
        <v>6.3411555701389233E-2</v>
      </c>
      <c r="M109" s="1"/>
      <c r="N109" s="1"/>
    </row>
    <row r="110" spans="1:18" x14ac:dyDescent="0.3">
      <c r="A110" s="31" t="s">
        <v>1505</v>
      </c>
      <c r="B110" s="30">
        <v>28480</v>
      </c>
      <c r="C110" s="30">
        <v>14.750999999999999</v>
      </c>
      <c r="D110" s="30">
        <v>-7.5000000000001066E-2</v>
      </c>
      <c r="E110" s="41">
        <v>14.74790415648657</v>
      </c>
      <c r="F110" s="41">
        <v>1.4684287812041116E-2</v>
      </c>
      <c r="G110" s="39">
        <v>3.0958435134298412E-3</v>
      </c>
      <c r="M110" s="1"/>
      <c r="N110" s="1"/>
    </row>
    <row r="111" spans="1:18" x14ac:dyDescent="0.3">
      <c r="A111" s="31" t="s">
        <v>1506</v>
      </c>
      <c r="B111" s="30">
        <v>28500</v>
      </c>
      <c r="C111" s="30">
        <v>14.702</v>
      </c>
      <c r="D111" s="30">
        <v>-4.8999999999999488E-2</v>
      </c>
      <c r="E111" s="41">
        <v>14.733219868674528</v>
      </c>
      <c r="F111" s="41">
        <v>1.4684287812041116E-2</v>
      </c>
      <c r="G111" s="39">
        <v>-3.1219868674527973E-2</v>
      </c>
      <c r="M111" s="1"/>
      <c r="N111" s="1"/>
    </row>
    <row r="112" spans="1:18" x14ac:dyDescent="0.3">
      <c r="A112" s="31"/>
      <c r="B112" s="96" t="s">
        <v>3230</v>
      </c>
      <c r="C112" s="97"/>
      <c r="D112" s="97"/>
      <c r="E112" s="97"/>
      <c r="F112" s="97"/>
      <c r="G112" s="98"/>
      <c r="M112" s="1"/>
      <c r="N112" s="1"/>
    </row>
    <row r="113" spans="1:14" x14ac:dyDescent="0.3">
      <c r="A113" s="31" t="s">
        <v>1507</v>
      </c>
      <c r="B113" s="30">
        <v>28520</v>
      </c>
      <c r="C113" s="30">
        <v>14.656000000000001</v>
      </c>
      <c r="D113" s="30">
        <v>-4.5999999999999375E-2</v>
      </c>
      <c r="E113" s="41">
        <v>14.718535580862486</v>
      </c>
      <c r="F113" s="41">
        <v>1.4684287812041116E-2</v>
      </c>
      <c r="G113" s="39">
        <v>-6.2535580862485673E-2</v>
      </c>
      <c r="M113" s="1"/>
      <c r="N113" s="1"/>
    </row>
    <row r="114" spans="1:14" x14ac:dyDescent="0.3">
      <c r="A114" s="31" t="s">
        <v>1508</v>
      </c>
      <c r="B114" s="30">
        <v>28540</v>
      </c>
      <c r="C114" s="30">
        <v>14.627000000000001</v>
      </c>
      <c r="D114" s="30">
        <v>-2.8999999999999915E-2</v>
      </c>
      <c r="E114" s="41">
        <v>14.703851293050445</v>
      </c>
      <c r="F114" s="41">
        <v>1.4684287812041116E-2</v>
      </c>
      <c r="G114" s="39">
        <v>-7.6851293050443914E-2</v>
      </c>
      <c r="M114" s="1"/>
      <c r="N114" s="1"/>
    </row>
    <row r="115" spans="1:14" x14ac:dyDescent="0.3">
      <c r="A115" s="31" t="s">
        <v>3231</v>
      </c>
      <c r="B115" s="96" t="s">
        <v>3194</v>
      </c>
      <c r="C115" s="97"/>
      <c r="D115" s="97"/>
      <c r="E115" s="97"/>
      <c r="F115" s="97"/>
      <c r="G115" s="98"/>
      <c r="M115" s="1"/>
      <c r="N115" s="1"/>
    </row>
    <row r="116" spans="1:14" x14ac:dyDescent="0.3">
      <c r="A116" s="31" t="s">
        <v>1509</v>
      </c>
      <c r="B116" s="30">
        <v>28560</v>
      </c>
      <c r="C116" s="30">
        <v>14.590999999999999</v>
      </c>
      <c r="D116" s="30">
        <v>-3.6000000000001364E-2</v>
      </c>
      <c r="E116" s="41">
        <v>14.689167005238403</v>
      </c>
      <c r="F116" s="41">
        <v>1.4684287812041116E-2</v>
      </c>
      <c r="G116" s="39">
        <v>-9.8167005238403604E-2</v>
      </c>
      <c r="M116" s="1"/>
      <c r="N116" s="1"/>
    </row>
    <row r="117" spans="1:14" x14ac:dyDescent="0.3">
      <c r="A117" s="31" t="s">
        <v>1510</v>
      </c>
      <c r="B117" s="30">
        <v>28580</v>
      </c>
      <c r="C117" s="30">
        <v>14.59</v>
      </c>
      <c r="D117" s="30">
        <v>-9.9999999999944578E-4</v>
      </c>
      <c r="E117" s="41">
        <v>14.674482717426361</v>
      </c>
      <c r="F117" s="41">
        <v>1.4684287812041116E-2</v>
      </c>
      <c r="G117" s="39">
        <v>-8.4482717426361376E-2</v>
      </c>
      <c r="M117" s="1"/>
      <c r="N117" s="1"/>
    </row>
    <row r="118" spans="1:14" x14ac:dyDescent="0.3">
      <c r="A118" s="31" t="s">
        <v>1511</v>
      </c>
      <c r="B118" s="30">
        <v>28600</v>
      </c>
      <c r="C118" s="30">
        <v>14.605</v>
      </c>
      <c r="D118" s="30">
        <v>1.5000000000000568E-2</v>
      </c>
      <c r="E118" s="41">
        <v>14.65979842961432</v>
      </c>
      <c r="F118" s="41">
        <v>1.4684287812041116E-2</v>
      </c>
      <c r="G118" s="39">
        <v>-5.4798429614319133E-2</v>
      </c>
      <c r="M118" s="1"/>
      <c r="N118" s="1"/>
    </row>
    <row r="119" spans="1:14" x14ac:dyDescent="0.3">
      <c r="A119" s="31" t="s">
        <v>1512</v>
      </c>
      <c r="B119" s="30">
        <v>28620</v>
      </c>
      <c r="C119" s="30">
        <v>14.581</v>
      </c>
      <c r="D119" s="30">
        <v>-2.4000000000000909E-2</v>
      </c>
      <c r="E119" s="41">
        <v>14.645114141802278</v>
      </c>
      <c r="F119" s="41">
        <v>1.4684287812041116E-2</v>
      </c>
      <c r="G119" s="39">
        <v>-6.4114141802278368E-2</v>
      </c>
      <c r="M119" s="1"/>
      <c r="N119" s="1"/>
    </row>
    <row r="120" spans="1:14" x14ac:dyDescent="0.3">
      <c r="A120" s="31" t="s">
        <v>1513</v>
      </c>
      <c r="B120" s="30">
        <v>28640</v>
      </c>
      <c r="C120" s="30">
        <v>14.579000000000001</v>
      </c>
      <c r="D120" s="30">
        <v>-1.9999999999988916E-3</v>
      </c>
      <c r="E120" s="41">
        <v>14.630429853990236</v>
      </c>
      <c r="F120" s="41">
        <v>1.4684287812041116E-2</v>
      </c>
      <c r="G120" s="39">
        <v>-5.1429853990235586E-2</v>
      </c>
      <c r="M120" s="1"/>
      <c r="N120" s="1"/>
    </row>
    <row r="121" spans="1:14" x14ac:dyDescent="0.3">
      <c r="A121" s="31" t="s">
        <v>1514</v>
      </c>
      <c r="B121" s="30">
        <v>28660</v>
      </c>
      <c r="C121" s="30">
        <v>14.590999999999999</v>
      </c>
      <c r="D121" s="30">
        <v>1.1999999999998678E-2</v>
      </c>
      <c r="E121" s="41">
        <v>14.615745566178195</v>
      </c>
      <c r="F121" s="41">
        <v>1.4684287812041116E-2</v>
      </c>
      <c r="G121" s="39">
        <v>-2.4745566178195233E-2</v>
      </c>
      <c r="M121" s="1"/>
      <c r="N121" s="1"/>
    </row>
    <row r="122" spans="1:14" ht="15" thickBot="1" x14ac:dyDescent="0.35">
      <c r="A122" s="33" t="s">
        <v>1515</v>
      </c>
      <c r="B122" s="34">
        <v>28680</v>
      </c>
      <c r="C122" s="34">
        <v>14.601000000000001</v>
      </c>
      <c r="D122" s="34">
        <v>1.0000000000001563E-2</v>
      </c>
      <c r="E122" s="42">
        <v>14.601061278366153</v>
      </c>
      <c r="F122" s="42">
        <v>1.4684287812041116E-2</v>
      </c>
      <c r="G122" s="40">
        <v>-6.1278366151995556E-5</v>
      </c>
      <c r="M122" s="1"/>
      <c r="N122" s="1"/>
    </row>
    <row r="123" spans="1:14" x14ac:dyDescent="0.3">
      <c r="M123" s="1"/>
      <c r="N123" s="1"/>
    </row>
  </sheetData>
  <mergeCells count="14">
    <mergeCell ref="E1:G1"/>
    <mergeCell ref="Q1:R1"/>
    <mergeCell ref="B42:G42"/>
    <mergeCell ref="B45:G45"/>
    <mergeCell ref="B51:G51"/>
    <mergeCell ref="B115:G115"/>
    <mergeCell ref="B26:G26"/>
    <mergeCell ref="B81:G81"/>
    <mergeCell ref="A87:G87"/>
    <mergeCell ref="B94:G94"/>
    <mergeCell ref="A103:G103"/>
    <mergeCell ref="B106:G106"/>
    <mergeCell ref="B112:G112"/>
    <mergeCell ref="A55:G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FC04-B4F9-472A-BEDF-79B50170A160}">
  <dimension ref="A1:R106"/>
  <sheetViews>
    <sheetView workbookViewId="0">
      <selection sqref="A1:XFD1"/>
    </sheetView>
  </sheetViews>
  <sheetFormatPr defaultRowHeight="14.4" x14ac:dyDescent="0.3"/>
  <cols>
    <col min="1" max="1" width="20.88671875" bestFit="1" customWidth="1"/>
    <col min="2" max="2" width="9.21875" bestFit="1" customWidth="1"/>
    <col min="3" max="3" width="6.6640625" bestFit="1" customWidth="1"/>
    <col min="4" max="4" width="10.44140625" bestFit="1" customWidth="1"/>
    <col min="5" max="5" width="6.109375" style="1" bestFit="1" customWidth="1"/>
    <col min="6" max="6" width="5.109375" style="1" bestFit="1" customWidth="1"/>
    <col min="7" max="7" width="5.77734375" style="1" bestFit="1" customWidth="1"/>
    <col min="8" max="8" width="11.5546875" bestFit="1" customWidth="1"/>
    <col min="9" max="9" width="10" bestFit="1" customWidth="1"/>
    <col min="10" max="10" width="8.6640625" bestFit="1" customWidth="1"/>
    <col min="11" max="11" width="11.6640625" bestFit="1" customWidth="1"/>
    <col min="12" max="12" width="9.6640625" bestFit="1" customWidth="1"/>
    <col min="13" max="13" width="8.21875" customWidth="1"/>
    <col min="14" max="14" width="9.109375" bestFit="1" customWidth="1"/>
    <col min="15" max="16" width="11.6640625" bestFit="1" customWidth="1"/>
    <col min="17" max="17" width="5.21875" customWidth="1"/>
    <col min="18" max="18" width="5.6640625" bestFit="1" customWidth="1"/>
  </cols>
  <sheetData>
    <row r="1" spans="1:18" ht="15" thickBot="1" x14ac:dyDescent="0.35">
      <c r="A1" s="45" t="s">
        <v>3284</v>
      </c>
      <c r="B1" s="46" t="s">
        <v>3285</v>
      </c>
      <c r="C1" s="46" t="s">
        <v>1</v>
      </c>
      <c r="D1" s="46" t="s">
        <v>3286</v>
      </c>
      <c r="E1" s="100" t="s">
        <v>52</v>
      </c>
      <c r="F1" s="100"/>
      <c r="G1" s="101"/>
      <c r="H1" s="44" t="s">
        <v>3293</v>
      </c>
      <c r="I1" s="44" t="s">
        <v>3290</v>
      </c>
      <c r="J1" s="44" t="s">
        <v>3289</v>
      </c>
      <c r="K1" s="44" t="s">
        <v>3291</v>
      </c>
      <c r="L1" s="44" t="s">
        <v>3292</v>
      </c>
      <c r="Q1" s="86" t="s">
        <v>3287</v>
      </c>
      <c r="R1" s="86"/>
    </row>
    <row r="2" spans="1:18" x14ac:dyDescent="0.3">
      <c r="A2" s="47" t="s">
        <v>1963</v>
      </c>
      <c r="B2" s="48">
        <v>37460</v>
      </c>
      <c r="C2" s="48">
        <v>13.754</v>
      </c>
      <c r="D2" s="48">
        <v>0.16899999999999871</v>
      </c>
      <c r="E2" s="49">
        <v>13.785407308608226</v>
      </c>
      <c r="F2" s="49">
        <v>0.2</v>
      </c>
      <c r="G2" s="50">
        <v>-3.1407308608226714E-2</v>
      </c>
      <c r="H2" t="s">
        <v>30</v>
      </c>
      <c r="O2">
        <v>0.01</v>
      </c>
      <c r="P2">
        <v>0.2</v>
      </c>
      <c r="Q2" s="30" t="s">
        <v>3202</v>
      </c>
      <c r="R2" s="30">
        <v>100</v>
      </c>
    </row>
    <row r="3" spans="1:18" x14ac:dyDescent="0.3">
      <c r="A3" s="31" t="s">
        <v>1964</v>
      </c>
      <c r="B3" s="30">
        <v>37480</v>
      </c>
      <c r="C3" s="30">
        <v>13.919</v>
      </c>
      <c r="D3" s="30">
        <v>0.16500000000000092</v>
      </c>
      <c r="E3" s="41">
        <v>13.985407308608226</v>
      </c>
      <c r="F3" s="41">
        <v>0.2</v>
      </c>
      <c r="G3" s="39">
        <v>-6.640730860822508E-2</v>
      </c>
      <c r="H3">
        <v>37440</v>
      </c>
      <c r="I3">
        <v>37720</v>
      </c>
      <c r="J3">
        <v>280</v>
      </c>
      <c r="K3">
        <v>13.585407308608227</v>
      </c>
      <c r="L3">
        <v>16.390999999999998</v>
      </c>
      <c r="M3" s="1">
        <v>2.8055926913917713</v>
      </c>
      <c r="N3" s="1">
        <v>99.800659183033559</v>
      </c>
      <c r="O3">
        <v>100</v>
      </c>
    </row>
    <row r="4" spans="1:18" x14ac:dyDescent="0.3">
      <c r="A4" s="31" t="s">
        <v>1965</v>
      </c>
      <c r="B4" s="30">
        <v>37500</v>
      </c>
      <c r="C4" s="30">
        <v>14.108000000000001</v>
      </c>
      <c r="D4" s="30">
        <v>0.18900000000000006</v>
      </c>
      <c r="E4" s="41">
        <v>14.185407308608225</v>
      </c>
      <c r="F4" s="41">
        <v>0.2</v>
      </c>
      <c r="G4" s="39">
        <v>-7.7407308608224312E-2</v>
      </c>
      <c r="M4" s="1"/>
      <c r="N4" s="1"/>
    </row>
    <row r="5" spans="1:18" x14ac:dyDescent="0.3">
      <c r="A5" s="31" t="s">
        <v>1966</v>
      </c>
      <c r="B5" s="30">
        <v>37520</v>
      </c>
      <c r="C5" s="30">
        <v>14.3</v>
      </c>
      <c r="D5" s="30">
        <v>0.19200000000000017</v>
      </c>
      <c r="E5" s="41">
        <v>14.385407308608224</v>
      </c>
      <c r="F5" s="41">
        <v>0.2</v>
      </c>
      <c r="G5" s="39">
        <v>-8.5407308608223431E-2</v>
      </c>
    </row>
    <row r="6" spans="1:18" x14ac:dyDescent="0.3">
      <c r="A6" s="31" t="s">
        <v>1967</v>
      </c>
      <c r="B6" s="30">
        <v>37540</v>
      </c>
      <c r="C6" s="30">
        <v>14.486000000000001</v>
      </c>
      <c r="D6" s="30">
        <v>0.18599999999999994</v>
      </c>
      <c r="E6" s="41">
        <v>14.585407308608223</v>
      </c>
      <c r="F6" s="41">
        <v>0.2</v>
      </c>
      <c r="G6" s="39">
        <v>-9.9407308608222777E-2</v>
      </c>
    </row>
    <row r="7" spans="1:18" x14ac:dyDescent="0.3">
      <c r="A7" s="31" t="s">
        <v>1968</v>
      </c>
      <c r="B7" s="30">
        <v>37560</v>
      </c>
      <c r="C7" s="30">
        <v>14.678000000000001</v>
      </c>
      <c r="D7" s="30">
        <v>0.19200000000000017</v>
      </c>
      <c r="E7" s="41">
        <v>14.785407308608223</v>
      </c>
      <c r="F7" s="41">
        <v>0.2</v>
      </c>
      <c r="G7" s="39">
        <v>-0.1074073086082219</v>
      </c>
    </row>
    <row r="8" spans="1:18" x14ac:dyDescent="0.3">
      <c r="A8" s="31" t="s">
        <v>1969</v>
      </c>
      <c r="B8" s="30">
        <v>37580</v>
      </c>
      <c r="C8" s="30">
        <v>14.888</v>
      </c>
      <c r="D8" s="30">
        <v>0.20999999999999908</v>
      </c>
      <c r="E8" s="41">
        <v>14.985407308608222</v>
      </c>
      <c r="F8" s="41">
        <v>0.2</v>
      </c>
      <c r="G8" s="39">
        <v>-9.740730860822211E-2</v>
      </c>
    </row>
    <row r="9" spans="1:18" x14ac:dyDescent="0.3">
      <c r="A9" s="31" t="s">
        <v>1970</v>
      </c>
      <c r="B9" s="30">
        <v>37600</v>
      </c>
      <c r="C9" s="30">
        <v>15.085000000000001</v>
      </c>
      <c r="D9" s="30">
        <v>0.19700000000000095</v>
      </c>
      <c r="E9" s="41">
        <v>15.185407308608221</v>
      </c>
      <c r="F9" s="41">
        <v>0.2</v>
      </c>
      <c r="G9" s="39">
        <v>-0.10040730860822045</v>
      </c>
    </row>
    <row r="10" spans="1:18" x14ac:dyDescent="0.3">
      <c r="A10" s="31" t="s">
        <v>1971</v>
      </c>
      <c r="B10" s="30">
        <v>37620</v>
      </c>
      <c r="C10" s="30">
        <v>15.281000000000001</v>
      </c>
      <c r="D10" s="30">
        <v>0.19599999999999973</v>
      </c>
      <c r="E10" s="41">
        <v>15.385407308608221</v>
      </c>
      <c r="F10" s="41">
        <v>0.2</v>
      </c>
      <c r="G10" s="39">
        <v>-0.10440730860822001</v>
      </c>
    </row>
    <row r="11" spans="1:18" x14ac:dyDescent="0.3">
      <c r="A11" s="31" t="s">
        <v>1972</v>
      </c>
      <c r="B11" s="30">
        <v>37640</v>
      </c>
      <c r="C11" s="30">
        <v>15.497999999999999</v>
      </c>
      <c r="D11" s="30">
        <v>0.21699999999999875</v>
      </c>
      <c r="E11" s="41">
        <v>15.58540730860822</v>
      </c>
      <c r="F11" s="41">
        <v>0.2</v>
      </c>
      <c r="G11" s="39">
        <v>-8.7407308608220546E-2</v>
      </c>
    </row>
    <row r="12" spans="1:18" x14ac:dyDescent="0.3">
      <c r="A12" s="31" t="s">
        <v>1973</v>
      </c>
      <c r="B12" s="30">
        <v>37660</v>
      </c>
      <c r="C12" s="30">
        <v>15.74</v>
      </c>
      <c r="D12" s="30">
        <v>0.24200000000000088</v>
      </c>
      <c r="E12" s="41">
        <v>15.785407308608219</v>
      </c>
      <c r="F12" s="41">
        <v>0.2</v>
      </c>
      <c r="G12" s="39">
        <v>-4.5407308608218955E-2</v>
      </c>
    </row>
    <row r="13" spans="1:18" x14ac:dyDescent="0.3">
      <c r="A13" s="31" t="s">
        <v>1974</v>
      </c>
      <c r="B13" s="30">
        <v>37680</v>
      </c>
      <c r="C13" s="30">
        <v>15.98</v>
      </c>
      <c r="D13" s="30">
        <v>0.24000000000000021</v>
      </c>
      <c r="E13" s="41">
        <v>15.985407308608218</v>
      </c>
      <c r="F13" s="41">
        <v>0.2</v>
      </c>
      <c r="G13" s="39">
        <v>-5.4073086082180311E-3</v>
      </c>
    </row>
    <row r="14" spans="1:18" x14ac:dyDescent="0.3">
      <c r="A14" s="31" t="s">
        <v>1975</v>
      </c>
      <c r="B14" s="30">
        <v>37700</v>
      </c>
      <c r="C14" s="30">
        <v>16.175000000000001</v>
      </c>
      <c r="D14" s="30">
        <v>0.19500000000000028</v>
      </c>
      <c r="E14" s="41">
        <v>16.18540730860822</v>
      </c>
      <c r="F14" s="41">
        <v>0.2</v>
      </c>
      <c r="G14" s="39">
        <v>-1.0407308608218813E-2</v>
      </c>
    </row>
    <row r="15" spans="1:18" x14ac:dyDescent="0.3">
      <c r="A15" s="31" t="s">
        <v>1976</v>
      </c>
      <c r="B15" s="30">
        <v>37720</v>
      </c>
      <c r="C15" s="30">
        <v>16.390999999999998</v>
      </c>
      <c r="D15" s="30">
        <v>0.21599999999999753</v>
      </c>
      <c r="E15" s="41">
        <v>16.385407308608219</v>
      </c>
      <c r="F15" s="41">
        <v>0.2</v>
      </c>
      <c r="G15" s="39">
        <v>5.5926913917794252E-3</v>
      </c>
    </row>
    <row r="16" spans="1:18" x14ac:dyDescent="0.3">
      <c r="A16" s="31"/>
      <c r="B16" s="30"/>
      <c r="C16" s="30"/>
      <c r="D16" s="30"/>
      <c r="E16" s="41"/>
      <c r="F16" s="41"/>
      <c r="G16" s="39"/>
      <c r="H16" t="s">
        <v>3249</v>
      </c>
      <c r="O16">
        <v>8.9968511021142601E-5</v>
      </c>
      <c r="P16">
        <v>1.7993702204228521E-3</v>
      </c>
      <c r="Q16" s="30" t="s">
        <v>3202</v>
      </c>
      <c r="R16" s="30">
        <v>11115</v>
      </c>
    </row>
    <row r="17" spans="1:15" x14ac:dyDescent="0.3">
      <c r="A17" s="31" t="s">
        <v>1977</v>
      </c>
      <c r="B17" s="30">
        <v>37740</v>
      </c>
      <c r="C17" s="30">
        <v>16.393999999999998</v>
      </c>
      <c r="D17" s="30">
        <v>3.0000000000001137E-3</v>
      </c>
      <c r="E17" s="41">
        <v>16.38720667882864</v>
      </c>
      <c r="F17" s="41">
        <v>1.7993702204228521E-3</v>
      </c>
      <c r="G17" s="39">
        <v>6.7933211713580022E-3</v>
      </c>
      <c r="H17">
        <v>37720</v>
      </c>
      <c r="I17">
        <v>37960</v>
      </c>
      <c r="J17">
        <v>240</v>
      </c>
      <c r="K17">
        <v>16.385407308608219</v>
      </c>
      <c r="L17">
        <v>16.407</v>
      </c>
      <c r="M17" s="1">
        <v>2.1592691391781216E-2</v>
      </c>
      <c r="N17" s="1">
        <v>11114.871955765122</v>
      </c>
      <c r="O17">
        <v>11115</v>
      </c>
    </row>
    <row r="18" spans="1:15" x14ac:dyDescent="0.3">
      <c r="A18" s="31" t="s">
        <v>3237</v>
      </c>
      <c r="B18" s="86" t="s">
        <v>3194</v>
      </c>
      <c r="C18" s="86"/>
      <c r="D18" s="86"/>
      <c r="E18" s="86"/>
      <c r="F18" s="86"/>
      <c r="G18" s="99"/>
      <c r="M18" s="1"/>
      <c r="N18" s="1"/>
    </row>
    <row r="19" spans="1:15" x14ac:dyDescent="0.3">
      <c r="A19" s="31" t="s">
        <v>1978</v>
      </c>
      <c r="B19" s="30">
        <v>37760</v>
      </c>
      <c r="C19" s="30">
        <v>16.527999999999999</v>
      </c>
      <c r="D19" s="30">
        <v>0.13400000000000034</v>
      </c>
      <c r="E19" s="41">
        <v>16.389006049049062</v>
      </c>
      <c r="F19" s="41">
        <v>1.7993702204228521E-3</v>
      </c>
      <c r="G19" s="39">
        <v>0.13899395095093681</v>
      </c>
      <c r="M19" s="1"/>
      <c r="N19" s="1"/>
    </row>
    <row r="20" spans="1:15" x14ac:dyDescent="0.3">
      <c r="A20" s="31" t="s">
        <v>1979</v>
      </c>
      <c r="B20" s="30">
        <v>37780</v>
      </c>
      <c r="C20" s="30">
        <v>16.513000000000002</v>
      </c>
      <c r="D20" s="30">
        <v>-1.4999999999997016E-2</v>
      </c>
      <c r="E20" s="41">
        <v>16.390805419269483</v>
      </c>
      <c r="F20" s="41">
        <v>1.7993702204228521E-3</v>
      </c>
      <c r="G20" s="39">
        <v>0.12219458073051825</v>
      </c>
      <c r="M20" s="1"/>
      <c r="N20" s="1"/>
    </row>
    <row r="21" spans="1:15" x14ac:dyDescent="0.3">
      <c r="A21" s="31" t="s">
        <v>1980</v>
      </c>
      <c r="B21" s="30">
        <v>37800</v>
      </c>
      <c r="C21" s="30">
        <v>16.43</v>
      </c>
      <c r="D21" s="30">
        <v>-8.3000000000001961E-2</v>
      </c>
      <c r="E21" s="41">
        <v>16.392604789489905</v>
      </c>
      <c r="F21" s="41">
        <v>1.7993702204228521E-3</v>
      </c>
      <c r="G21" s="39">
        <v>3.7395210510094756E-2</v>
      </c>
      <c r="M21" s="1"/>
      <c r="N21" s="1"/>
    </row>
    <row r="22" spans="1:15" x14ac:dyDescent="0.3">
      <c r="A22" s="31" t="s">
        <v>3238</v>
      </c>
      <c r="B22" s="86" t="s">
        <v>3197</v>
      </c>
      <c r="C22" s="86"/>
      <c r="D22" s="86"/>
      <c r="E22" s="86"/>
      <c r="F22" s="86"/>
      <c r="G22" s="99"/>
      <c r="M22" s="1"/>
      <c r="N22" s="1"/>
    </row>
    <row r="23" spans="1:15" x14ac:dyDescent="0.3">
      <c r="A23" s="31" t="s">
        <v>1981</v>
      </c>
      <c r="B23" s="30">
        <v>37820</v>
      </c>
      <c r="C23" s="30">
        <v>16.401</v>
      </c>
      <c r="D23" s="30">
        <v>-2.8999999999999915E-2</v>
      </c>
      <c r="E23" s="41">
        <v>16.394404159710326</v>
      </c>
      <c r="F23" s="41">
        <v>1.7993702204228521E-3</v>
      </c>
      <c r="G23" s="39">
        <v>6.5958402896733048E-3</v>
      </c>
      <c r="M23" s="1"/>
      <c r="N23" s="1"/>
    </row>
    <row r="24" spans="1:15" x14ac:dyDescent="0.3">
      <c r="A24" s="31" t="s">
        <v>1982</v>
      </c>
      <c r="B24" s="30">
        <v>37840</v>
      </c>
      <c r="C24" s="30">
        <v>16.393000000000001</v>
      </c>
      <c r="D24" s="30">
        <v>-7.9999999999991189E-3</v>
      </c>
      <c r="E24" s="41">
        <v>16.396203529930748</v>
      </c>
      <c r="F24" s="41">
        <v>1.7993702204228521E-3</v>
      </c>
      <c r="G24" s="39">
        <v>-3.2035299307473508E-3</v>
      </c>
      <c r="M24" s="1"/>
      <c r="N24" s="1"/>
    </row>
    <row r="25" spans="1:15" x14ac:dyDescent="0.3">
      <c r="A25" s="31" t="s">
        <v>1983</v>
      </c>
      <c r="B25" s="30">
        <v>37860</v>
      </c>
      <c r="C25" s="30">
        <v>16.338999999999999</v>
      </c>
      <c r="D25" s="30">
        <v>-5.4000000000002046E-2</v>
      </c>
      <c r="E25" s="41">
        <v>16.39800290015117</v>
      </c>
      <c r="F25" s="41">
        <v>1.7993702204228521E-3</v>
      </c>
      <c r="G25" s="39">
        <v>-5.9002900151170934E-2</v>
      </c>
      <c r="M25" s="1"/>
      <c r="N25" s="1"/>
    </row>
    <row r="26" spans="1:15" x14ac:dyDescent="0.3">
      <c r="A26" s="31" t="s">
        <v>1984</v>
      </c>
      <c r="B26" s="30">
        <v>37880</v>
      </c>
      <c r="C26" s="30">
        <v>16.318999999999999</v>
      </c>
      <c r="D26" s="30">
        <v>-1.9999999999999574E-2</v>
      </c>
      <c r="E26" s="41">
        <v>16.399802270371591</v>
      </c>
      <c r="F26" s="41">
        <v>1.7993702204228521E-3</v>
      </c>
      <c r="G26" s="39">
        <v>-8.0802270371592044E-2</v>
      </c>
      <c r="M26" s="1"/>
      <c r="N26" s="1"/>
    </row>
    <row r="27" spans="1:15" x14ac:dyDescent="0.3">
      <c r="A27" s="31" t="s">
        <v>1985</v>
      </c>
      <c r="B27" s="30">
        <v>37900</v>
      </c>
      <c r="C27" s="30">
        <v>16.327999999999999</v>
      </c>
      <c r="D27" s="30">
        <v>9.0000000000003411E-3</v>
      </c>
      <c r="E27" s="41">
        <v>16.401601640592013</v>
      </c>
      <c r="F27" s="41">
        <v>1.7993702204228521E-3</v>
      </c>
      <c r="G27" s="39">
        <v>-7.360164059201324E-2</v>
      </c>
      <c r="M27" s="1"/>
      <c r="N27" s="1"/>
    </row>
    <row r="28" spans="1:15" x14ac:dyDescent="0.3">
      <c r="A28" s="31" t="s">
        <v>3239</v>
      </c>
      <c r="B28" s="86" t="s">
        <v>3222</v>
      </c>
      <c r="C28" s="86"/>
      <c r="D28" s="86"/>
      <c r="E28" s="86"/>
      <c r="F28" s="86"/>
      <c r="G28" s="99"/>
      <c r="M28" s="1"/>
      <c r="N28" s="1"/>
    </row>
    <row r="29" spans="1:15" x14ac:dyDescent="0.3">
      <c r="A29" s="31" t="s">
        <v>1986</v>
      </c>
      <c r="B29" s="30">
        <v>37920</v>
      </c>
      <c r="C29" s="30">
        <v>16.289000000000001</v>
      </c>
      <c r="D29" s="30">
        <v>-3.8999999999997925E-2</v>
      </c>
      <c r="E29" s="41">
        <v>16.403401010812434</v>
      </c>
      <c r="F29" s="41">
        <v>1.7993702204228521E-3</v>
      </c>
      <c r="G29" s="39">
        <v>-0.1144010108124327</v>
      </c>
      <c r="M29" s="1"/>
      <c r="N29" s="1"/>
    </row>
    <row r="30" spans="1:15" x14ac:dyDescent="0.3">
      <c r="A30" s="31" t="s">
        <v>1987</v>
      </c>
      <c r="B30" s="30">
        <v>37940</v>
      </c>
      <c r="C30" s="30">
        <v>16.277000000000001</v>
      </c>
      <c r="D30" s="30">
        <v>-1.2000000000000455E-2</v>
      </c>
      <c r="E30" s="41">
        <v>16.405200381032856</v>
      </c>
      <c r="F30" s="41">
        <v>1.7993702204228521E-3</v>
      </c>
      <c r="G30" s="39">
        <v>-0.12820038103285469</v>
      </c>
      <c r="M30" s="1"/>
      <c r="N30" s="1"/>
    </row>
    <row r="31" spans="1:15" x14ac:dyDescent="0.3">
      <c r="A31" s="31" t="s">
        <v>1988</v>
      </c>
      <c r="B31" s="30"/>
      <c r="C31" s="30"/>
      <c r="D31" s="30"/>
      <c r="E31" s="41"/>
      <c r="F31" s="41"/>
      <c r="G31" s="39"/>
      <c r="M31" s="1"/>
      <c r="N31" s="1"/>
    </row>
    <row r="32" spans="1:15" x14ac:dyDescent="0.3">
      <c r="A32" s="31" t="s">
        <v>1989</v>
      </c>
      <c r="B32" s="30">
        <v>37960</v>
      </c>
      <c r="C32" s="30">
        <v>16.407</v>
      </c>
      <c r="D32" s="30">
        <v>0.12999999999999901</v>
      </c>
      <c r="E32" s="41">
        <v>16.406999751253277</v>
      </c>
      <c r="F32" s="41">
        <v>1.7993702204228521E-3</v>
      </c>
      <c r="G32" s="39">
        <v>2.4874672277519494E-7</v>
      </c>
      <c r="M32" s="1"/>
      <c r="N32" s="1"/>
    </row>
    <row r="33" spans="1:18" x14ac:dyDescent="0.3">
      <c r="A33" s="31"/>
      <c r="B33" s="30"/>
      <c r="C33" s="30"/>
      <c r="D33" s="30"/>
      <c r="E33" s="41"/>
      <c r="F33" s="41"/>
      <c r="G33" s="39"/>
      <c r="H33" t="s">
        <v>3244</v>
      </c>
      <c r="M33" s="1"/>
      <c r="N33" s="1"/>
      <c r="O33">
        <v>2.4630541871921183E-3</v>
      </c>
      <c r="P33">
        <v>4.9261083743842367E-2</v>
      </c>
      <c r="Q33" s="30" t="s">
        <v>3202</v>
      </c>
      <c r="R33" s="30">
        <v>406</v>
      </c>
    </row>
    <row r="34" spans="1:18" x14ac:dyDescent="0.3">
      <c r="A34" s="31" t="s">
        <v>1990</v>
      </c>
      <c r="B34" s="30">
        <v>37980</v>
      </c>
      <c r="C34" s="30">
        <v>16.420999999999999</v>
      </c>
      <c r="D34" s="30">
        <v>1.3999999999999346E-2</v>
      </c>
      <c r="E34" s="41">
        <v>16.456260834997121</v>
      </c>
      <c r="F34" s="41">
        <v>4.9261083743842367E-2</v>
      </c>
      <c r="G34" s="39">
        <v>-3.5260834997121293E-2</v>
      </c>
      <c r="H34">
        <v>37960</v>
      </c>
      <c r="I34">
        <v>38440</v>
      </c>
      <c r="J34">
        <v>480</v>
      </c>
      <c r="K34">
        <v>16.406999751253277</v>
      </c>
      <c r="L34">
        <v>17.59</v>
      </c>
      <c r="M34" s="1">
        <v>1.1830002487467226</v>
      </c>
      <c r="N34" s="1">
        <v>405.74801274007746</v>
      </c>
      <c r="O34">
        <v>406</v>
      </c>
    </row>
    <row r="35" spans="1:18" x14ac:dyDescent="0.3">
      <c r="A35" s="31" t="s">
        <v>1991</v>
      </c>
      <c r="B35" s="30">
        <v>38000</v>
      </c>
      <c r="C35" s="30">
        <v>16.43</v>
      </c>
      <c r="D35" s="30">
        <v>9.0000000000003411E-3</v>
      </c>
      <c r="E35" s="41">
        <v>16.505521918740964</v>
      </c>
      <c r="F35" s="41">
        <v>4.9261083743842367E-2</v>
      </c>
      <c r="G35" s="39">
        <v>-7.5521918740964367E-2</v>
      </c>
      <c r="M35" s="1"/>
      <c r="N35" s="1"/>
    </row>
    <row r="36" spans="1:18" x14ac:dyDescent="0.3">
      <c r="A36" s="31"/>
      <c r="B36" s="30"/>
      <c r="C36" s="30"/>
      <c r="D36" s="30"/>
      <c r="E36" s="41"/>
      <c r="F36" s="41"/>
      <c r="G36" s="39"/>
      <c r="M36" s="1"/>
      <c r="N36" s="1"/>
    </row>
    <row r="37" spans="1:18" x14ac:dyDescent="0.3">
      <c r="A37" s="31" t="s">
        <v>1992</v>
      </c>
      <c r="B37" s="30">
        <v>38020</v>
      </c>
      <c r="C37" s="30">
        <v>16.466000000000001</v>
      </c>
      <c r="D37" s="30">
        <v>3.6000000000001364E-2</v>
      </c>
      <c r="E37" s="41">
        <v>16.554783002484807</v>
      </c>
      <c r="F37" s="41">
        <v>4.9261083743842367E-2</v>
      </c>
      <c r="G37" s="39">
        <v>-8.8783002484806417E-2</v>
      </c>
      <c r="M37" s="1"/>
      <c r="N37" s="1"/>
    </row>
    <row r="38" spans="1:18" x14ac:dyDescent="0.3">
      <c r="A38" s="31" t="s">
        <v>1993</v>
      </c>
      <c r="B38" s="30">
        <v>38040</v>
      </c>
      <c r="C38" s="30">
        <v>16.507999999999999</v>
      </c>
      <c r="D38" s="30">
        <v>4.1999999999998039E-2</v>
      </c>
      <c r="E38" s="41">
        <v>16.604044086228651</v>
      </c>
      <c r="F38" s="41">
        <v>4.9261083743842367E-2</v>
      </c>
      <c r="G38" s="39">
        <v>-9.6044086228651793E-2</v>
      </c>
      <c r="M38" s="1"/>
      <c r="N38" s="1"/>
    </row>
    <row r="39" spans="1:18" x14ac:dyDescent="0.3">
      <c r="A39" s="31" t="s">
        <v>1994</v>
      </c>
      <c r="B39" s="30">
        <v>38060</v>
      </c>
      <c r="C39" s="30">
        <v>16.518000000000001</v>
      </c>
      <c r="D39" s="30">
        <v>1.0000000000001563E-2</v>
      </c>
      <c r="E39" s="41">
        <v>16.653305169972494</v>
      </c>
      <c r="F39" s="41">
        <v>4.9261083743842367E-2</v>
      </c>
      <c r="G39" s="39">
        <v>-0.13530516997249364</v>
      </c>
      <c r="M39" s="1"/>
      <c r="N39" s="1"/>
    </row>
    <row r="40" spans="1:18" x14ac:dyDescent="0.3">
      <c r="A40" s="31" t="s">
        <v>1995</v>
      </c>
      <c r="B40" s="30">
        <v>38080</v>
      </c>
      <c r="C40" s="30">
        <v>16.521000000000001</v>
      </c>
      <c r="D40" s="30">
        <v>3.0000000000001137E-3</v>
      </c>
      <c r="E40" s="41">
        <v>16.702566253716338</v>
      </c>
      <c r="F40" s="41">
        <v>4.9261083743842367E-2</v>
      </c>
      <c r="G40" s="39">
        <v>-0.18156625371633694</v>
      </c>
      <c r="M40" s="1"/>
      <c r="N40" s="1"/>
    </row>
    <row r="41" spans="1:18" x14ac:dyDescent="0.3">
      <c r="A41" s="31" t="s">
        <v>1996</v>
      </c>
      <c r="B41" s="30">
        <v>38100</v>
      </c>
      <c r="C41" s="30">
        <v>16.559999999999999</v>
      </c>
      <c r="D41" s="30">
        <v>3.8999999999997925E-2</v>
      </c>
      <c r="E41" s="41">
        <v>16.751827337460181</v>
      </c>
      <c r="F41" s="41">
        <v>4.9261083743842367E-2</v>
      </c>
      <c r="G41" s="39">
        <v>-0.19182733746018243</v>
      </c>
      <c r="M41" s="1"/>
      <c r="N41" s="1"/>
    </row>
    <row r="42" spans="1:18" x14ac:dyDescent="0.3">
      <c r="A42" s="31" t="s">
        <v>1997</v>
      </c>
      <c r="B42" s="30">
        <v>38120</v>
      </c>
      <c r="C42" s="30">
        <v>16.602</v>
      </c>
      <c r="D42" s="30">
        <v>4.2000000000001592E-2</v>
      </c>
      <c r="E42" s="41">
        <v>16.801088421204025</v>
      </c>
      <c r="F42" s="41">
        <v>4.9261083743842367E-2</v>
      </c>
      <c r="G42" s="39">
        <v>-0.19908842120402426</v>
      </c>
      <c r="M42" s="1"/>
      <c r="N42" s="1"/>
    </row>
    <row r="43" spans="1:18" x14ac:dyDescent="0.3">
      <c r="A43" s="31" t="s">
        <v>1998</v>
      </c>
      <c r="B43" s="30">
        <v>38140</v>
      </c>
      <c r="C43" s="30">
        <v>16.619</v>
      </c>
      <c r="D43" s="30">
        <v>1.699999999999946E-2</v>
      </c>
      <c r="E43" s="41">
        <v>16.850349504947868</v>
      </c>
      <c r="F43" s="41">
        <v>4.9261083743842367E-2</v>
      </c>
      <c r="G43" s="39">
        <v>-0.23134950494786821</v>
      </c>
      <c r="M43" s="1"/>
      <c r="N43" s="1"/>
    </row>
    <row r="44" spans="1:18" x14ac:dyDescent="0.3">
      <c r="A44" s="31" t="s">
        <v>1999</v>
      </c>
      <c r="B44" s="30">
        <v>38160</v>
      </c>
      <c r="C44" s="30">
        <v>16.643999999999998</v>
      </c>
      <c r="D44" s="30">
        <v>2.4999999999998579E-2</v>
      </c>
      <c r="E44" s="41">
        <v>16.899610588691711</v>
      </c>
      <c r="F44" s="41">
        <v>4.9261083743842367E-2</v>
      </c>
      <c r="G44" s="39">
        <v>-0.25561058869171305</v>
      </c>
      <c r="M44" s="1"/>
      <c r="N44" s="1"/>
    </row>
    <row r="45" spans="1:18" x14ac:dyDescent="0.3">
      <c r="A45" s="31" t="s">
        <v>2000</v>
      </c>
      <c r="B45" s="30">
        <v>38180</v>
      </c>
      <c r="C45" s="30">
        <v>16.687999999999999</v>
      </c>
      <c r="D45" s="30">
        <v>4.4000000000000483E-2</v>
      </c>
      <c r="E45" s="41">
        <v>16.948871672435555</v>
      </c>
      <c r="F45" s="41">
        <v>4.9261083743842367E-2</v>
      </c>
      <c r="G45" s="39">
        <v>-0.26087167243555598</v>
      </c>
      <c r="M45" s="1"/>
      <c r="N45" s="1"/>
    </row>
    <row r="46" spans="1:18" x14ac:dyDescent="0.3">
      <c r="A46" s="31" t="s">
        <v>2001</v>
      </c>
      <c r="B46" s="30">
        <v>38200</v>
      </c>
      <c r="C46" s="30">
        <v>16.745000000000001</v>
      </c>
      <c r="D46" s="30">
        <v>5.700000000000216E-2</v>
      </c>
      <c r="E46" s="41">
        <v>16.998132756179398</v>
      </c>
      <c r="F46" s="41">
        <v>4.9261083743842367E-2</v>
      </c>
      <c r="G46" s="39">
        <v>-0.25313275617939723</v>
      </c>
      <c r="M46" s="1"/>
      <c r="N46" s="1"/>
    </row>
    <row r="47" spans="1:18" x14ac:dyDescent="0.3">
      <c r="A47" s="31" t="s">
        <v>2002</v>
      </c>
      <c r="B47" s="30">
        <v>38220</v>
      </c>
      <c r="C47" s="30">
        <v>16.786999999999999</v>
      </c>
      <c r="D47" s="30">
        <v>4.1999999999998039E-2</v>
      </c>
      <c r="E47" s="41">
        <v>17.047393839923242</v>
      </c>
      <c r="F47" s="41">
        <v>4.9261083743842367E-2</v>
      </c>
      <c r="G47" s="39">
        <v>-0.26039383992324261</v>
      </c>
      <c r="M47" s="1"/>
      <c r="N47" s="1"/>
    </row>
    <row r="48" spans="1:18" x14ac:dyDescent="0.3">
      <c r="A48" s="31" t="s">
        <v>2003</v>
      </c>
      <c r="B48" s="30">
        <v>38240</v>
      </c>
      <c r="C48" s="30">
        <v>16.841999999999999</v>
      </c>
      <c r="D48" s="30">
        <v>5.4999999999999716E-2</v>
      </c>
      <c r="E48" s="41">
        <v>17.096654923667085</v>
      </c>
      <c r="F48" s="41">
        <v>4.9261083743842367E-2</v>
      </c>
      <c r="G48" s="39">
        <v>-0.25465492366708631</v>
      </c>
      <c r="M48" s="1"/>
      <c r="N48" s="1"/>
    </row>
    <row r="49" spans="1:18" x14ac:dyDescent="0.3">
      <c r="A49" s="31" t="s">
        <v>2004</v>
      </c>
      <c r="B49" s="30">
        <v>38260</v>
      </c>
      <c r="C49" s="30">
        <v>16.917000000000002</v>
      </c>
      <c r="D49" s="30">
        <v>7.5000000000002842E-2</v>
      </c>
      <c r="E49" s="41">
        <v>17.145916007410928</v>
      </c>
      <c r="F49" s="41">
        <v>4.9261083743842367E-2</v>
      </c>
      <c r="G49" s="39">
        <v>-0.22891600741092688</v>
      </c>
      <c r="M49" s="1"/>
      <c r="N49" s="1"/>
    </row>
    <row r="50" spans="1:18" x14ac:dyDescent="0.3">
      <c r="A50" s="31" t="s">
        <v>2005</v>
      </c>
      <c r="B50" s="30">
        <v>38280</v>
      </c>
      <c r="C50" s="30">
        <v>17.007000000000001</v>
      </c>
      <c r="D50" s="30">
        <v>8.9999999999999858E-2</v>
      </c>
      <c r="E50" s="41">
        <v>17.195177091154772</v>
      </c>
      <c r="F50" s="41">
        <v>4.9261083743842367E-2</v>
      </c>
      <c r="G50" s="39">
        <v>-0.18817709115477044</v>
      </c>
      <c r="M50" s="1"/>
      <c r="N50" s="1"/>
    </row>
    <row r="51" spans="1:18" x14ac:dyDescent="0.3">
      <c r="A51" s="31" t="s">
        <v>2006</v>
      </c>
      <c r="B51" s="30">
        <v>38300</v>
      </c>
      <c r="C51" s="30">
        <v>17.11</v>
      </c>
      <c r="D51" s="30">
        <v>0.10299999999999798</v>
      </c>
      <c r="E51" s="41">
        <v>17.244438174898615</v>
      </c>
      <c r="F51" s="41">
        <v>4.9261083743842367E-2</v>
      </c>
      <c r="G51" s="39">
        <v>-0.13443817489861587</v>
      </c>
      <c r="M51" s="1"/>
      <c r="N51" s="1"/>
    </row>
    <row r="52" spans="1:18" x14ac:dyDescent="0.3">
      <c r="A52" s="31" t="s">
        <v>2007</v>
      </c>
      <c r="B52" s="30">
        <v>38320</v>
      </c>
      <c r="C52" s="30">
        <v>17.202999999999999</v>
      </c>
      <c r="D52" s="30">
        <v>9.2999999999999972E-2</v>
      </c>
      <c r="E52" s="41">
        <v>17.293699258642459</v>
      </c>
      <c r="F52" s="41">
        <v>4.9261083743842367E-2</v>
      </c>
      <c r="G52" s="39">
        <v>-9.0699258642459313E-2</v>
      </c>
      <c r="M52" s="1"/>
      <c r="N52" s="1"/>
    </row>
    <row r="53" spans="1:18" x14ac:dyDescent="0.3">
      <c r="A53" s="31" t="s">
        <v>2008</v>
      </c>
      <c r="B53" s="30">
        <v>38340</v>
      </c>
      <c r="C53" s="30">
        <v>17.260000000000002</v>
      </c>
      <c r="D53" s="30">
        <v>5.700000000000216E-2</v>
      </c>
      <c r="E53" s="41">
        <v>17.342960342386302</v>
      </c>
      <c r="F53" s="41">
        <v>4.9261083743842367E-2</v>
      </c>
      <c r="G53" s="39">
        <v>-8.2960342386300567E-2</v>
      </c>
      <c r="M53" s="1"/>
      <c r="N53" s="1"/>
    </row>
    <row r="54" spans="1:18" x14ac:dyDescent="0.3">
      <c r="A54" s="31" t="s">
        <v>2009</v>
      </c>
      <c r="B54" s="30">
        <v>38360</v>
      </c>
      <c r="C54" s="30">
        <v>17.295000000000002</v>
      </c>
      <c r="D54" s="30">
        <v>3.5000000000000142E-2</v>
      </c>
      <c r="E54" s="41">
        <v>17.392221426130146</v>
      </c>
      <c r="F54" s="41">
        <v>4.9261083743842367E-2</v>
      </c>
      <c r="G54" s="39">
        <v>-9.722142613014384E-2</v>
      </c>
      <c r="M54" s="1"/>
      <c r="N54" s="1"/>
    </row>
    <row r="55" spans="1:18" x14ac:dyDescent="0.3">
      <c r="A55" s="31" t="s">
        <v>2010</v>
      </c>
      <c r="B55" s="30">
        <v>38380</v>
      </c>
      <c r="C55" s="30">
        <v>17.312999999999999</v>
      </c>
      <c r="D55" s="30">
        <v>1.7999999999997129E-2</v>
      </c>
      <c r="E55" s="41">
        <v>17.441482509873989</v>
      </c>
      <c r="F55" s="41">
        <v>4.9261083743842367E-2</v>
      </c>
      <c r="G55" s="39">
        <v>-0.12848250987399013</v>
      </c>
      <c r="M55" s="1"/>
      <c r="N55" s="1"/>
    </row>
    <row r="56" spans="1:18" x14ac:dyDescent="0.3">
      <c r="A56" s="31" t="s">
        <v>2011</v>
      </c>
      <c r="B56" s="30">
        <v>38400</v>
      </c>
      <c r="C56" s="30">
        <v>17.343</v>
      </c>
      <c r="D56" s="30">
        <v>3.0000000000001137E-2</v>
      </c>
      <c r="E56" s="41">
        <v>17.490743593617832</v>
      </c>
      <c r="F56" s="41">
        <v>4.9261083743842367E-2</v>
      </c>
      <c r="G56" s="39">
        <v>-0.1477435936178324</v>
      </c>
      <c r="M56" s="1"/>
      <c r="N56" s="1"/>
    </row>
    <row r="57" spans="1:18" x14ac:dyDescent="0.3">
      <c r="A57" s="31" t="s">
        <v>2012</v>
      </c>
      <c r="B57" s="30">
        <v>38420</v>
      </c>
      <c r="C57" s="30">
        <v>17.399999999999999</v>
      </c>
      <c r="D57" s="30">
        <v>5.6999999999998607E-2</v>
      </c>
      <c r="E57" s="41">
        <v>17.540004677361676</v>
      </c>
      <c r="F57" s="41">
        <v>4.9261083743842367E-2</v>
      </c>
      <c r="G57" s="39">
        <v>-0.14000467736167721</v>
      </c>
      <c r="M57" s="1"/>
      <c r="N57" s="1"/>
    </row>
    <row r="58" spans="1:18" x14ac:dyDescent="0.3">
      <c r="A58" s="31" t="s">
        <v>2013</v>
      </c>
      <c r="B58" s="30">
        <v>38440</v>
      </c>
      <c r="C58" s="30">
        <v>17.59</v>
      </c>
      <c r="D58" s="30">
        <v>0.19000000000000128</v>
      </c>
      <c r="E58" s="41">
        <v>17.589265761105519</v>
      </c>
      <c r="F58" s="41">
        <v>4.9261083743842367E-2</v>
      </c>
      <c r="G58" s="39">
        <v>7.3423889448065438E-4</v>
      </c>
      <c r="M58" s="1"/>
      <c r="N58" s="1"/>
    </row>
    <row r="59" spans="1:18" x14ac:dyDescent="0.3">
      <c r="A59" s="31"/>
      <c r="B59" s="30"/>
      <c r="C59" s="30"/>
      <c r="D59" s="30"/>
      <c r="E59" s="41"/>
      <c r="F59" s="41"/>
      <c r="G59" s="39"/>
      <c r="H59" t="s">
        <v>3245</v>
      </c>
      <c r="M59" s="1"/>
      <c r="N59" s="1"/>
      <c r="O59">
        <v>1.658374792703151E-3</v>
      </c>
      <c r="P59">
        <v>3.316749585406302E-2</v>
      </c>
      <c r="Q59" s="30" t="s">
        <v>3202</v>
      </c>
      <c r="R59" s="30">
        <v>603</v>
      </c>
    </row>
    <row r="60" spans="1:18" x14ac:dyDescent="0.3">
      <c r="A60" s="31" t="s">
        <v>2014</v>
      </c>
      <c r="B60" s="30">
        <v>38460</v>
      </c>
      <c r="C60" s="30">
        <v>17.855</v>
      </c>
      <c r="D60" s="30">
        <v>0.26500000000000057</v>
      </c>
      <c r="E60" s="41">
        <v>17.622433256959582</v>
      </c>
      <c r="F60" s="41">
        <v>3.316749585406302E-2</v>
      </c>
      <c r="G60" s="39">
        <v>0.2325667430404188</v>
      </c>
      <c r="H60">
        <v>38440</v>
      </c>
      <c r="I60">
        <v>38740</v>
      </c>
      <c r="J60">
        <v>300</v>
      </c>
      <c r="K60">
        <v>17.589265761105519</v>
      </c>
      <c r="L60">
        <v>18.087</v>
      </c>
      <c r="M60" s="1">
        <v>0.49773423889448054</v>
      </c>
      <c r="N60" s="1">
        <v>602.73129022896069</v>
      </c>
      <c r="O60">
        <v>603</v>
      </c>
    </row>
    <row r="61" spans="1:18" x14ac:dyDescent="0.3">
      <c r="A61" s="31" t="s">
        <v>2015</v>
      </c>
      <c r="B61" s="30">
        <v>38480</v>
      </c>
      <c r="C61" s="30">
        <v>17.913</v>
      </c>
      <c r="D61" s="30">
        <v>5.7999999999999829E-2</v>
      </c>
      <c r="E61" s="41">
        <v>17.655600752813644</v>
      </c>
      <c r="F61" s="41">
        <v>3.316749585406302E-2</v>
      </c>
      <c r="G61" s="39">
        <v>0.25739924718635621</v>
      </c>
      <c r="M61" s="1"/>
      <c r="N61" s="1"/>
    </row>
    <row r="62" spans="1:18" x14ac:dyDescent="0.3">
      <c r="A62" s="31" t="s">
        <v>2016</v>
      </c>
      <c r="B62" s="30">
        <v>38500</v>
      </c>
      <c r="C62" s="30">
        <v>17.95</v>
      </c>
      <c r="D62" s="30">
        <v>3.6999999999999034E-2</v>
      </c>
      <c r="E62" s="41">
        <v>17.688768248667706</v>
      </c>
      <c r="F62" s="41">
        <v>3.316749585406302E-2</v>
      </c>
      <c r="G62" s="39">
        <v>0.26123175133229282</v>
      </c>
      <c r="M62" s="1"/>
      <c r="N62" s="1"/>
    </row>
    <row r="63" spans="1:18" x14ac:dyDescent="0.3">
      <c r="A63" s="31" t="s">
        <v>2017</v>
      </c>
      <c r="B63" s="30">
        <v>38520</v>
      </c>
      <c r="C63" s="30">
        <v>17.98</v>
      </c>
      <c r="D63" s="30">
        <v>3.0000000000001137E-2</v>
      </c>
      <c r="E63" s="41">
        <v>17.721935744521769</v>
      </c>
      <c r="F63" s="41">
        <v>3.316749585406302E-2</v>
      </c>
      <c r="G63" s="39">
        <v>0.25806425547823153</v>
      </c>
      <c r="M63" s="1"/>
      <c r="N63" s="1"/>
    </row>
    <row r="64" spans="1:18" x14ac:dyDescent="0.3">
      <c r="A64" s="31" t="s">
        <v>2018</v>
      </c>
      <c r="B64" s="30">
        <v>38540</v>
      </c>
      <c r="C64" s="30">
        <v>17.984000000000002</v>
      </c>
      <c r="D64" s="30">
        <v>4.0000000000013358E-3</v>
      </c>
      <c r="E64" s="41">
        <v>17.755103240375831</v>
      </c>
      <c r="F64" s="41">
        <v>3.316749585406302E-2</v>
      </c>
      <c r="G64" s="39">
        <v>0.22889675962417044</v>
      </c>
      <c r="M64" s="1"/>
      <c r="N64" s="1"/>
    </row>
    <row r="65" spans="1:18" x14ac:dyDescent="0.3">
      <c r="A65" s="31" t="s">
        <v>2019</v>
      </c>
      <c r="B65" s="30">
        <v>38560</v>
      </c>
      <c r="C65" s="30">
        <v>17.986000000000001</v>
      </c>
      <c r="D65" s="30">
        <v>1.9999999999988916E-3</v>
      </c>
      <c r="E65" s="41">
        <v>17.788270736229894</v>
      </c>
      <c r="F65" s="41">
        <v>3.316749585406302E-2</v>
      </c>
      <c r="G65" s="39">
        <v>0.19772926377010691</v>
      </c>
      <c r="M65" s="1"/>
      <c r="N65" s="1"/>
    </row>
    <row r="66" spans="1:18" x14ac:dyDescent="0.3">
      <c r="A66" s="31" t="s">
        <v>2020</v>
      </c>
      <c r="B66" s="30">
        <v>38580</v>
      </c>
      <c r="C66" s="30">
        <v>17.991</v>
      </c>
      <c r="D66" s="30">
        <v>4.9999999999990052E-3</v>
      </c>
      <c r="E66" s="41">
        <v>17.821438232083956</v>
      </c>
      <c r="F66" s="41">
        <v>3.316749585406302E-2</v>
      </c>
      <c r="G66" s="39">
        <v>0.16956176791604349</v>
      </c>
      <c r="M66" s="1"/>
      <c r="N66" s="1"/>
    </row>
    <row r="67" spans="1:18" x14ac:dyDescent="0.3">
      <c r="A67" s="31" t="s">
        <v>2021</v>
      </c>
      <c r="B67" s="30">
        <v>38600</v>
      </c>
      <c r="C67" s="30">
        <v>17.997</v>
      </c>
      <c r="D67" s="30">
        <v>6.0000000000002274E-3</v>
      </c>
      <c r="E67" s="41">
        <v>17.854605727938019</v>
      </c>
      <c r="F67" s="41">
        <v>3.316749585406302E-2</v>
      </c>
      <c r="G67" s="39">
        <v>0.1423942720619813</v>
      </c>
      <c r="M67" s="1"/>
      <c r="N67" s="1"/>
    </row>
    <row r="68" spans="1:18" x14ac:dyDescent="0.3">
      <c r="A68" s="31" t="s">
        <v>2022</v>
      </c>
      <c r="B68" s="30">
        <v>38620</v>
      </c>
      <c r="C68" s="30">
        <v>18.006</v>
      </c>
      <c r="D68" s="30">
        <v>9.0000000000003411E-3</v>
      </c>
      <c r="E68" s="41">
        <v>17.887773223792081</v>
      </c>
      <c r="F68" s="41">
        <v>3.316749585406302E-2</v>
      </c>
      <c r="G68" s="39">
        <v>0.11822677620791922</v>
      </c>
      <c r="M68" s="1"/>
      <c r="N68" s="1"/>
    </row>
    <row r="69" spans="1:18" x14ac:dyDescent="0.3">
      <c r="A69" s="31" t="s">
        <v>2023</v>
      </c>
      <c r="B69" s="30">
        <v>38640</v>
      </c>
      <c r="C69" s="30">
        <v>18.036999999999999</v>
      </c>
      <c r="D69" s="30">
        <v>3.0999999999998806E-2</v>
      </c>
      <c r="E69" s="41">
        <v>17.920940719646143</v>
      </c>
      <c r="F69" s="41">
        <v>3.316749585406302E-2</v>
      </c>
      <c r="G69" s="39">
        <v>0.1160592803538556</v>
      </c>
      <c r="M69" s="1"/>
      <c r="N69" s="1"/>
    </row>
    <row r="70" spans="1:18" x14ac:dyDescent="0.3">
      <c r="A70" s="31" t="s">
        <v>2024</v>
      </c>
      <c r="B70" s="30">
        <v>38660</v>
      </c>
      <c r="C70" s="30">
        <v>18.064</v>
      </c>
      <c r="D70" s="30">
        <v>2.7000000000001023E-2</v>
      </c>
      <c r="E70" s="41">
        <v>17.954108215500206</v>
      </c>
      <c r="F70" s="41">
        <v>3.316749585406302E-2</v>
      </c>
      <c r="G70" s="39">
        <v>0.1098917844997942</v>
      </c>
      <c r="M70" s="1"/>
      <c r="N70" s="1"/>
    </row>
    <row r="71" spans="1:18" x14ac:dyDescent="0.3">
      <c r="A71" s="31" t="s">
        <v>3248</v>
      </c>
      <c r="B71" s="86" t="s">
        <v>3247</v>
      </c>
      <c r="C71" s="86"/>
      <c r="D71" s="86"/>
      <c r="E71" s="86"/>
      <c r="F71" s="86"/>
      <c r="G71" s="99"/>
      <c r="M71" s="1"/>
      <c r="N71" s="1"/>
    </row>
    <row r="72" spans="1:18" x14ac:dyDescent="0.3">
      <c r="A72" s="31" t="s">
        <v>2025</v>
      </c>
      <c r="B72" s="30">
        <v>38680</v>
      </c>
      <c r="C72" s="30">
        <v>18.085000000000001</v>
      </c>
      <c r="D72" s="30">
        <v>2.1000000000000796E-2</v>
      </c>
      <c r="E72" s="41">
        <v>17.987275711354268</v>
      </c>
      <c r="F72" s="41">
        <v>3.316749585406302E-2</v>
      </c>
      <c r="G72" s="39">
        <v>9.7724288645732571E-2</v>
      </c>
      <c r="M72" s="1"/>
      <c r="N72" s="1"/>
    </row>
    <row r="73" spans="1:18" x14ac:dyDescent="0.3">
      <c r="A73" s="31" t="s">
        <v>2026</v>
      </c>
      <c r="B73" s="30">
        <v>38700</v>
      </c>
      <c r="C73" s="30">
        <v>18.050999999999998</v>
      </c>
      <c r="D73" s="30">
        <v>-3.4000000000002473E-2</v>
      </c>
      <c r="E73" s="41">
        <v>18.020443207208331</v>
      </c>
      <c r="F73" s="41">
        <v>3.316749585406302E-2</v>
      </c>
      <c r="G73" s="39">
        <v>3.0556792791667675E-2</v>
      </c>
      <c r="M73" s="1"/>
      <c r="N73" s="1"/>
    </row>
    <row r="74" spans="1:18" x14ac:dyDescent="0.3">
      <c r="A74" s="31" t="s">
        <v>2027</v>
      </c>
      <c r="B74" s="30">
        <v>38720</v>
      </c>
      <c r="C74" s="30">
        <v>18.064</v>
      </c>
      <c r="D74" s="30">
        <v>1.3000000000001677E-2</v>
      </c>
      <c r="E74" s="41">
        <v>18.053610703062393</v>
      </c>
      <c r="F74" s="41">
        <v>3.316749585406302E-2</v>
      </c>
      <c r="G74" s="39">
        <v>1.0389296937606929E-2</v>
      </c>
      <c r="M74" s="1"/>
      <c r="N74" s="1"/>
    </row>
    <row r="75" spans="1:18" x14ac:dyDescent="0.3">
      <c r="A75" s="31" t="s">
        <v>2028</v>
      </c>
      <c r="B75" s="30">
        <v>38740</v>
      </c>
      <c r="C75" s="30">
        <v>18.087</v>
      </c>
      <c r="D75" s="30">
        <v>2.2999999999999687E-2</v>
      </c>
      <c r="E75" s="41">
        <v>18.086778198916456</v>
      </c>
      <c r="F75" s="41">
        <v>3.316749585406302E-2</v>
      </c>
      <c r="G75" s="39">
        <v>2.2180108354419303E-4</v>
      </c>
      <c r="M75" s="1"/>
      <c r="N75" s="1"/>
    </row>
    <row r="76" spans="1:18" x14ac:dyDescent="0.3">
      <c r="A76" s="31"/>
      <c r="B76" s="30"/>
      <c r="C76" s="30"/>
      <c r="D76" s="30"/>
      <c r="E76" s="41"/>
      <c r="F76" s="41"/>
      <c r="G76" s="39"/>
      <c r="H76" t="s">
        <v>3246</v>
      </c>
      <c r="M76" s="1"/>
      <c r="N76" s="1"/>
      <c r="O76">
        <v>1.4005602240896359E-3</v>
      </c>
      <c r="P76">
        <v>2.8011204481792718E-2</v>
      </c>
      <c r="Q76" s="30" t="s">
        <v>3202</v>
      </c>
      <c r="R76" s="30">
        <v>714</v>
      </c>
    </row>
    <row r="77" spans="1:18" x14ac:dyDescent="0.3">
      <c r="A77" s="31" t="s">
        <v>2029</v>
      </c>
      <c r="B77" s="30">
        <v>38760</v>
      </c>
      <c r="C77" s="30">
        <v>18.055</v>
      </c>
      <c r="D77" s="30">
        <v>-3.2000000000000028E-2</v>
      </c>
      <c r="E77" s="41">
        <v>18.114789403398248</v>
      </c>
      <c r="F77" s="41">
        <v>2.8011204481792718E-2</v>
      </c>
      <c r="G77" s="39">
        <v>-5.9789403398248453E-2</v>
      </c>
      <c r="H77">
        <v>38740</v>
      </c>
      <c r="I77">
        <v>39040</v>
      </c>
      <c r="J77">
        <v>300</v>
      </c>
      <c r="K77">
        <v>18.086778198916456</v>
      </c>
      <c r="L77">
        <v>18.507000000000001</v>
      </c>
      <c r="M77" s="1">
        <v>0.4202218010835459</v>
      </c>
      <c r="N77" s="1">
        <v>713.9087006586692</v>
      </c>
      <c r="O77">
        <v>714</v>
      </c>
    </row>
    <row r="78" spans="1:18" x14ac:dyDescent="0.3">
      <c r="A78" s="31" t="s">
        <v>2030</v>
      </c>
      <c r="B78" s="30">
        <v>38780</v>
      </c>
      <c r="C78" s="30">
        <v>18.042000000000002</v>
      </c>
      <c r="D78" s="30">
        <v>-1.2999999999998124E-2</v>
      </c>
      <c r="E78" s="41">
        <v>18.142800607880041</v>
      </c>
      <c r="F78" s="41">
        <v>2.8011204481792718E-2</v>
      </c>
      <c r="G78" s="39">
        <v>-0.10080060788003919</v>
      </c>
      <c r="M78" s="1"/>
      <c r="N78" s="1"/>
    </row>
    <row r="79" spans="1:18" x14ac:dyDescent="0.3">
      <c r="A79" s="31" t="s">
        <v>2031</v>
      </c>
      <c r="B79" s="30">
        <v>38800</v>
      </c>
      <c r="C79" s="30">
        <v>18.018000000000001</v>
      </c>
      <c r="D79" s="30">
        <v>-2.4000000000000909E-2</v>
      </c>
      <c r="E79" s="41">
        <v>18.170811812361833</v>
      </c>
      <c r="F79" s="41">
        <v>2.8011204481792718E-2</v>
      </c>
      <c r="G79" s="39">
        <v>-0.15281181236183272</v>
      </c>
      <c r="M79" s="1"/>
      <c r="N79" s="1"/>
    </row>
    <row r="80" spans="1:18" x14ac:dyDescent="0.3">
      <c r="A80" s="31" t="s">
        <v>2032</v>
      </c>
      <c r="B80" s="30">
        <v>38820</v>
      </c>
      <c r="C80" s="30">
        <v>17.984000000000002</v>
      </c>
      <c r="D80" s="30">
        <v>-3.399999999999892E-2</v>
      </c>
      <c r="E80" s="41">
        <v>18.198823016843626</v>
      </c>
      <c r="F80" s="41">
        <v>2.8011204481792718E-2</v>
      </c>
      <c r="G80" s="39">
        <v>-0.21482301684362426</v>
      </c>
      <c r="M80" s="1"/>
      <c r="N80" s="1"/>
    </row>
    <row r="81" spans="1:18" x14ac:dyDescent="0.3">
      <c r="A81" s="31" t="s">
        <v>2033</v>
      </c>
      <c r="B81" s="30">
        <v>38840</v>
      </c>
      <c r="C81" s="30">
        <v>17.957000000000001</v>
      </c>
      <c r="D81" s="30">
        <v>-2.7000000000001023E-2</v>
      </c>
      <c r="E81" s="41">
        <v>18.226834221325419</v>
      </c>
      <c r="F81" s="41">
        <v>2.8011204481792718E-2</v>
      </c>
      <c r="G81" s="39">
        <v>-0.2698342213254179</v>
      </c>
      <c r="M81" s="1"/>
      <c r="N81" s="1"/>
    </row>
    <row r="82" spans="1:18" x14ac:dyDescent="0.3">
      <c r="A82" s="31" t="s">
        <v>2034</v>
      </c>
      <c r="B82" s="30">
        <v>38860</v>
      </c>
      <c r="C82" s="30">
        <v>17.998999999999999</v>
      </c>
      <c r="D82" s="30">
        <v>4.1999999999998039E-2</v>
      </c>
      <c r="E82" s="41">
        <v>18.254845425807211</v>
      </c>
      <c r="F82" s="41">
        <v>2.8011204481792718E-2</v>
      </c>
      <c r="G82" s="39">
        <v>-0.25584542580721248</v>
      </c>
      <c r="M82" s="1"/>
      <c r="N82" s="1"/>
    </row>
    <row r="83" spans="1:18" x14ac:dyDescent="0.3">
      <c r="A83" s="31" t="s">
        <v>2035</v>
      </c>
      <c r="B83" s="30">
        <v>38880</v>
      </c>
      <c r="C83" s="30">
        <v>18.062000000000001</v>
      </c>
      <c r="D83" s="30">
        <v>6.3000000000002387E-2</v>
      </c>
      <c r="E83" s="41">
        <v>18.282856630289004</v>
      </c>
      <c r="F83" s="41">
        <v>2.8011204481792718E-2</v>
      </c>
      <c r="G83" s="39">
        <v>-0.22085663028900271</v>
      </c>
      <c r="M83" s="1"/>
      <c r="N83" s="1"/>
    </row>
    <row r="84" spans="1:18" x14ac:dyDescent="0.3">
      <c r="A84" s="31" t="s">
        <v>2036</v>
      </c>
      <c r="B84" s="30">
        <v>38900</v>
      </c>
      <c r="C84" s="30">
        <v>18.100999999999999</v>
      </c>
      <c r="D84" s="30">
        <v>3.8999999999997925E-2</v>
      </c>
      <c r="E84" s="41">
        <v>18.310867834770796</v>
      </c>
      <c r="F84" s="41">
        <v>2.8011204481792718E-2</v>
      </c>
      <c r="G84" s="39">
        <v>-0.2098678347707974</v>
      </c>
      <c r="M84" s="1"/>
      <c r="N84" s="1"/>
    </row>
    <row r="85" spans="1:18" x14ac:dyDescent="0.3">
      <c r="A85" s="31" t="s">
        <v>2037</v>
      </c>
      <c r="B85" s="30">
        <v>38920</v>
      </c>
      <c r="C85" s="30">
        <v>18.152000000000001</v>
      </c>
      <c r="D85" s="30">
        <v>5.1000000000001933E-2</v>
      </c>
      <c r="E85" s="41">
        <v>18.338879039252589</v>
      </c>
      <c r="F85" s="41">
        <v>2.8011204481792718E-2</v>
      </c>
      <c r="G85" s="39">
        <v>-0.18687903925258809</v>
      </c>
      <c r="M85" s="1"/>
      <c r="N85" s="1"/>
    </row>
    <row r="86" spans="1:18" x14ac:dyDescent="0.3">
      <c r="A86" s="31" t="s">
        <v>3243</v>
      </c>
      <c r="B86" s="86" t="s">
        <v>3226</v>
      </c>
      <c r="C86" s="86"/>
      <c r="D86" s="86"/>
      <c r="E86" s="86"/>
      <c r="F86" s="86"/>
      <c r="G86" s="99"/>
      <c r="M86" s="1"/>
      <c r="N86" s="1"/>
    </row>
    <row r="87" spans="1:18" x14ac:dyDescent="0.3">
      <c r="A87" s="31" t="s">
        <v>2038</v>
      </c>
      <c r="B87" s="30">
        <v>38940</v>
      </c>
      <c r="C87" s="30">
        <v>18.173999999999999</v>
      </c>
      <c r="D87" s="30">
        <v>2.1999999999998465E-2</v>
      </c>
      <c r="E87" s="41">
        <v>18.366890243734382</v>
      </c>
      <c r="F87" s="41">
        <v>2.8011204481792718E-2</v>
      </c>
      <c r="G87" s="39">
        <v>-0.19289024373438224</v>
      </c>
      <c r="M87" s="1"/>
      <c r="N87" s="1"/>
    </row>
    <row r="88" spans="1:18" x14ac:dyDescent="0.3">
      <c r="A88" s="31" t="s">
        <v>2039</v>
      </c>
      <c r="B88" s="30"/>
      <c r="C88" s="30"/>
      <c r="D88" s="30"/>
      <c r="E88" s="41"/>
      <c r="F88" s="41"/>
      <c r="G88" s="39"/>
      <c r="M88" s="1"/>
      <c r="N88" s="1"/>
    </row>
    <row r="89" spans="1:18" x14ac:dyDescent="0.3">
      <c r="A89" s="31" t="s">
        <v>2040</v>
      </c>
      <c r="B89" s="30">
        <v>38960</v>
      </c>
      <c r="C89" s="30">
        <v>18.196999999999999</v>
      </c>
      <c r="D89" s="30">
        <v>2.2999999999999687E-2</v>
      </c>
      <c r="E89" s="41">
        <v>18.394901448216174</v>
      </c>
      <c r="F89" s="41">
        <v>2.8011204481792718E-2</v>
      </c>
      <c r="G89" s="39">
        <v>-0.19790144821617517</v>
      </c>
      <c r="M89" s="1"/>
      <c r="N89" s="1"/>
    </row>
    <row r="90" spans="1:18" x14ac:dyDescent="0.3">
      <c r="A90" s="31" t="s">
        <v>2041</v>
      </c>
      <c r="B90" s="30">
        <v>38980</v>
      </c>
      <c r="C90" s="30">
        <v>18.239999999999998</v>
      </c>
      <c r="D90" s="30">
        <v>4.2999999999999261E-2</v>
      </c>
      <c r="E90" s="41">
        <v>18.422912652697967</v>
      </c>
      <c r="F90" s="41">
        <v>2.8011204481792718E-2</v>
      </c>
      <c r="G90" s="39">
        <v>-0.18291265269796853</v>
      </c>
      <c r="M90" s="1"/>
      <c r="N90" s="1"/>
    </row>
    <row r="91" spans="1:18" x14ac:dyDescent="0.3">
      <c r="A91" s="31" t="s">
        <v>3242</v>
      </c>
      <c r="B91" s="86" t="s">
        <v>3241</v>
      </c>
      <c r="C91" s="86"/>
      <c r="D91" s="86"/>
      <c r="E91" s="86"/>
      <c r="F91" s="86"/>
      <c r="G91" s="99"/>
      <c r="M91" s="1"/>
      <c r="N91" s="1"/>
    </row>
    <row r="92" spans="1:18" x14ac:dyDescent="0.3">
      <c r="A92" s="31" t="s">
        <v>2042</v>
      </c>
      <c r="B92" s="30">
        <v>39000</v>
      </c>
      <c r="C92" s="30">
        <v>18.327000000000002</v>
      </c>
      <c r="D92" s="30">
        <v>8.7000000000003297E-2</v>
      </c>
      <c r="E92" s="41">
        <v>18.45092385717976</v>
      </c>
      <c r="F92" s="41">
        <v>2.8011204481792718E-2</v>
      </c>
      <c r="G92" s="39">
        <v>-0.12392385717975785</v>
      </c>
      <c r="M92" s="1"/>
      <c r="N92" s="1"/>
    </row>
    <row r="93" spans="1:18" x14ac:dyDescent="0.3">
      <c r="A93" s="31" t="s">
        <v>2043</v>
      </c>
      <c r="B93" s="30">
        <v>39020</v>
      </c>
      <c r="C93" s="30">
        <v>18.434999999999999</v>
      </c>
      <c r="D93" s="30">
        <v>0.10799999999999699</v>
      </c>
      <c r="E93" s="41">
        <v>18.478935061661552</v>
      </c>
      <c r="F93" s="41">
        <v>2.8011204481792718E-2</v>
      </c>
      <c r="G93" s="39">
        <v>-4.3935061661553476E-2</v>
      </c>
      <c r="M93" s="1"/>
      <c r="N93" s="1"/>
    </row>
    <row r="94" spans="1:18" x14ac:dyDescent="0.3">
      <c r="A94" s="31" t="s">
        <v>3240</v>
      </c>
      <c r="B94" s="86" t="s">
        <v>3194</v>
      </c>
      <c r="C94" s="86"/>
      <c r="D94" s="86"/>
      <c r="E94" s="86"/>
      <c r="F94" s="86"/>
      <c r="G94" s="99"/>
      <c r="M94" s="1"/>
      <c r="N94" s="1"/>
    </row>
    <row r="95" spans="1:18" x14ac:dyDescent="0.3">
      <c r="A95" s="31" t="s">
        <v>2044</v>
      </c>
      <c r="B95" s="30">
        <v>39040</v>
      </c>
      <c r="C95" s="30">
        <v>18.507000000000001</v>
      </c>
      <c r="D95" s="30">
        <v>7.2000000000002728E-2</v>
      </c>
      <c r="E95" s="41">
        <v>18.506946266143345</v>
      </c>
      <c r="F95" s="41">
        <v>2.8011204481792718E-2</v>
      </c>
      <c r="G95" s="39">
        <v>5.3733856656634771E-5</v>
      </c>
      <c r="M95" s="1"/>
      <c r="N95" s="1"/>
    </row>
    <row r="96" spans="1:18" x14ac:dyDescent="0.3">
      <c r="A96" s="93"/>
      <c r="B96" s="91"/>
      <c r="C96" s="91"/>
      <c r="D96" s="91"/>
      <c r="E96" s="91"/>
      <c r="F96" s="91"/>
      <c r="G96" s="92"/>
      <c r="H96" t="s">
        <v>31</v>
      </c>
      <c r="M96" s="1"/>
      <c r="N96" s="1"/>
      <c r="O96">
        <v>8.130081300813009E-3</v>
      </c>
      <c r="P96">
        <v>0.16260162601626019</v>
      </c>
      <c r="Q96" s="30" t="s">
        <v>3202</v>
      </c>
      <c r="R96" s="30">
        <v>123</v>
      </c>
    </row>
    <row r="97" spans="1:15" x14ac:dyDescent="0.3">
      <c r="A97" s="31" t="s">
        <v>2045</v>
      </c>
      <c r="B97" s="30">
        <v>39060</v>
      </c>
      <c r="C97" s="30">
        <v>18.584</v>
      </c>
      <c r="D97" s="30">
        <v>7.6999999999998181E-2</v>
      </c>
      <c r="E97" s="41">
        <v>18.669547892159606</v>
      </c>
      <c r="F97" s="41">
        <v>0.16260162601626019</v>
      </c>
      <c r="G97" s="39">
        <v>-8.5547892159606675E-2</v>
      </c>
      <c r="H97">
        <v>39040</v>
      </c>
      <c r="I97">
        <v>39240</v>
      </c>
      <c r="J97">
        <v>200</v>
      </c>
      <c r="K97">
        <v>18.506946266143345</v>
      </c>
      <c r="L97">
        <v>20.137</v>
      </c>
      <c r="M97" s="1">
        <v>1.6300537338566556</v>
      </c>
      <c r="N97" s="1">
        <v>122.69534178287873</v>
      </c>
      <c r="O97">
        <v>123</v>
      </c>
    </row>
    <row r="98" spans="1:15" x14ac:dyDescent="0.3">
      <c r="A98" s="31" t="s">
        <v>2046</v>
      </c>
      <c r="B98" s="30">
        <v>39080</v>
      </c>
      <c r="C98" s="30">
        <v>18.71</v>
      </c>
      <c r="D98" s="30">
        <v>0.12600000000000122</v>
      </c>
      <c r="E98" s="41">
        <v>18.832149518175868</v>
      </c>
      <c r="F98" s="41">
        <v>0.16260162601626019</v>
      </c>
      <c r="G98" s="39">
        <v>-0.12214951817586694</v>
      </c>
      <c r="M98" s="1"/>
      <c r="N98" s="1"/>
    </row>
    <row r="99" spans="1:15" x14ac:dyDescent="0.3">
      <c r="A99" s="31" t="s">
        <v>2047</v>
      </c>
      <c r="B99" s="30">
        <v>39100</v>
      </c>
      <c r="C99" s="30">
        <v>18.852</v>
      </c>
      <c r="D99" s="30">
        <v>0.14199999999999946</v>
      </c>
      <c r="E99" s="41">
        <v>18.994751144192129</v>
      </c>
      <c r="F99" s="41">
        <v>0.16260162601626019</v>
      </c>
      <c r="G99" s="39">
        <v>-0.14275114419212898</v>
      </c>
      <c r="M99" s="1"/>
      <c r="N99" s="1"/>
    </row>
    <row r="100" spans="1:15" x14ac:dyDescent="0.3">
      <c r="A100" s="31" t="s">
        <v>2048</v>
      </c>
      <c r="B100" s="30">
        <v>39120</v>
      </c>
      <c r="C100" s="30">
        <v>19.047999999999998</v>
      </c>
      <c r="D100" s="30">
        <v>0.19599999999999795</v>
      </c>
      <c r="E100" s="41">
        <v>19.157352770208391</v>
      </c>
      <c r="F100" s="41">
        <v>0.16260162601626019</v>
      </c>
      <c r="G100" s="39">
        <v>-0.10935277020839251</v>
      </c>
      <c r="M100" s="1"/>
      <c r="N100" s="1"/>
    </row>
    <row r="101" spans="1:15" x14ac:dyDescent="0.3">
      <c r="A101" s="31" t="s">
        <v>2049</v>
      </c>
      <c r="B101" s="30">
        <v>39140</v>
      </c>
      <c r="C101" s="30">
        <v>19.253</v>
      </c>
      <c r="D101" s="30">
        <v>0.20500000000000185</v>
      </c>
      <c r="E101" s="41">
        <v>19.319954396224652</v>
      </c>
      <c r="F101" s="41">
        <v>0.16260162601626019</v>
      </c>
      <c r="G101" s="39">
        <v>-6.6954396224652157E-2</v>
      </c>
      <c r="M101" s="1"/>
      <c r="N101" s="1"/>
    </row>
    <row r="102" spans="1:15" x14ac:dyDescent="0.3">
      <c r="A102" s="31" t="s">
        <v>2050</v>
      </c>
      <c r="B102" s="30">
        <v>39160</v>
      </c>
      <c r="C102" s="30">
        <v>19.472000000000001</v>
      </c>
      <c r="D102" s="30">
        <v>0.21900000000000119</v>
      </c>
      <c r="E102" s="41">
        <v>19.482556022240914</v>
      </c>
      <c r="F102" s="41">
        <v>0.16260162601626019</v>
      </c>
      <c r="G102" s="39">
        <v>-1.0556022240912455E-2</v>
      </c>
      <c r="M102" s="1"/>
      <c r="N102" s="1"/>
    </row>
    <row r="103" spans="1:15" x14ac:dyDescent="0.3">
      <c r="A103" s="31" t="s">
        <v>2051</v>
      </c>
      <c r="B103" s="30">
        <v>39180</v>
      </c>
      <c r="C103" s="30">
        <v>19.734999999999999</v>
      </c>
      <c r="D103" s="30">
        <v>0.26299999999999812</v>
      </c>
      <c r="E103" s="41">
        <v>19.645157648257175</v>
      </c>
      <c r="F103" s="41">
        <v>0.16260162601626019</v>
      </c>
      <c r="G103" s="39">
        <v>8.9842351742824178E-2</v>
      </c>
      <c r="M103" s="1"/>
      <c r="N103" s="1"/>
    </row>
    <row r="104" spans="1:15" x14ac:dyDescent="0.3">
      <c r="A104" s="31" t="s">
        <v>2052</v>
      </c>
      <c r="B104" s="30">
        <v>39200</v>
      </c>
      <c r="C104" s="30">
        <v>19.949000000000002</v>
      </c>
      <c r="D104" s="30">
        <v>0.21400000000000219</v>
      </c>
      <c r="E104" s="41">
        <v>19.807759274273437</v>
      </c>
      <c r="F104" s="41">
        <v>0.16260162601626019</v>
      </c>
      <c r="G104" s="39">
        <v>0.14124072572656488</v>
      </c>
      <c r="M104" s="1"/>
      <c r="N104" s="1"/>
    </row>
    <row r="105" spans="1:15" x14ac:dyDescent="0.3">
      <c r="A105" s="31" t="s">
        <v>2053</v>
      </c>
      <c r="B105" s="30">
        <v>39220</v>
      </c>
      <c r="C105" s="30">
        <v>20.097000000000001</v>
      </c>
      <c r="D105" s="30">
        <v>0.14799999999999969</v>
      </c>
      <c r="E105" s="41">
        <v>19.970360900289698</v>
      </c>
      <c r="F105" s="41">
        <v>0.16260162601626019</v>
      </c>
      <c r="G105" s="39">
        <v>0.12663909971030307</v>
      </c>
      <c r="M105" s="1"/>
      <c r="N105" s="1"/>
    </row>
    <row r="106" spans="1:15" ht="15" thickBot="1" x14ac:dyDescent="0.35">
      <c r="A106" s="33" t="s">
        <v>2054</v>
      </c>
      <c r="B106" s="34">
        <v>39240</v>
      </c>
      <c r="C106" s="34">
        <v>20.137</v>
      </c>
      <c r="D106" s="34">
        <v>3.9999999999999147E-2</v>
      </c>
      <c r="E106" s="42">
        <v>20.13296252630596</v>
      </c>
      <c r="F106" s="42">
        <v>0.16260162601626019</v>
      </c>
      <c r="G106" s="40">
        <v>4.0374736940407274E-3</v>
      </c>
      <c r="M106" s="1"/>
      <c r="N106" s="1"/>
    </row>
  </sheetData>
  <mergeCells count="10">
    <mergeCell ref="B94:G94"/>
    <mergeCell ref="E1:G1"/>
    <mergeCell ref="Q1:R1"/>
    <mergeCell ref="A96:G96"/>
    <mergeCell ref="B18:G18"/>
    <mergeCell ref="B22:G22"/>
    <mergeCell ref="B28:G28"/>
    <mergeCell ref="B71:G71"/>
    <mergeCell ref="B86:G86"/>
    <mergeCell ref="B91:G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A1CD-2189-4532-87F4-0F3136616340}">
  <dimension ref="A1:R156"/>
  <sheetViews>
    <sheetView workbookViewId="0">
      <selection activeCell="B18" sqref="B18:G18"/>
    </sheetView>
  </sheetViews>
  <sheetFormatPr defaultRowHeight="14.4" x14ac:dyDescent="0.3"/>
  <cols>
    <col min="1" max="1" width="20.88671875" bestFit="1" customWidth="1"/>
    <col min="2" max="2" width="22.44140625" bestFit="1" customWidth="1"/>
    <col min="3" max="3" width="5.6640625" bestFit="1" customWidth="1"/>
    <col min="4" max="4" width="10.44140625" bestFit="1" customWidth="1"/>
    <col min="5" max="6" width="11.6640625" bestFit="1" customWidth="1"/>
    <col min="7" max="7" width="12.21875" bestFit="1" customWidth="1"/>
    <col min="8" max="8" width="11.5546875" bestFit="1" customWidth="1"/>
    <col min="9" max="9" width="10" bestFit="1" customWidth="1"/>
    <col min="10" max="10" width="8.6640625" bestFit="1" customWidth="1"/>
    <col min="11" max="11" width="11.6640625" bestFit="1" customWidth="1"/>
    <col min="12" max="12" width="9.6640625" bestFit="1" customWidth="1"/>
    <col min="13" max="14" width="12.21875" bestFit="1" customWidth="1"/>
    <col min="15" max="16" width="11.6640625" bestFit="1" customWidth="1"/>
    <col min="17" max="17" width="4.33203125" bestFit="1" customWidth="1"/>
    <col min="18" max="18" width="4.6640625" bestFit="1" customWidth="1"/>
  </cols>
  <sheetData>
    <row r="1" spans="1:18" ht="15" thickBot="1" x14ac:dyDescent="0.35">
      <c r="A1" s="45" t="s">
        <v>3284</v>
      </c>
      <c r="B1" s="46" t="s">
        <v>3285</v>
      </c>
      <c r="C1" s="46" t="s">
        <v>1</v>
      </c>
      <c r="D1" s="46" t="s">
        <v>3286</v>
      </c>
      <c r="E1" s="100" t="s">
        <v>52</v>
      </c>
      <c r="F1" s="100"/>
      <c r="G1" s="101"/>
      <c r="H1" s="44" t="s">
        <v>3293</v>
      </c>
      <c r="I1" s="44" t="s">
        <v>3290</v>
      </c>
      <c r="J1" s="44" t="s">
        <v>3289</v>
      </c>
      <c r="K1" s="44" t="s">
        <v>3291</v>
      </c>
      <c r="L1" s="44" t="s">
        <v>3292</v>
      </c>
      <c r="Q1" s="86" t="s">
        <v>3287</v>
      </c>
      <c r="R1" s="86"/>
    </row>
    <row r="2" spans="1:18" x14ac:dyDescent="0.3">
      <c r="A2" s="47" t="s">
        <v>2663</v>
      </c>
      <c r="B2" s="48">
        <v>51180</v>
      </c>
      <c r="C2" s="48">
        <v>3.6469999999999998</v>
      </c>
      <c r="D2" s="48">
        <v>3.0999999999999694E-2</v>
      </c>
      <c r="E2" s="48">
        <v>3.7212048994565996</v>
      </c>
      <c r="F2" s="48">
        <v>4.8426150121065381E-2</v>
      </c>
      <c r="G2" s="51">
        <v>-7.4204899456599804E-2</v>
      </c>
      <c r="H2" t="s">
        <v>3281</v>
      </c>
      <c r="O2">
        <v>2.4213075060532689E-3</v>
      </c>
      <c r="P2">
        <v>4.8426150121065381E-2</v>
      </c>
      <c r="Q2" s="30" t="s">
        <v>3202</v>
      </c>
      <c r="R2" s="30">
        <v>413</v>
      </c>
    </row>
    <row r="3" spans="1:18" x14ac:dyDescent="0.3">
      <c r="A3" s="31" t="s">
        <v>2664</v>
      </c>
      <c r="B3" s="30">
        <v>51200</v>
      </c>
      <c r="C3" s="30">
        <v>3.6720000000000002</v>
      </c>
      <c r="D3" s="30">
        <v>2.5000000000000355E-2</v>
      </c>
      <c r="E3" s="30">
        <v>3.769631049577665</v>
      </c>
      <c r="F3" s="30">
        <v>4.8426150121065381E-2</v>
      </c>
      <c r="G3" s="32">
        <v>-9.7631049577664886E-2</v>
      </c>
      <c r="H3">
        <v>51160</v>
      </c>
      <c r="I3">
        <v>51480</v>
      </c>
      <c r="J3">
        <v>320</v>
      </c>
      <c r="K3">
        <v>3.6727787493355342</v>
      </c>
      <c r="L3">
        <v>4.4480000000000004</v>
      </c>
      <c r="M3">
        <v>0.77522125066446623</v>
      </c>
      <c r="N3">
        <v>412.78538188384033</v>
      </c>
      <c r="O3">
        <v>413</v>
      </c>
    </row>
    <row r="4" spans="1:18" x14ac:dyDescent="0.3">
      <c r="A4" s="31" t="s">
        <v>2665</v>
      </c>
      <c r="B4" s="30">
        <v>51220</v>
      </c>
      <c r="C4" s="30">
        <v>3.7090000000000001</v>
      </c>
      <c r="D4" s="30">
        <v>3.6999999999999922E-2</v>
      </c>
      <c r="E4" s="30">
        <v>3.8180571996987305</v>
      </c>
      <c r="F4" s="30">
        <v>4.8426150121065381E-2</v>
      </c>
      <c r="G4" s="32">
        <v>-0.1090571996987304</v>
      </c>
    </row>
    <row r="5" spans="1:18" x14ac:dyDescent="0.3">
      <c r="A5" s="31" t="s">
        <v>2666</v>
      </c>
      <c r="B5" s="30">
        <v>51240</v>
      </c>
      <c r="C5" s="30">
        <v>3.7480000000000002</v>
      </c>
      <c r="D5" s="30">
        <v>3.9000000000000146E-2</v>
      </c>
      <c r="E5" s="30">
        <v>3.8664833498197959</v>
      </c>
      <c r="F5" s="30">
        <v>4.8426150121065381E-2</v>
      </c>
      <c r="G5" s="32">
        <v>-0.11848334981979569</v>
      </c>
    </row>
    <row r="6" spans="1:18" x14ac:dyDescent="0.3">
      <c r="A6" s="31" t="s">
        <v>2667</v>
      </c>
      <c r="B6" s="30">
        <v>51260</v>
      </c>
      <c r="C6" s="30">
        <v>3.7759999999999998</v>
      </c>
      <c r="D6" s="30">
        <v>2.7999999999999581E-2</v>
      </c>
      <c r="E6" s="30">
        <v>3.9149094999408613</v>
      </c>
      <c r="F6" s="30">
        <v>4.8426150121065381E-2</v>
      </c>
      <c r="G6" s="32">
        <v>-0.13890949994086155</v>
      </c>
    </row>
    <row r="7" spans="1:18" x14ac:dyDescent="0.3">
      <c r="A7" s="31" t="s">
        <v>2668</v>
      </c>
      <c r="B7" s="30">
        <v>51280</v>
      </c>
      <c r="C7" s="30">
        <v>3.8159999999999998</v>
      </c>
      <c r="D7" s="30">
        <v>4.0000000000000036E-2</v>
      </c>
      <c r="E7" s="30">
        <v>3.9633356500619268</v>
      </c>
      <c r="F7" s="30">
        <v>4.8426150121065381E-2</v>
      </c>
      <c r="G7" s="32">
        <v>-0.14733565006192695</v>
      </c>
    </row>
    <row r="8" spans="1:18" x14ac:dyDescent="0.3">
      <c r="A8" s="31" t="s">
        <v>2669</v>
      </c>
      <c r="B8" s="30">
        <v>51300</v>
      </c>
      <c r="C8" s="30">
        <v>3.8769999999999998</v>
      </c>
      <c r="D8" s="30">
        <v>6.0999999999999943E-2</v>
      </c>
      <c r="E8" s="30">
        <v>4.0117618001829918</v>
      </c>
      <c r="F8" s="30">
        <v>4.8426150121065381E-2</v>
      </c>
      <c r="G8" s="32">
        <v>-0.134761800182992</v>
      </c>
    </row>
    <row r="9" spans="1:18" x14ac:dyDescent="0.3">
      <c r="A9" s="31" t="s">
        <v>2670</v>
      </c>
      <c r="B9" s="30">
        <v>51320</v>
      </c>
      <c r="C9" s="30">
        <v>3.9350000000000001</v>
      </c>
      <c r="D9" s="30">
        <v>5.8000000000000274E-2</v>
      </c>
      <c r="E9" s="30">
        <v>4.0601879503040568</v>
      </c>
      <c r="F9" s="30">
        <v>4.8426150121065381E-2</v>
      </c>
      <c r="G9" s="32">
        <v>-0.12518795030405672</v>
      </c>
    </row>
    <row r="10" spans="1:18" x14ac:dyDescent="0.3">
      <c r="A10" s="31" t="s">
        <v>2671</v>
      </c>
      <c r="B10" s="30">
        <v>51340</v>
      </c>
      <c r="C10" s="30">
        <v>3.9940000000000002</v>
      </c>
      <c r="D10" s="30">
        <v>5.9000000000000163E-2</v>
      </c>
      <c r="E10" s="30">
        <v>4.1086141004251218</v>
      </c>
      <c r="F10" s="30">
        <v>4.8426150121065381E-2</v>
      </c>
      <c r="G10" s="32">
        <v>-0.11461410042512155</v>
      </c>
    </row>
    <row r="11" spans="1:18" x14ac:dyDescent="0.3">
      <c r="A11" s="31" t="s">
        <v>2672</v>
      </c>
      <c r="B11" s="30">
        <v>51360</v>
      </c>
      <c r="C11" s="30">
        <v>4.0789999999999997</v>
      </c>
      <c r="D11" s="30">
        <v>8.499999999999952E-2</v>
      </c>
      <c r="E11" s="30">
        <v>4.1570402505461868</v>
      </c>
      <c r="F11" s="30">
        <v>4.8426150121065381E-2</v>
      </c>
      <c r="G11" s="32">
        <v>-7.8040250546187018E-2</v>
      </c>
    </row>
    <row r="12" spans="1:18" x14ac:dyDescent="0.3">
      <c r="A12" s="31" t="s">
        <v>2673</v>
      </c>
      <c r="B12" s="30">
        <v>51380</v>
      </c>
      <c r="C12" s="30">
        <v>4.1719999999999997</v>
      </c>
      <c r="D12" s="30">
        <v>9.2999999999999972E-2</v>
      </c>
      <c r="E12" s="30">
        <v>4.2054664006672517</v>
      </c>
      <c r="F12" s="30">
        <v>4.8426150121065381E-2</v>
      </c>
      <c r="G12" s="32">
        <v>-3.3466400667252039E-2</v>
      </c>
    </row>
    <row r="13" spans="1:18" x14ac:dyDescent="0.3">
      <c r="A13" s="31" t="s">
        <v>2674</v>
      </c>
      <c r="B13" s="30">
        <v>51400</v>
      </c>
      <c r="C13" s="30">
        <v>4.242</v>
      </c>
      <c r="D13" s="30">
        <v>7.0000000000000284E-2</v>
      </c>
      <c r="E13" s="30">
        <v>4.2538925507883167</v>
      </c>
      <c r="F13" s="30">
        <v>4.8426150121065381E-2</v>
      </c>
      <c r="G13" s="32">
        <v>-1.1892550788316747E-2</v>
      </c>
    </row>
    <row r="14" spans="1:18" x14ac:dyDescent="0.3">
      <c r="A14" s="31" t="s">
        <v>2675</v>
      </c>
      <c r="B14" s="30">
        <v>51420</v>
      </c>
      <c r="C14" s="30">
        <v>4.3070000000000004</v>
      </c>
      <c r="D14" s="30">
        <v>6.5000000000000391E-2</v>
      </c>
      <c r="E14" s="30">
        <v>4.3023187009093817</v>
      </c>
      <c r="F14" s="30">
        <v>4.8426150121065381E-2</v>
      </c>
      <c r="G14" s="32">
        <v>4.6812990906186513E-3</v>
      </c>
    </row>
    <row r="15" spans="1:18" x14ac:dyDescent="0.3">
      <c r="A15" s="31" t="s">
        <v>2676</v>
      </c>
      <c r="B15" s="30">
        <v>51440</v>
      </c>
      <c r="C15" s="30">
        <v>4.3559999999999999</v>
      </c>
      <c r="D15" s="30">
        <v>4.8999999999999488E-2</v>
      </c>
      <c r="E15" s="30">
        <v>4.3507448510304467</v>
      </c>
      <c r="F15" s="30">
        <v>4.8426150121065381E-2</v>
      </c>
      <c r="G15" s="32">
        <v>5.2551489695531473E-3</v>
      </c>
    </row>
    <row r="16" spans="1:18" x14ac:dyDescent="0.3">
      <c r="A16" s="31" t="s">
        <v>2677</v>
      </c>
      <c r="B16" s="30">
        <v>51460</v>
      </c>
      <c r="C16" s="30">
        <v>4.4169999999999998</v>
      </c>
      <c r="D16" s="30">
        <v>6.0999999999999943E-2</v>
      </c>
      <c r="E16" s="30">
        <v>4.3991710011515117</v>
      </c>
      <c r="F16" s="30">
        <v>4.8426150121065381E-2</v>
      </c>
      <c r="G16" s="32">
        <v>1.7828998848488098E-2</v>
      </c>
    </row>
    <row r="17" spans="1:18" x14ac:dyDescent="0.3">
      <c r="A17" s="31" t="s">
        <v>2678</v>
      </c>
      <c r="B17" s="30">
        <v>51480</v>
      </c>
      <c r="C17" s="30">
        <v>4.4480000000000004</v>
      </c>
      <c r="D17" s="30">
        <v>3.1000000000000583E-2</v>
      </c>
      <c r="E17" s="30">
        <v>4.4475971512725767</v>
      </c>
      <c r="F17" s="30">
        <v>4.8426150121065381E-2</v>
      </c>
      <c r="G17" s="32">
        <v>4.0284872742368805E-4</v>
      </c>
    </row>
    <row r="18" spans="1:18" x14ac:dyDescent="0.3">
      <c r="A18" s="31" t="s">
        <v>3250</v>
      </c>
      <c r="B18" s="96" t="s">
        <v>3194</v>
      </c>
      <c r="C18" s="97"/>
      <c r="D18" s="97"/>
      <c r="E18" s="97"/>
      <c r="F18" s="97"/>
      <c r="G18" s="98"/>
      <c r="H18" t="s">
        <v>3282</v>
      </c>
      <c r="O18">
        <v>2.5960539979231567E-4</v>
      </c>
      <c r="P18">
        <v>5.192107995846313E-3</v>
      </c>
      <c r="Q18" s="30" t="s">
        <v>3200</v>
      </c>
      <c r="R18" s="30">
        <v>3852</v>
      </c>
    </row>
    <row r="19" spans="1:18" x14ac:dyDescent="0.3">
      <c r="A19" s="31" t="s">
        <v>2679</v>
      </c>
      <c r="B19" s="30">
        <v>51500</v>
      </c>
      <c r="C19" s="30">
        <v>4.4829999999999997</v>
      </c>
      <c r="D19" s="30">
        <v>3.4999999999999254E-2</v>
      </c>
      <c r="E19" s="30">
        <v>4.4424050432767306</v>
      </c>
      <c r="F19" s="30">
        <v>5.192107995846313E-3</v>
      </c>
      <c r="G19" s="32">
        <v>4.0594956723269071E-2</v>
      </c>
      <c r="H19">
        <v>51480</v>
      </c>
      <c r="I19">
        <v>52900</v>
      </c>
      <c r="J19">
        <v>1420</v>
      </c>
      <c r="K19">
        <v>4.4475971512725767</v>
      </c>
      <c r="L19">
        <v>4.0789999999999997</v>
      </c>
      <c r="M19">
        <v>-0.36859715127257697</v>
      </c>
      <c r="N19">
        <v>-3852.4443151485789</v>
      </c>
      <c r="O19">
        <v>3852</v>
      </c>
    </row>
    <row r="20" spans="1:18" x14ac:dyDescent="0.3">
      <c r="A20" s="31" t="s">
        <v>2680</v>
      </c>
      <c r="B20" s="30">
        <v>51520</v>
      </c>
      <c r="C20" s="30">
        <v>4.5339999999999998</v>
      </c>
      <c r="D20" s="30">
        <v>5.1000000000000156E-2</v>
      </c>
      <c r="E20" s="30">
        <v>4.4372129352808845</v>
      </c>
      <c r="F20" s="30">
        <v>5.192107995846313E-3</v>
      </c>
      <c r="G20" s="32">
        <v>9.6787064719115357E-2</v>
      </c>
    </row>
    <row r="21" spans="1:18" x14ac:dyDescent="0.3">
      <c r="A21" s="31" t="s">
        <v>2681</v>
      </c>
      <c r="B21" s="30">
        <v>51540</v>
      </c>
      <c r="C21" s="30">
        <v>4.5229999999999997</v>
      </c>
      <c r="D21" s="30">
        <v>-1.1000000000000121E-2</v>
      </c>
      <c r="E21" s="30">
        <v>4.4320208272850383</v>
      </c>
      <c r="F21" s="30">
        <v>5.192107995846313E-3</v>
      </c>
      <c r="G21" s="32">
        <v>9.0979172714961365E-2</v>
      </c>
    </row>
    <row r="22" spans="1:18" x14ac:dyDescent="0.3">
      <c r="A22" s="31" t="s">
        <v>3252</v>
      </c>
      <c r="B22" s="96" t="s">
        <v>3251</v>
      </c>
      <c r="C22" s="97"/>
      <c r="D22" s="97"/>
      <c r="E22" s="97"/>
      <c r="F22" s="97"/>
      <c r="G22" s="98"/>
    </row>
    <row r="23" spans="1:18" x14ac:dyDescent="0.3">
      <c r="A23" s="31" t="s">
        <v>2682</v>
      </c>
      <c r="B23" s="30">
        <v>51560</v>
      </c>
      <c r="C23" s="30">
        <v>4.5309999999999997</v>
      </c>
      <c r="D23" s="30">
        <v>8.0000000000000071E-3</v>
      </c>
      <c r="E23" s="30">
        <v>4.4268287192891922</v>
      </c>
      <c r="F23" s="30">
        <v>5.192107995846313E-3</v>
      </c>
      <c r="G23" s="32">
        <v>0.1041712807108075</v>
      </c>
    </row>
    <row r="24" spans="1:18" x14ac:dyDescent="0.3">
      <c r="A24" s="31"/>
      <c r="B24" s="30"/>
      <c r="C24" s="30"/>
      <c r="D24" s="30"/>
      <c r="E24" s="30"/>
      <c r="F24" s="30"/>
      <c r="G24" s="32"/>
    </row>
    <row r="25" spans="1:18" x14ac:dyDescent="0.3">
      <c r="A25" s="31" t="s">
        <v>2683</v>
      </c>
      <c r="B25" s="30">
        <v>51580</v>
      </c>
      <c r="C25" s="30">
        <v>4.5090000000000003</v>
      </c>
      <c r="D25" s="30">
        <v>-2.1999999999999353E-2</v>
      </c>
      <c r="E25" s="30">
        <v>4.4216366112933461</v>
      </c>
      <c r="F25" s="30">
        <v>5.192107995846313E-3</v>
      </c>
      <c r="G25" s="32">
        <v>8.7363388706654277E-2</v>
      </c>
    </row>
    <row r="26" spans="1:18" x14ac:dyDescent="0.3">
      <c r="A26" s="31" t="s">
        <v>2684</v>
      </c>
      <c r="B26" s="30">
        <v>51600</v>
      </c>
      <c r="C26" s="30">
        <v>4.4950000000000001</v>
      </c>
      <c r="D26" s="30">
        <v>-1.4000000000000234E-2</v>
      </c>
      <c r="E26" s="30">
        <v>4.4164445032974999</v>
      </c>
      <c r="F26" s="30">
        <v>5.192107995846313E-3</v>
      </c>
      <c r="G26" s="32">
        <v>7.8555496702500172E-2</v>
      </c>
    </row>
    <row r="27" spans="1:18" x14ac:dyDescent="0.3">
      <c r="A27" s="31" t="s">
        <v>2685</v>
      </c>
      <c r="B27" s="30">
        <v>51620</v>
      </c>
      <c r="C27" s="30">
        <v>4.4770000000000003</v>
      </c>
      <c r="D27" s="30">
        <v>-1.7999999999999794E-2</v>
      </c>
      <c r="E27" s="30">
        <v>4.4112523953016538</v>
      </c>
      <c r="F27" s="30">
        <v>5.192107995846313E-3</v>
      </c>
      <c r="G27" s="32">
        <v>6.5747604698346507E-2</v>
      </c>
    </row>
    <row r="28" spans="1:18" x14ac:dyDescent="0.3">
      <c r="A28" s="31" t="s">
        <v>3253</v>
      </c>
      <c r="B28" s="96" t="s">
        <v>3222</v>
      </c>
      <c r="C28" s="97"/>
      <c r="D28" s="97"/>
      <c r="E28" s="97"/>
      <c r="F28" s="97"/>
      <c r="G28" s="98"/>
    </row>
    <row r="29" spans="1:18" x14ac:dyDescent="0.3">
      <c r="A29" s="31" t="s">
        <v>2686</v>
      </c>
      <c r="B29" s="30">
        <v>51640</v>
      </c>
      <c r="C29" s="30">
        <v>4.46</v>
      </c>
      <c r="D29" s="30">
        <v>-1.7000000000000348E-2</v>
      </c>
      <c r="E29" s="30">
        <v>4.4060602873058077</v>
      </c>
      <c r="F29" s="30">
        <v>5.192107995846313E-3</v>
      </c>
      <c r="G29" s="32">
        <v>5.3939712694192288E-2</v>
      </c>
    </row>
    <row r="30" spans="1:18" x14ac:dyDescent="0.3">
      <c r="A30" s="31" t="s">
        <v>2687</v>
      </c>
      <c r="B30" s="30">
        <v>51660</v>
      </c>
      <c r="C30" s="30">
        <v>4.4210000000000003</v>
      </c>
      <c r="D30" s="30">
        <v>-3.8999999999999702E-2</v>
      </c>
      <c r="E30" s="30">
        <v>4.4008681793099615</v>
      </c>
      <c r="F30" s="30">
        <v>5.192107995846313E-3</v>
      </c>
      <c r="G30" s="32">
        <v>2.0131820690038715E-2</v>
      </c>
    </row>
    <row r="31" spans="1:18" x14ac:dyDescent="0.3">
      <c r="A31" s="31" t="s">
        <v>3254</v>
      </c>
      <c r="B31" s="96" t="s">
        <v>3255</v>
      </c>
      <c r="C31" s="97"/>
      <c r="D31" s="97"/>
      <c r="E31" s="97"/>
      <c r="F31" s="97"/>
      <c r="G31" s="98"/>
    </row>
    <row r="32" spans="1:18" x14ac:dyDescent="0.3">
      <c r="A32" s="31" t="s">
        <v>2688</v>
      </c>
      <c r="B32" s="30">
        <v>51680</v>
      </c>
      <c r="C32" s="30">
        <v>4.41</v>
      </c>
      <c r="D32" s="30">
        <v>-1.1000000000000121E-2</v>
      </c>
      <c r="E32" s="30">
        <v>4.3956760713141154</v>
      </c>
      <c r="F32" s="30">
        <v>5.192107995846313E-3</v>
      </c>
      <c r="G32" s="32">
        <v>1.4323928685884724E-2</v>
      </c>
    </row>
    <row r="33" spans="1:7" x14ac:dyDescent="0.3">
      <c r="A33" s="31" t="s">
        <v>2689</v>
      </c>
      <c r="B33" s="30">
        <v>51700</v>
      </c>
      <c r="C33" s="30">
        <v>4.375</v>
      </c>
      <c r="D33" s="30">
        <v>-3.5000000000000142E-2</v>
      </c>
      <c r="E33" s="30">
        <v>4.3904839633182693</v>
      </c>
      <c r="F33" s="30">
        <v>5.192107995846313E-3</v>
      </c>
      <c r="G33" s="32">
        <v>-1.5483963318269289E-2</v>
      </c>
    </row>
    <row r="34" spans="1:7" x14ac:dyDescent="0.3">
      <c r="A34" s="31" t="s">
        <v>2690</v>
      </c>
      <c r="B34" s="30">
        <v>51720</v>
      </c>
      <c r="C34" s="30">
        <v>4.3330000000000002</v>
      </c>
      <c r="D34" s="30">
        <v>-4.1999999999999815E-2</v>
      </c>
      <c r="E34" s="30">
        <v>4.3852918553224232</v>
      </c>
      <c r="F34" s="30">
        <v>5.192107995846313E-3</v>
      </c>
      <c r="G34" s="32">
        <v>-5.2291855322422975E-2</v>
      </c>
    </row>
    <row r="35" spans="1:7" x14ac:dyDescent="0.3">
      <c r="A35" s="31" t="s">
        <v>2691</v>
      </c>
      <c r="B35" s="30">
        <v>51740</v>
      </c>
      <c r="C35" s="30">
        <v>4.3209999999999997</v>
      </c>
      <c r="D35" s="30">
        <v>-1.2000000000000455E-2</v>
      </c>
      <c r="E35" s="30">
        <v>4.380099747326577</v>
      </c>
      <c r="F35" s="30">
        <v>5.192107995846313E-3</v>
      </c>
      <c r="G35" s="32">
        <v>-5.9099747326577301E-2</v>
      </c>
    </row>
    <row r="36" spans="1:7" x14ac:dyDescent="0.3">
      <c r="A36" s="31" t="s">
        <v>2692</v>
      </c>
      <c r="B36" s="30">
        <v>51760</v>
      </c>
      <c r="C36" s="30">
        <v>4.3150000000000004</v>
      </c>
      <c r="D36" s="30">
        <v>-5.9999999999993392E-3</v>
      </c>
      <c r="E36" s="30">
        <v>4.3749076393307309</v>
      </c>
      <c r="F36" s="30">
        <v>5.192107995846313E-3</v>
      </c>
      <c r="G36" s="32">
        <v>-5.9907639330730511E-2</v>
      </c>
    </row>
    <row r="37" spans="1:7" x14ac:dyDescent="0.3">
      <c r="A37" s="31" t="s">
        <v>2693</v>
      </c>
      <c r="B37" s="30">
        <v>51780</v>
      </c>
      <c r="C37" s="30">
        <v>4.3330000000000002</v>
      </c>
      <c r="D37" s="30">
        <v>1.7999999999999794E-2</v>
      </c>
      <c r="E37" s="30">
        <v>4.3697155313348848</v>
      </c>
      <c r="F37" s="30">
        <v>5.192107995846313E-3</v>
      </c>
      <c r="G37" s="32">
        <v>-3.6715531334884588E-2</v>
      </c>
    </row>
    <row r="38" spans="1:7" x14ac:dyDescent="0.3">
      <c r="A38" s="31" t="s">
        <v>2694</v>
      </c>
      <c r="B38" s="30">
        <v>51800</v>
      </c>
      <c r="C38" s="30">
        <v>4.3330000000000002</v>
      </c>
      <c r="D38" s="30">
        <v>0</v>
      </c>
      <c r="E38" s="30">
        <v>4.3645234233390386</v>
      </c>
      <c r="F38" s="30">
        <v>5.192107995846313E-3</v>
      </c>
      <c r="G38" s="32">
        <v>-3.1523423339038459E-2</v>
      </c>
    </row>
    <row r="39" spans="1:7" x14ac:dyDescent="0.3">
      <c r="A39" s="31" t="s">
        <v>2695</v>
      </c>
      <c r="B39" s="30">
        <v>51820</v>
      </c>
      <c r="C39" s="30">
        <v>4.3239999999999998</v>
      </c>
      <c r="D39" s="30">
        <v>-9.0000000000003411E-3</v>
      </c>
      <c r="E39" s="30">
        <v>4.3593313153431925</v>
      </c>
      <c r="F39" s="30">
        <v>5.192107995846313E-3</v>
      </c>
      <c r="G39" s="32">
        <v>-3.5331315343192671E-2</v>
      </c>
    </row>
    <row r="40" spans="1:7" x14ac:dyDescent="0.3">
      <c r="A40" s="31" t="s">
        <v>2696</v>
      </c>
      <c r="B40" s="30">
        <v>51840</v>
      </c>
      <c r="C40" s="30">
        <v>4.3529999999999998</v>
      </c>
      <c r="D40" s="30">
        <v>2.8999999999999915E-2</v>
      </c>
      <c r="E40" s="30">
        <v>4.3541392073473464</v>
      </c>
      <c r="F40" s="30">
        <v>5.192107995846313E-3</v>
      </c>
      <c r="G40" s="32">
        <v>-1.1392073473466269E-3</v>
      </c>
    </row>
    <row r="41" spans="1:7" x14ac:dyDescent="0.3">
      <c r="A41" s="31" t="s">
        <v>2697</v>
      </c>
      <c r="B41" s="30">
        <v>51860</v>
      </c>
      <c r="C41" s="30">
        <v>4.3559999999999999</v>
      </c>
      <c r="D41" s="30">
        <v>3.0000000000001137E-3</v>
      </c>
      <c r="E41" s="30">
        <v>4.3489470993515003</v>
      </c>
      <c r="F41" s="30">
        <v>5.192107995846313E-3</v>
      </c>
      <c r="G41" s="32">
        <v>7.052900648499616E-3</v>
      </c>
    </row>
    <row r="42" spans="1:7" x14ac:dyDescent="0.3">
      <c r="A42" s="31" t="s">
        <v>2698</v>
      </c>
      <c r="B42" s="30">
        <v>51880</v>
      </c>
      <c r="C42" s="30">
        <v>4.3760000000000003</v>
      </c>
      <c r="D42" s="30">
        <v>2.0000000000000462E-2</v>
      </c>
      <c r="E42" s="30">
        <v>4.3437549913556541</v>
      </c>
      <c r="F42" s="30">
        <v>5.192107995846313E-3</v>
      </c>
      <c r="G42" s="32">
        <v>3.2245008644346207E-2</v>
      </c>
    </row>
    <row r="43" spans="1:7" x14ac:dyDescent="0.3">
      <c r="A43" s="31" t="s">
        <v>2699</v>
      </c>
      <c r="B43" s="30">
        <v>51900</v>
      </c>
      <c r="C43" s="30">
        <v>4.3920000000000003</v>
      </c>
      <c r="D43" s="30">
        <v>1.6000000000000014E-2</v>
      </c>
      <c r="E43" s="30">
        <v>4.338562883359808</v>
      </c>
      <c r="F43" s="30">
        <v>5.192107995846313E-3</v>
      </c>
      <c r="G43" s="32">
        <v>5.343711664019235E-2</v>
      </c>
    </row>
    <row r="44" spans="1:7" x14ac:dyDescent="0.3">
      <c r="A44" s="31" t="s">
        <v>2700</v>
      </c>
      <c r="B44" s="30">
        <v>51920</v>
      </c>
      <c r="C44" s="30">
        <v>4.4130000000000003</v>
      </c>
      <c r="D44" s="30">
        <v>2.0999999999999908E-2</v>
      </c>
      <c r="E44" s="30">
        <v>4.3333707753639619</v>
      </c>
      <c r="F44" s="30">
        <v>5.192107995846313E-3</v>
      </c>
      <c r="G44" s="32">
        <v>7.9629224636038387E-2</v>
      </c>
    </row>
    <row r="45" spans="1:7" x14ac:dyDescent="0.3">
      <c r="A45" s="31" t="s">
        <v>2701</v>
      </c>
      <c r="B45" s="30">
        <v>51940</v>
      </c>
      <c r="C45" s="30">
        <v>4.4009999999999998</v>
      </c>
      <c r="D45" s="30">
        <v>-1.2000000000000455E-2</v>
      </c>
      <c r="E45" s="30">
        <v>4.3281786673681157</v>
      </c>
      <c r="F45" s="30">
        <v>5.192107995846313E-3</v>
      </c>
      <c r="G45" s="32">
        <v>7.2821332631884061E-2</v>
      </c>
    </row>
    <row r="46" spans="1:7" x14ac:dyDescent="0.3">
      <c r="A46" s="31" t="s">
        <v>2702</v>
      </c>
      <c r="B46" s="30">
        <v>51960</v>
      </c>
      <c r="C46" s="30">
        <v>4.4089999999999998</v>
      </c>
      <c r="D46" s="30">
        <v>8.0000000000000071E-3</v>
      </c>
      <c r="E46" s="30">
        <v>4.3229865593722696</v>
      </c>
      <c r="F46" s="30">
        <v>5.192107995846313E-3</v>
      </c>
      <c r="G46" s="32">
        <v>8.6013440627730198E-2</v>
      </c>
    </row>
    <row r="47" spans="1:7" x14ac:dyDescent="0.3">
      <c r="A47" s="31" t="s">
        <v>2703</v>
      </c>
      <c r="B47" s="90"/>
      <c r="C47" s="91"/>
      <c r="D47" s="91"/>
      <c r="E47" s="91"/>
      <c r="F47" s="91"/>
      <c r="G47" s="92"/>
    </row>
    <row r="48" spans="1:7" x14ac:dyDescent="0.3">
      <c r="A48" s="31" t="s">
        <v>2704</v>
      </c>
      <c r="B48" s="30">
        <v>51980</v>
      </c>
      <c r="C48" s="30">
        <v>4.383</v>
      </c>
      <c r="D48" s="30">
        <v>-2.5999999999999801E-2</v>
      </c>
      <c r="E48" s="30">
        <v>4.3177944513764235</v>
      </c>
      <c r="F48" s="30">
        <v>5.192107995846313E-3</v>
      </c>
      <c r="G48" s="32">
        <v>6.5205548623576526E-2</v>
      </c>
    </row>
    <row r="49" spans="1:7" x14ac:dyDescent="0.3">
      <c r="A49" s="31" t="s">
        <v>2705</v>
      </c>
      <c r="B49" s="30">
        <v>52000</v>
      </c>
      <c r="C49" s="30">
        <v>4.4219999999999997</v>
      </c>
      <c r="D49" s="30">
        <v>3.8999999999999702E-2</v>
      </c>
      <c r="E49" s="30">
        <v>4.3126023433805774</v>
      </c>
      <c r="F49" s="30">
        <v>5.192107995846313E-3</v>
      </c>
      <c r="G49" s="32">
        <v>0.10939765661942236</v>
      </c>
    </row>
    <row r="50" spans="1:7" x14ac:dyDescent="0.3">
      <c r="A50" s="31" t="s">
        <v>2706</v>
      </c>
      <c r="B50" s="30">
        <v>52020</v>
      </c>
      <c r="C50" s="30">
        <v>4.4119999999999999</v>
      </c>
      <c r="D50" s="30">
        <v>-9.9999999999997868E-3</v>
      </c>
      <c r="E50" s="30">
        <v>4.3074102353847312</v>
      </c>
      <c r="F50" s="30">
        <v>5.192107995846313E-3</v>
      </c>
      <c r="G50" s="32">
        <v>0.1045897646152687</v>
      </c>
    </row>
    <row r="51" spans="1:7" x14ac:dyDescent="0.3">
      <c r="A51" s="31" t="s">
        <v>3262</v>
      </c>
      <c r="B51" s="96" t="s">
        <v>3261</v>
      </c>
      <c r="C51" s="97"/>
      <c r="D51" s="97"/>
      <c r="E51" s="97"/>
      <c r="F51" s="97"/>
      <c r="G51" s="98"/>
    </row>
    <row r="52" spans="1:7" x14ac:dyDescent="0.3">
      <c r="A52" s="31" t="s">
        <v>2707</v>
      </c>
      <c r="B52" s="30">
        <v>52040</v>
      </c>
      <c r="C52" s="30">
        <v>4.399</v>
      </c>
      <c r="D52" s="30">
        <v>-1.2999999999999901E-2</v>
      </c>
      <c r="E52" s="30">
        <v>4.3022181273888851</v>
      </c>
      <c r="F52" s="30">
        <v>5.192107995846313E-3</v>
      </c>
      <c r="G52" s="32">
        <v>9.6781872611114927E-2</v>
      </c>
    </row>
    <row r="53" spans="1:7" x14ac:dyDescent="0.3">
      <c r="A53" s="31" t="s">
        <v>2708</v>
      </c>
      <c r="B53" s="30">
        <v>52060</v>
      </c>
      <c r="C53" s="30">
        <v>4.3739999999999997</v>
      </c>
      <c r="D53" s="30">
        <v>-2.5000000000000355E-2</v>
      </c>
      <c r="E53" s="30">
        <v>4.297026019393039</v>
      </c>
      <c r="F53" s="30">
        <v>5.192107995846313E-3</v>
      </c>
      <c r="G53" s="32">
        <v>7.6973980606960701E-2</v>
      </c>
    </row>
    <row r="54" spans="1:7" x14ac:dyDescent="0.3">
      <c r="A54" s="31" t="s">
        <v>2709</v>
      </c>
      <c r="B54" s="30">
        <v>52080</v>
      </c>
      <c r="C54" s="30">
        <v>4.351</v>
      </c>
      <c r="D54" s="30">
        <v>-2.2999999999999687E-2</v>
      </c>
      <c r="E54" s="30">
        <v>4.2918339113971928</v>
      </c>
      <c r="F54" s="30">
        <v>5.192107995846313E-3</v>
      </c>
      <c r="G54" s="32">
        <v>5.9166088602807143E-2</v>
      </c>
    </row>
    <row r="55" spans="1:7" x14ac:dyDescent="0.3">
      <c r="A55" s="31" t="s">
        <v>2710</v>
      </c>
      <c r="B55" s="30">
        <v>52100</v>
      </c>
      <c r="C55" s="30">
        <v>4.3330000000000002</v>
      </c>
      <c r="D55" s="30">
        <v>-1.7999999999999794E-2</v>
      </c>
      <c r="E55" s="30">
        <v>4.2866418034013467</v>
      </c>
      <c r="F55" s="30">
        <v>5.192107995846313E-3</v>
      </c>
      <c r="G55" s="32">
        <v>4.6358196598653478E-2</v>
      </c>
    </row>
    <row r="56" spans="1:7" x14ac:dyDescent="0.3">
      <c r="A56" s="31" t="s">
        <v>2711</v>
      </c>
      <c r="B56" s="30">
        <v>52120</v>
      </c>
      <c r="C56" s="30">
        <v>4.3250000000000002</v>
      </c>
      <c r="D56" s="30">
        <v>-8.0000000000000071E-3</v>
      </c>
      <c r="E56" s="30">
        <v>4.2814496954055006</v>
      </c>
      <c r="F56" s="30">
        <v>5.192107995846313E-3</v>
      </c>
      <c r="G56" s="32">
        <v>4.35503045944996E-2</v>
      </c>
    </row>
    <row r="57" spans="1:7" x14ac:dyDescent="0.3">
      <c r="A57" s="31" t="s">
        <v>2712</v>
      </c>
      <c r="B57" s="30">
        <v>52140</v>
      </c>
      <c r="C57" s="30">
        <v>4.3159999999999998</v>
      </c>
      <c r="D57" s="30">
        <v>-9.0000000000003411E-3</v>
      </c>
      <c r="E57" s="30">
        <v>4.2762575874096544</v>
      </c>
      <c r="F57" s="30">
        <v>5.192107995846313E-3</v>
      </c>
      <c r="G57" s="32">
        <v>3.9742412590345388E-2</v>
      </c>
    </row>
    <row r="58" spans="1:7" x14ac:dyDescent="0.3">
      <c r="A58" s="31" t="s">
        <v>2713</v>
      </c>
      <c r="B58" s="30">
        <v>52160</v>
      </c>
      <c r="C58" s="30">
        <v>4.3090000000000002</v>
      </c>
      <c r="D58" s="30">
        <v>-6.9999999999996732E-3</v>
      </c>
      <c r="E58" s="30">
        <v>4.2710654794138083</v>
      </c>
      <c r="F58" s="30">
        <v>5.192107995846313E-3</v>
      </c>
      <c r="G58" s="32">
        <v>3.7934520586191844E-2</v>
      </c>
    </row>
    <row r="59" spans="1:7" x14ac:dyDescent="0.3">
      <c r="A59" s="31" t="s">
        <v>2714</v>
      </c>
      <c r="B59" s="30">
        <v>52180</v>
      </c>
      <c r="C59" s="30">
        <v>4.319</v>
      </c>
      <c r="D59" s="30">
        <v>9.9999999999997868E-3</v>
      </c>
      <c r="E59" s="30">
        <v>4.2658733714179622</v>
      </c>
      <c r="F59" s="30">
        <v>5.192107995846313E-3</v>
      </c>
      <c r="G59" s="32">
        <v>5.312662858203776E-2</v>
      </c>
    </row>
    <row r="60" spans="1:7" x14ac:dyDescent="0.3">
      <c r="A60" s="31" t="s">
        <v>2715</v>
      </c>
      <c r="B60" s="30">
        <v>52200</v>
      </c>
      <c r="C60" s="30">
        <v>4.3570000000000002</v>
      </c>
      <c r="D60" s="30">
        <v>3.8000000000000256E-2</v>
      </c>
      <c r="E60" s="30">
        <v>4.2606812634221161</v>
      </c>
      <c r="F60" s="30">
        <v>5.192107995846313E-3</v>
      </c>
      <c r="G60" s="32">
        <v>9.6318736577884145E-2</v>
      </c>
    </row>
    <row r="61" spans="1:7" x14ac:dyDescent="0.3">
      <c r="A61" s="31" t="s">
        <v>2716</v>
      </c>
      <c r="B61" s="30">
        <v>52220</v>
      </c>
      <c r="C61" s="30">
        <v>4.38</v>
      </c>
      <c r="D61" s="30">
        <v>2.2999999999999687E-2</v>
      </c>
      <c r="E61" s="30">
        <v>4.2554891554262699</v>
      </c>
      <c r="F61" s="30">
        <v>5.192107995846313E-3</v>
      </c>
      <c r="G61" s="32">
        <v>0.12451084457372996</v>
      </c>
    </row>
    <row r="62" spans="1:7" x14ac:dyDescent="0.3">
      <c r="A62" s="31" t="s">
        <v>2717</v>
      </c>
      <c r="B62" s="30">
        <v>52240</v>
      </c>
      <c r="C62" s="30">
        <v>4.3949999999999996</v>
      </c>
      <c r="D62" s="30">
        <v>1.499999999999968E-2</v>
      </c>
      <c r="E62" s="30">
        <v>4.2502970474304238</v>
      </c>
      <c r="F62" s="30">
        <v>5.192107995846313E-3</v>
      </c>
      <c r="G62" s="32">
        <v>0.14470295256957577</v>
      </c>
    </row>
    <row r="63" spans="1:7" x14ac:dyDescent="0.3">
      <c r="A63" s="31" t="s">
        <v>2718</v>
      </c>
      <c r="B63" s="30">
        <v>52260</v>
      </c>
      <c r="C63" s="30">
        <v>4.4169999999999998</v>
      </c>
      <c r="D63" s="30">
        <v>2.2000000000000242E-2</v>
      </c>
      <c r="E63" s="30">
        <v>4.2451049394345777</v>
      </c>
      <c r="F63" s="30">
        <v>5.192107995846313E-3</v>
      </c>
      <c r="G63" s="32">
        <v>0.17189506056542214</v>
      </c>
    </row>
    <row r="64" spans="1:7" x14ac:dyDescent="0.3">
      <c r="A64" s="31" t="s">
        <v>2719</v>
      </c>
      <c r="B64" s="30">
        <v>52280</v>
      </c>
      <c r="C64" s="30">
        <v>4.4249999999999998</v>
      </c>
      <c r="D64" s="30">
        <v>8.0000000000000071E-3</v>
      </c>
      <c r="E64" s="30">
        <v>4.2399128314387315</v>
      </c>
      <c r="F64" s="30">
        <v>5.192107995846313E-3</v>
      </c>
      <c r="G64" s="32">
        <v>0.18508716856126828</v>
      </c>
    </row>
    <row r="65" spans="1:7" x14ac:dyDescent="0.3">
      <c r="A65" s="31" t="s">
        <v>2720</v>
      </c>
      <c r="B65" s="30">
        <v>52300</v>
      </c>
      <c r="C65" s="30">
        <v>4.41</v>
      </c>
      <c r="D65" s="30">
        <v>-1.499999999999968E-2</v>
      </c>
      <c r="E65" s="30">
        <v>4.2347207234428854</v>
      </c>
      <c r="F65" s="30">
        <v>5.192107995846313E-3</v>
      </c>
      <c r="G65" s="32">
        <v>0.17527927655711473</v>
      </c>
    </row>
    <row r="66" spans="1:7" x14ac:dyDescent="0.3">
      <c r="A66" s="31" t="s">
        <v>2721</v>
      </c>
      <c r="B66" s="30">
        <v>52320</v>
      </c>
      <c r="C66" s="30">
        <v>4.3869999999999996</v>
      </c>
      <c r="D66" s="30">
        <v>-2.3000000000000576E-2</v>
      </c>
      <c r="E66" s="30">
        <v>4.2295286154470393</v>
      </c>
      <c r="F66" s="30">
        <v>5.192107995846313E-3</v>
      </c>
      <c r="G66" s="32">
        <v>0.15747138455296028</v>
      </c>
    </row>
    <row r="67" spans="1:7" x14ac:dyDescent="0.3">
      <c r="A67" s="31" t="s">
        <v>2722</v>
      </c>
      <c r="B67" s="30">
        <v>52340</v>
      </c>
      <c r="C67" s="30">
        <v>4.34</v>
      </c>
      <c r="D67" s="30">
        <v>-4.6999999999999709E-2</v>
      </c>
      <c r="E67" s="30">
        <v>4.2243365074511932</v>
      </c>
      <c r="F67" s="30">
        <v>5.192107995846313E-3</v>
      </c>
      <c r="G67" s="32">
        <v>0.1156634925488067</v>
      </c>
    </row>
    <row r="68" spans="1:7" x14ac:dyDescent="0.3">
      <c r="A68" s="31" t="s">
        <v>2723</v>
      </c>
      <c r="B68" s="30">
        <v>52360</v>
      </c>
      <c r="C68" s="30">
        <v>4.3170000000000002</v>
      </c>
      <c r="D68" s="30">
        <v>-2.2999999999999687E-2</v>
      </c>
      <c r="E68" s="30">
        <v>4.219144399455347</v>
      </c>
      <c r="F68" s="30">
        <v>5.192107995846313E-3</v>
      </c>
      <c r="G68" s="32">
        <v>9.7855600544653143E-2</v>
      </c>
    </row>
    <row r="69" spans="1:7" x14ac:dyDescent="0.3">
      <c r="A69" s="31" t="s">
        <v>2724</v>
      </c>
      <c r="B69" s="30">
        <v>52380</v>
      </c>
      <c r="C69" s="30">
        <v>4.2709999999999999</v>
      </c>
      <c r="D69" s="30">
        <v>-4.6000000000000263E-2</v>
      </c>
      <c r="E69" s="30">
        <v>4.2139522914595009</v>
      </c>
      <c r="F69" s="30">
        <v>5.192107995846313E-3</v>
      </c>
      <c r="G69" s="32">
        <v>5.7047708540499009E-2</v>
      </c>
    </row>
    <row r="70" spans="1:7" x14ac:dyDescent="0.3">
      <c r="A70" s="31" t="s">
        <v>2725</v>
      </c>
      <c r="B70" s="30">
        <v>52400</v>
      </c>
      <c r="C70" s="30">
        <v>4.2329999999999997</v>
      </c>
      <c r="D70" s="30">
        <v>-3.8000000000000256E-2</v>
      </c>
      <c r="E70" s="30">
        <v>4.2087601834636548</v>
      </c>
      <c r="F70" s="30">
        <v>5.192107995846313E-3</v>
      </c>
      <c r="G70" s="32">
        <v>2.4239816536344883E-2</v>
      </c>
    </row>
    <row r="71" spans="1:7" x14ac:dyDescent="0.3">
      <c r="A71" s="31" t="s">
        <v>2726</v>
      </c>
      <c r="B71" s="30">
        <v>52420</v>
      </c>
      <c r="C71" s="30">
        <v>4.22</v>
      </c>
      <c r="D71" s="30">
        <v>-1.2999999999999901E-2</v>
      </c>
      <c r="E71" s="30">
        <v>4.2035680754678086</v>
      </c>
      <c r="F71" s="30">
        <v>5.192107995846313E-3</v>
      </c>
      <c r="G71" s="32">
        <v>1.6431924532191111E-2</v>
      </c>
    </row>
    <row r="72" spans="1:7" x14ac:dyDescent="0.3">
      <c r="A72" s="31" t="s">
        <v>2727</v>
      </c>
      <c r="B72" s="30">
        <v>52440</v>
      </c>
      <c r="C72" s="30">
        <v>4.1989999999999998</v>
      </c>
      <c r="D72" s="30">
        <v>-2.0999999999999908E-2</v>
      </c>
      <c r="E72" s="30">
        <v>4.1983759674719625</v>
      </c>
      <c r="F72" s="30">
        <v>5.192107995846313E-3</v>
      </c>
      <c r="G72" s="32">
        <v>6.2403252803733267E-4</v>
      </c>
    </row>
    <row r="73" spans="1:7" x14ac:dyDescent="0.3">
      <c r="A73" s="31" t="s">
        <v>2728</v>
      </c>
      <c r="B73" s="30">
        <v>52460</v>
      </c>
      <c r="C73" s="30">
        <v>4.2030000000000003</v>
      </c>
      <c r="D73" s="30">
        <v>4.0000000000004476E-3</v>
      </c>
      <c r="E73" s="30">
        <v>4.1931838594761164</v>
      </c>
      <c r="F73" s="30">
        <v>5.192107995846313E-3</v>
      </c>
      <c r="G73" s="32">
        <v>9.8161405238839095E-3</v>
      </c>
    </row>
    <row r="74" spans="1:7" x14ac:dyDescent="0.3">
      <c r="A74" s="31" t="s">
        <v>2729</v>
      </c>
      <c r="B74" s="30">
        <v>52480</v>
      </c>
      <c r="C74" s="30">
        <v>4.194</v>
      </c>
      <c r="D74" s="30">
        <v>-9.0000000000003411E-3</v>
      </c>
      <c r="E74" s="30">
        <v>4.1879917514802703</v>
      </c>
      <c r="F74" s="30">
        <v>5.192107995846313E-3</v>
      </c>
      <c r="G74" s="32">
        <v>6.0082485197296975E-3</v>
      </c>
    </row>
    <row r="75" spans="1:7" x14ac:dyDescent="0.3">
      <c r="A75" s="31" t="s">
        <v>2730</v>
      </c>
      <c r="B75" s="30">
        <v>52500</v>
      </c>
      <c r="C75" s="30">
        <v>4.1909999999999998</v>
      </c>
      <c r="D75" s="30">
        <v>-3.0000000000001137E-3</v>
      </c>
      <c r="E75" s="30">
        <v>4.1827996434844241</v>
      </c>
      <c r="F75" s="30">
        <v>5.192107995846313E-3</v>
      </c>
      <c r="G75" s="32">
        <v>8.200356515575713E-3</v>
      </c>
    </row>
    <row r="76" spans="1:7" x14ac:dyDescent="0.3">
      <c r="A76" s="31" t="s">
        <v>2731</v>
      </c>
      <c r="B76" s="30">
        <v>52520</v>
      </c>
      <c r="C76" s="30">
        <v>4.1840000000000002</v>
      </c>
      <c r="D76" s="30">
        <v>-6.9999999999996732E-3</v>
      </c>
      <c r="E76" s="30">
        <v>4.177607535488578</v>
      </c>
      <c r="F76" s="30">
        <v>5.192107995846313E-3</v>
      </c>
      <c r="G76" s="32">
        <v>6.392464511422169E-3</v>
      </c>
    </row>
    <row r="77" spans="1:7" x14ac:dyDescent="0.3">
      <c r="A77" s="31" t="s">
        <v>2732</v>
      </c>
      <c r="B77" s="30">
        <v>52540</v>
      </c>
      <c r="C77" s="30">
        <v>4.1760000000000002</v>
      </c>
      <c r="D77" s="30">
        <v>-8.0000000000000071E-3</v>
      </c>
      <c r="E77" s="30">
        <v>4.1724154274927319</v>
      </c>
      <c r="F77" s="30">
        <v>5.192107995846313E-3</v>
      </c>
      <c r="G77" s="32">
        <v>3.584572507268291E-3</v>
      </c>
    </row>
    <row r="78" spans="1:7" x14ac:dyDescent="0.3">
      <c r="A78" s="31" t="s">
        <v>2733</v>
      </c>
      <c r="B78" s="30">
        <v>52560</v>
      </c>
      <c r="C78" s="30">
        <v>4.1820000000000004</v>
      </c>
      <c r="D78" s="30">
        <v>6.0000000000002274E-3</v>
      </c>
      <c r="E78" s="30">
        <v>4.1672233194968857</v>
      </c>
      <c r="F78" s="30">
        <v>5.192107995846313E-3</v>
      </c>
      <c r="G78" s="32">
        <v>1.4776680503114648E-2</v>
      </c>
    </row>
    <row r="79" spans="1:7" x14ac:dyDescent="0.3">
      <c r="A79" s="31" t="s">
        <v>3259</v>
      </c>
      <c r="B79" s="96" t="s">
        <v>3260</v>
      </c>
      <c r="C79" s="97"/>
      <c r="D79" s="97"/>
      <c r="E79" s="97"/>
      <c r="F79" s="97"/>
      <c r="G79" s="98"/>
    </row>
    <row r="80" spans="1:7" x14ac:dyDescent="0.3">
      <c r="A80" s="31" t="s">
        <v>2734</v>
      </c>
      <c r="B80" s="30">
        <v>52580</v>
      </c>
      <c r="C80" s="30">
        <v>4.1900000000000004</v>
      </c>
      <c r="D80" s="30">
        <v>8.0000000000000071E-3</v>
      </c>
      <c r="E80" s="30">
        <v>4.1620312115010396</v>
      </c>
      <c r="F80" s="30">
        <v>5.192107995846313E-3</v>
      </c>
      <c r="G80" s="32">
        <v>2.7968788498960784E-2</v>
      </c>
    </row>
    <row r="81" spans="1:7" x14ac:dyDescent="0.3">
      <c r="A81" s="31" t="s">
        <v>2735</v>
      </c>
      <c r="B81" s="30">
        <v>52600</v>
      </c>
      <c r="C81" s="30">
        <v>4.2060000000000004</v>
      </c>
      <c r="D81" s="30">
        <v>1.6000000000000014E-2</v>
      </c>
      <c r="E81" s="30">
        <v>4.1568391035051935</v>
      </c>
      <c r="F81" s="30">
        <v>5.192107995846313E-3</v>
      </c>
      <c r="G81" s="32">
        <v>4.9160896494806927E-2</v>
      </c>
    </row>
    <row r="82" spans="1:7" x14ac:dyDescent="0.3">
      <c r="A82" s="31" t="s">
        <v>2736</v>
      </c>
      <c r="B82" s="30">
        <v>52620</v>
      </c>
      <c r="C82" s="30">
        <v>4.2149999999999999</v>
      </c>
      <c r="D82" s="30">
        <v>8.9999999999994529E-3</v>
      </c>
      <c r="E82" s="30">
        <v>4.1516469955093473</v>
      </c>
      <c r="F82" s="30">
        <v>5.192107995846313E-3</v>
      </c>
      <c r="G82" s="32">
        <v>6.3353004490652509E-2</v>
      </c>
    </row>
    <row r="83" spans="1:7" x14ac:dyDescent="0.3">
      <c r="A83" s="31" t="s">
        <v>2737</v>
      </c>
      <c r="B83" s="30">
        <v>52640</v>
      </c>
      <c r="C83" s="30">
        <v>4.1890000000000001</v>
      </c>
      <c r="D83" s="30">
        <v>-2.5999999999999801E-2</v>
      </c>
      <c r="E83" s="30">
        <v>4.1464548875135012</v>
      </c>
      <c r="F83" s="30">
        <v>5.192107995846313E-3</v>
      </c>
      <c r="G83" s="32">
        <v>4.2545112486498837E-2</v>
      </c>
    </row>
    <row r="84" spans="1:7" x14ac:dyDescent="0.3">
      <c r="A84" s="31" t="s">
        <v>2738</v>
      </c>
      <c r="B84" s="30">
        <v>52660</v>
      </c>
      <c r="C84" s="30">
        <v>4.157</v>
      </c>
      <c r="D84" s="30">
        <v>-3.2000000000000028E-2</v>
      </c>
      <c r="E84" s="30">
        <v>4.1412627795176551</v>
      </c>
      <c r="F84" s="30">
        <v>5.192107995846313E-3</v>
      </c>
      <c r="G84" s="32">
        <v>1.5737220482344938E-2</v>
      </c>
    </row>
    <row r="85" spans="1:7" x14ac:dyDescent="0.3">
      <c r="A85" s="31" t="s">
        <v>2739</v>
      </c>
      <c r="B85" s="30">
        <v>52680</v>
      </c>
      <c r="C85" s="30">
        <v>4.12</v>
      </c>
      <c r="D85" s="30">
        <v>-3.6999999999999922E-2</v>
      </c>
      <c r="E85" s="30">
        <v>4.136070671521809</v>
      </c>
      <c r="F85" s="30">
        <v>5.192107995846313E-3</v>
      </c>
      <c r="G85" s="32">
        <v>-1.6070671521808855E-2</v>
      </c>
    </row>
    <row r="86" spans="1:7" x14ac:dyDescent="0.3">
      <c r="A86" s="31" t="s">
        <v>3258</v>
      </c>
      <c r="B86" s="96" t="s">
        <v>3257</v>
      </c>
      <c r="C86" s="97"/>
      <c r="D86" s="97"/>
      <c r="E86" s="97"/>
      <c r="F86" s="97"/>
      <c r="G86" s="98"/>
    </row>
    <row r="87" spans="1:7" x14ac:dyDescent="0.3">
      <c r="A87" s="31" t="s">
        <v>2740</v>
      </c>
      <c r="B87" s="30">
        <v>52700</v>
      </c>
      <c r="C87" s="30">
        <v>4.0810000000000004</v>
      </c>
      <c r="D87" s="30">
        <v>-3.8999999999999702E-2</v>
      </c>
      <c r="E87" s="30">
        <v>4.1308785635259628</v>
      </c>
      <c r="F87" s="30">
        <v>5.192107995846313E-3</v>
      </c>
      <c r="G87" s="32">
        <v>-4.9878563525962427E-2</v>
      </c>
    </row>
    <row r="88" spans="1:7" x14ac:dyDescent="0.3">
      <c r="A88" s="31" t="s">
        <v>2741</v>
      </c>
      <c r="B88" s="30">
        <v>52720</v>
      </c>
      <c r="C88" s="30">
        <v>4.069</v>
      </c>
      <c r="D88" s="30">
        <v>-1.2000000000000455E-2</v>
      </c>
      <c r="E88" s="30">
        <v>4.1256864555301167</v>
      </c>
      <c r="F88" s="30">
        <v>5.192107995846313E-3</v>
      </c>
      <c r="G88" s="32">
        <v>-5.6686455530116753E-2</v>
      </c>
    </row>
    <row r="89" spans="1:7" x14ac:dyDescent="0.3">
      <c r="A89" s="31" t="s">
        <v>3256</v>
      </c>
      <c r="B89" s="96" t="s">
        <v>3194</v>
      </c>
      <c r="C89" s="97"/>
      <c r="D89" s="97"/>
      <c r="E89" s="97"/>
      <c r="F89" s="97"/>
      <c r="G89" s="98"/>
    </row>
    <row r="90" spans="1:7" x14ac:dyDescent="0.3">
      <c r="A90" s="31" t="s">
        <v>2742</v>
      </c>
      <c r="B90" s="30">
        <v>52740</v>
      </c>
      <c r="C90" s="30">
        <v>4.0650000000000004</v>
      </c>
      <c r="D90" s="30">
        <v>-3.9999999999995595E-3</v>
      </c>
      <c r="E90" s="30">
        <v>4.1204943475342706</v>
      </c>
      <c r="F90" s="30">
        <v>5.192107995846313E-3</v>
      </c>
      <c r="G90" s="32">
        <v>-5.5494347534270183E-2</v>
      </c>
    </row>
    <row r="91" spans="1:7" x14ac:dyDescent="0.3">
      <c r="A91" s="31" t="s">
        <v>2743</v>
      </c>
      <c r="B91" s="30">
        <v>52760</v>
      </c>
      <c r="C91" s="30">
        <v>4.056</v>
      </c>
      <c r="D91" s="30">
        <v>-9.0000000000003411E-3</v>
      </c>
      <c r="E91" s="30">
        <v>4.1153022395384244</v>
      </c>
      <c r="F91" s="30">
        <v>5.192107995846313E-3</v>
      </c>
      <c r="G91" s="32">
        <v>-5.9302239538424395E-2</v>
      </c>
    </row>
    <row r="92" spans="1:7" x14ac:dyDescent="0.3">
      <c r="A92" s="31" t="s">
        <v>2744</v>
      </c>
      <c r="B92" s="30">
        <v>52780</v>
      </c>
      <c r="C92" s="30">
        <v>4.048</v>
      </c>
      <c r="D92" s="30">
        <v>-8.0000000000000071E-3</v>
      </c>
      <c r="E92" s="30">
        <v>4.1101101315425783</v>
      </c>
      <c r="F92" s="30">
        <v>5.192107995846313E-3</v>
      </c>
      <c r="G92" s="32">
        <v>-6.2110131542578273E-2</v>
      </c>
    </row>
    <row r="93" spans="1:7" x14ac:dyDescent="0.3">
      <c r="A93" s="31" t="s">
        <v>2745</v>
      </c>
      <c r="B93" s="30">
        <v>52800</v>
      </c>
      <c r="C93" s="30">
        <v>4.0449999999999999</v>
      </c>
      <c r="D93" s="30">
        <v>-3.0000000000001137E-3</v>
      </c>
      <c r="E93" s="30">
        <v>4.1049180235467322</v>
      </c>
      <c r="F93" s="30">
        <v>5.192107995846313E-3</v>
      </c>
      <c r="G93" s="32">
        <v>-5.9918023546732258E-2</v>
      </c>
    </row>
    <row r="94" spans="1:7" x14ac:dyDescent="0.3">
      <c r="A94" s="31" t="s">
        <v>2746</v>
      </c>
      <c r="B94" s="30">
        <v>52820</v>
      </c>
      <c r="C94" s="30">
        <v>4.0410000000000004</v>
      </c>
      <c r="D94" s="30">
        <v>-3.9999999999995595E-3</v>
      </c>
      <c r="E94" s="30">
        <v>4.0997259155508861</v>
      </c>
      <c r="F94" s="30">
        <v>5.192107995846313E-3</v>
      </c>
      <c r="G94" s="32">
        <v>-5.8725915550885688E-2</v>
      </c>
    </row>
    <row r="95" spans="1:7" x14ac:dyDescent="0.3">
      <c r="A95" s="31" t="s">
        <v>2747</v>
      </c>
      <c r="B95" s="30">
        <v>52840</v>
      </c>
      <c r="C95" s="30">
        <v>4.0389999999999997</v>
      </c>
      <c r="D95" s="30">
        <v>-2.0000000000006679E-3</v>
      </c>
      <c r="E95" s="30">
        <v>4.0945338075550399</v>
      </c>
      <c r="F95" s="30">
        <v>5.192107995846313E-3</v>
      </c>
      <c r="G95" s="32">
        <v>-5.5533807555040227E-2</v>
      </c>
    </row>
    <row r="96" spans="1:7" x14ac:dyDescent="0.3">
      <c r="A96" s="31" t="s">
        <v>2748</v>
      </c>
      <c r="B96" s="30">
        <v>52860</v>
      </c>
      <c r="C96" s="30">
        <v>4.0380000000000003</v>
      </c>
      <c r="D96" s="30">
        <v>-9.9999999999944578E-4</v>
      </c>
      <c r="E96" s="30">
        <v>4.0893416995591938</v>
      </c>
      <c r="F96" s="30">
        <v>5.192107995846313E-3</v>
      </c>
      <c r="G96" s="32">
        <v>-5.1341699559193543E-2</v>
      </c>
    </row>
    <row r="97" spans="1:18" x14ac:dyDescent="0.3">
      <c r="A97" s="31" t="s">
        <v>2749</v>
      </c>
      <c r="B97" s="30">
        <v>52880</v>
      </c>
      <c r="C97" s="30">
        <v>4.0449999999999999</v>
      </c>
      <c r="D97" s="30">
        <v>6.9999999999996732E-3</v>
      </c>
      <c r="E97" s="30">
        <v>4.0841495915633477</v>
      </c>
      <c r="F97" s="30">
        <v>5.192107995846313E-3</v>
      </c>
      <c r="G97" s="32">
        <v>-3.9149591563347741E-2</v>
      </c>
    </row>
    <row r="98" spans="1:18" x14ac:dyDescent="0.3">
      <c r="A98" s="31" t="s">
        <v>2750</v>
      </c>
      <c r="B98" s="30">
        <v>52900</v>
      </c>
      <c r="C98" s="30">
        <v>4.0789999999999997</v>
      </c>
      <c r="D98" s="30">
        <v>3.3999999999999808E-2</v>
      </c>
      <c r="E98" s="30">
        <v>4.0789574835675015</v>
      </c>
      <c r="F98" s="30">
        <v>5.192107995846313E-3</v>
      </c>
      <c r="G98" s="32">
        <v>4.2516432498196366E-5</v>
      </c>
    </row>
    <row r="99" spans="1:18" x14ac:dyDescent="0.3">
      <c r="A99" s="31"/>
      <c r="B99" s="90"/>
      <c r="C99" s="91"/>
      <c r="D99" s="91"/>
      <c r="E99" s="91"/>
      <c r="F99" s="91"/>
      <c r="G99" s="92"/>
      <c r="H99" t="s">
        <v>3283</v>
      </c>
      <c r="O99">
        <v>2.17296827466319E-4</v>
      </c>
      <c r="P99">
        <v>4.3459365493263803E-3</v>
      </c>
      <c r="Q99" s="30" t="s">
        <v>3202</v>
      </c>
      <c r="R99" s="30">
        <v>4602</v>
      </c>
    </row>
    <row r="100" spans="1:18" x14ac:dyDescent="0.3">
      <c r="A100" s="31" t="s">
        <v>2751</v>
      </c>
      <c r="B100" s="30">
        <v>52920</v>
      </c>
      <c r="C100" s="30">
        <v>4.1150000000000002</v>
      </c>
      <c r="D100" s="30">
        <v>3.6000000000000476E-2</v>
      </c>
      <c r="E100" s="30">
        <v>4.0833034201168283</v>
      </c>
      <c r="F100" s="30">
        <v>4.3459365493263803E-3</v>
      </c>
      <c r="G100" s="32">
        <v>3.1696579883171871E-2</v>
      </c>
      <c r="H100">
        <v>52900</v>
      </c>
      <c r="I100">
        <v>54000</v>
      </c>
      <c r="J100">
        <v>1100</v>
      </c>
      <c r="K100">
        <v>4.0789574835675015</v>
      </c>
      <c r="L100">
        <v>4.3179999999999996</v>
      </c>
      <c r="M100">
        <v>0.23904251643249808</v>
      </c>
      <c r="N100">
        <v>4601.6918513766695</v>
      </c>
      <c r="O100">
        <v>4602</v>
      </c>
    </row>
    <row r="101" spans="1:18" x14ac:dyDescent="0.3">
      <c r="A101" s="31" t="s">
        <v>2752</v>
      </c>
      <c r="B101" s="30">
        <v>52940</v>
      </c>
      <c r="C101" s="30">
        <v>4.1429999999999998</v>
      </c>
      <c r="D101" s="30">
        <v>2.7999999999999581E-2</v>
      </c>
      <c r="E101" s="30">
        <v>4.0876493566661551</v>
      </c>
      <c r="F101" s="30">
        <v>4.3459365493263803E-3</v>
      </c>
      <c r="G101" s="32">
        <v>5.5350643333844651E-2</v>
      </c>
    </row>
    <row r="102" spans="1:18" x14ac:dyDescent="0.3">
      <c r="A102" s="31" t="s">
        <v>2753</v>
      </c>
      <c r="B102" s="30">
        <v>52960</v>
      </c>
      <c r="C102" s="30">
        <v>4.1680000000000001</v>
      </c>
      <c r="D102" s="30">
        <v>2.5000000000000355E-2</v>
      </c>
      <c r="E102" s="30">
        <v>4.0919952932154819</v>
      </c>
      <c r="F102" s="30">
        <v>4.3459365493263803E-3</v>
      </c>
      <c r="G102" s="32">
        <v>7.6004706784518206E-2</v>
      </c>
    </row>
    <row r="103" spans="1:18" x14ac:dyDescent="0.3">
      <c r="A103" s="31" t="s">
        <v>2754</v>
      </c>
      <c r="B103" s="30">
        <v>52980</v>
      </c>
      <c r="C103" s="30">
        <v>4.1920000000000002</v>
      </c>
      <c r="D103" s="30">
        <v>2.4000000000000021E-2</v>
      </c>
      <c r="E103" s="30">
        <v>4.0963412297648087</v>
      </c>
      <c r="F103" s="30">
        <v>4.3459365493263803E-3</v>
      </c>
      <c r="G103" s="32">
        <v>9.5658770235191426E-2</v>
      </c>
    </row>
    <row r="104" spans="1:18" x14ac:dyDescent="0.3">
      <c r="A104" s="31" t="s">
        <v>2755</v>
      </c>
      <c r="B104" s="30">
        <v>53000</v>
      </c>
      <c r="C104" s="30">
        <v>4.2169999999999996</v>
      </c>
      <c r="D104" s="30">
        <v>2.4999999999999467E-2</v>
      </c>
      <c r="E104" s="30">
        <v>4.1006871663141355</v>
      </c>
      <c r="F104" s="30">
        <v>4.3459365493263803E-3</v>
      </c>
      <c r="G104" s="32">
        <v>0.11631283368586409</v>
      </c>
    </row>
    <row r="105" spans="1:18" x14ac:dyDescent="0.3">
      <c r="A105" s="31" t="s">
        <v>2756</v>
      </c>
      <c r="B105" s="90"/>
      <c r="C105" s="91"/>
      <c r="D105" s="91"/>
      <c r="E105" s="91"/>
      <c r="F105" s="91"/>
      <c r="G105" s="92"/>
    </row>
    <row r="106" spans="1:18" x14ac:dyDescent="0.3">
      <c r="A106" s="31" t="s">
        <v>2757</v>
      </c>
      <c r="B106" s="30">
        <v>53020</v>
      </c>
      <c r="C106" s="30">
        <v>4.2089999999999996</v>
      </c>
      <c r="D106" s="30">
        <v>-8.0000000000000071E-3</v>
      </c>
      <c r="E106" s="30">
        <v>4.1050331028634623</v>
      </c>
      <c r="F106" s="30">
        <v>4.3459365493263803E-3</v>
      </c>
      <c r="G106" s="32">
        <v>0.10396689713653728</v>
      </c>
    </row>
    <row r="107" spans="1:18" x14ac:dyDescent="0.3">
      <c r="A107" s="31" t="s">
        <v>2758</v>
      </c>
      <c r="B107" s="30">
        <v>53040</v>
      </c>
      <c r="C107" s="30">
        <v>4.1909999999999998</v>
      </c>
      <c r="D107" s="30">
        <v>-1.7999999999999794E-2</v>
      </c>
      <c r="E107" s="30">
        <v>4.1093790394127891</v>
      </c>
      <c r="F107" s="30">
        <v>4.3459365493263803E-3</v>
      </c>
      <c r="G107" s="32">
        <v>8.1620960587210689E-2</v>
      </c>
    </row>
    <row r="108" spans="1:18" x14ac:dyDescent="0.3">
      <c r="A108" s="31" t="s">
        <v>2759</v>
      </c>
      <c r="B108" s="30">
        <v>53060</v>
      </c>
      <c r="C108" s="30">
        <v>4.1740000000000004</v>
      </c>
      <c r="D108" s="30">
        <v>-1.699999999999946E-2</v>
      </c>
      <c r="E108" s="30">
        <v>4.1137249759621159</v>
      </c>
      <c r="F108" s="30">
        <v>4.3459365493263803E-3</v>
      </c>
      <c r="G108" s="32">
        <v>6.0275024037884428E-2</v>
      </c>
    </row>
    <row r="109" spans="1:18" x14ac:dyDescent="0.3">
      <c r="A109" s="31" t="s">
        <v>2760</v>
      </c>
      <c r="B109" s="30">
        <v>53080</v>
      </c>
      <c r="C109" s="30">
        <v>4.1529999999999996</v>
      </c>
      <c r="D109" s="30">
        <v>-2.1000000000000796E-2</v>
      </c>
      <c r="E109" s="30">
        <v>4.1180709125114427</v>
      </c>
      <c r="F109" s="30">
        <v>4.3459365493263803E-3</v>
      </c>
      <c r="G109" s="32">
        <v>3.4929087488556831E-2</v>
      </c>
    </row>
    <row r="110" spans="1:18" x14ac:dyDescent="0.3">
      <c r="A110" s="31" t="s">
        <v>2761</v>
      </c>
      <c r="B110" s="30">
        <v>53100</v>
      </c>
      <c r="C110" s="30">
        <v>4.1580000000000004</v>
      </c>
      <c r="D110" s="30">
        <v>5.0000000000007816E-3</v>
      </c>
      <c r="E110" s="30">
        <v>4.1224168490607696</v>
      </c>
      <c r="F110" s="30">
        <v>4.3459365493263803E-3</v>
      </c>
      <c r="G110" s="32">
        <v>3.5583150939230812E-2</v>
      </c>
    </row>
    <row r="111" spans="1:18" x14ac:dyDescent="0.3">
      <c r="A111" s="31" t="s">
        <v>2762</v>
      </c>
      <c r="B111" s="30">
        <v>53120</v>
      </c>
      <c r="C111" s="30">
        <v>4.149</v>
      </c>
      <c r="D111" s="30">
        <v>-9.0000000000003411E-3</v>
      </c>
      <c r="E111" s="30">
        <v>4.1267627856100964</v>
      </c>
      <c r="F111" s="30">
        <v>4.3459365493263803E-3</v>
      </c>
      <c r="G111" s="32">
        <v>2.223721438990367E-2</v>
      </c>
    </row>
    <row r="112" spans="1:18" x14ac:dyDescent="0.3">
      <c r="A112" s="31" t="s">
        <v>2763</v>
      </c>
      <c r="B112" s="30">
        <v>53140</v>
      </c>
      <c r="C112" s="30">
        <v>4.1219999999999999</v>
      </c>
      <c r="D112" s="30">
        <v>-2.7000000000000135E-2</v>
      </c>
      <c r="E112" s="30">
        <v>4.1311087221594232</v>
      </c>
      <c r="F112" s="30">
        <v>4.3459365493263803E-3</v>
      </c>
      <c r="G112" s="32">
        <v>-9.1087221594232659E-3</v>
      </c>
    </row>
    <row r="113" spans="1:7" x14ac:dyDescent="0.3">
      <c r="A113" s="31" t="s">
        <v>2764</v>
      </c>
      <c r="B113" s="30">
        <v>53160</v>
      </c>
      <c r="C113" s="30">
        <v>4.1379999999999999</v>
      </c>
      <c r="D113" s="30">
        <v>1.6000000000000014E-2</v>
      </c>
      <c r="E113" s="30">
        <v>4.13545465870875</v>
      </c>
      <c r="F113" s="30">
        <v>4.3459365493263803E-3</v>
      </c>
      <c r="G113" s="32">
        <v>2.5453412912499473E-3</v>
      </c>
    </row>
    <row r="114" spans="1:7" x14ac:dyDescent="0.3">
      <c r="A114" s="31" t="s">
        <v>2765</v>
      </c>
      <c r="B114" s="30">
        <v>53180</v>
      </c>
      <c r="C114" s="30">
        <v>4.1520000000000001</v>
      </c>
      <c r="D114" s="30">
        <v>1.4000000000000234E-2</v>
      </c>
      <c r="E114" s="30">
        <v>4.1398005952580768</v>
      </c>
      <c r="F114" s="30">
        <v>4.3459365493263803E-3</v>
      </c>
      <c r="G114" s="32">
        <v>1.2199404741923381E-2</v>
      </c>
    </row>
    <row r="115" spans="1:7" x14ac:dyDescent="0.3">
      <c r="A115" s="31" t="s">
        <v>2766</v>
      </c>
      <c r="B115" s="30">
        <v>53200</v>
      </c>
      <c r="C115" s="30">
        <v>4.141</v>
      </c>
      <c r="D115" s="30">
        <v>-1.1000000000000121E-2</v>
      </c>
      <c r="E115" s="30">
        <v>4.1441465318074036</v>
      </c>
      <c r="F115" s="30">
        <v>4.3459365493263803E-3</v>
      </c>
      <c r="G115" s="32">
        <v>-3.1465318074035409E-3</v>
      </c>
    </row>
    <row r="116" spans="1:7" x14ac:dyDescent="0.3">
      <c r="A116" s="31" t="s">
        <v>2767</v>
      </c>
      <c r="B116" s="30">
        <v>53220</v>
      </c>
      <c r="C116" s="30">
        <v>4.149</v>
      </c>
      <c r="D116" s="30">
        <v>8.0000000000000071E-3</v>
      </c>
      <c r="E116" s="30">
        <v>4.1484924683567304</v>
      </c>
      <c r="F116" s="30">
        <v>4.3459365493263803E-3</v>
      </c>
      <c r="G116" s="32">
        <v>5.0753164326966527E-4</v>
      </c>
    </row>
    <row r="117" spans="1:7" x14ac:dyDescent="0.3">
      <c r="A117" s="31" t="s">
        <v>2768</v>
      </c>
      <c r="B117" s="30">
        <v>53240</v>
      </c>
      <c r="C117" s="30">
        <v>4.1609999999999996</v>
      </c>
      <c r="D117" s="30">
        <v>1.1999999999999567E-2</v>
      </c>
      <c r="E117" s="30">
        <v>4.1528384049060572</v>
      </c>
      <c r="F117" s="30">
        <v>4.3459365493263803E-3</v>
      </c>
      <c r="G117" s="32">
        <v>8.1615950939424309E-3</v>
      </c>
    </row>
    <row r="118" spans="1:7" x14ac:dyDescent="0.3">
      <c r="A118" s="31" t="s">
        <v>2769</v>
      </c>
      <c r="B118" s="30">
        <v>53260</v>
      </c>
      <c r="C118" s="30">
        <v>4.1760000000000002</v>
      </c>
      <c r="D118" s="30">
        <v>1.5000000000000568E-2</v>
      </c>
      <c r="E118" s="30">
        <v>4.157184341455384</v>
      </c>
      <c r="F118" s="30">
        <v>4.3459365493263803E-3</v>
      </c>
      <c r="G118" s="32">
        <v>1.8815658544616198E-2</v>
      </c>
    </row>
    <row r="119" spans="1:7" x14ac:dyDescent="0.3">
      <c r="A119" s="31" t="s">
        <v>2770</v>
      </c>
      <c r="B119" s="30">
        <v>53280</v>
      </c>
      <c r="C119" s="30">
        <v>4.2080000000000002</v>
      </c>
      <c r="D119" s="30">
        <v>3.2000000000000028E-2</v>
      </c>
      <c r="E119" s="30">
        <v>4.1615302780047108</v>
      </c>
      <c r="F119" s="30">
        <v>4.3459365493263803E-3</v>
      </c>
      <c r="G119" s="32">
        <v>4.6469721995289426E-2</v>
      </c>
    </row>
    <row r="120" spans="1:7" x14ac:dyDescent="0.3">
      <c r="A120" s="31" t="s">
        <v>2771</v>
      </c>
      <c r="B120" s="30">
        <v>53300</v>
      </c>
      <c r="C120" s="30">
        <v>4.24</v>
      </c>
      <c r="D120" s="30">
        <v>3.2000000000000028E-2</v>
      </c>
      <c r="E120" s="30">
        <v>4.1658762145540376</v>
      </c>
      <c r="F120" s="30">
        <v>4.3459365493263803E-3</v>
      </c>
      <c r="G120" s="32">
        <v>7.4123785445962653E-2</v>
      </c>
    </row>
    <row r="121" spans="1:7" x14ac:dyDescent="0.3">
      <c r="A121" s="31" t="s">
        <v>2772</v>
      </c>
      <c r="B121" s="30">
        <v>53320</v>
      </c>
      <c r="C121" s="30">
        <v>4.2519999999999998</v>
      </c>
      <c r="D121" s="30">
        <v>1.1999999999999567E-2</v>
      </c>
      <c r="E121" s="30">
        <v>4.1702221511033644</v>
      </c>
      <c r="F121" s="30">
        <v>4.3459365493263803E-3</v>
      </c>
      <c r="G121" s="32">
        <v>8.1777848896635419E-2</v>
      </c>
    </row>
    <row r="122" spans="1:7" x14ac:dyDescent="0.3">
      <c r="A122" s="31" t="s">
        <v>2773</v>
      </c>
      <c r="B122" s="30">
        <v>53340</v>
      </c>
      <c r="C122" s="30">
        <v>4.2450000000000001</v>
      </c>
      <c r="D122" s="30">
        <v>-6.9999999999996732E-3</v>
      </c>
      <c r="E122" s="30">
        <v>4.1745680876526912</v>
      </c>
      <c r="F122" s="30">
        <v>4.3459365493263803E-3</v>
      </c>
      <c r="G122" s="32">
        <v>7.0431912347308945E-2</v>
      </c>
    </row>
    <row r="123" spans="1:7" x14ac:dyDescent="0.3">
      <c r="A123" s="31" t="s">
        <v>2774</v>
      </c>
      <c r="B123" s="30">
        <v>53360</v>
      </c>
      <c r="C123" s="30">
        <v>4.2089999999999996</v>
      </c>
      <c r="D123" s="30">
        <v>-3.6000000000000476E-2</v>
      </c>
      <c r="E123" s="30">
        <v>4.178914024202018</v>
      </c>
      <c r="F123" s="30">
        <v>4.3459365493263803E-3</v>
      </c>
      <c r="G123" s="32">
        <v>3.0085975797981668E-2</v>
      </c>
    </row>
    <row r="124" spans="1:7" x14ac:dyDescent="0.3">
      <c r="A124" s="31" t="s">
        <v>2775</v>
      </c>
      <c r="B124" s="30">
        <v>53380</v>
      </c>
      <c r="C124" s="30">
        <v>4.1909999999999998</v>
      </c>
      <c r="D124" s="30">
        <v>-1.7999999999999794E-2</v>
      </c>
      <c r="E124" s="30">
        <v>4.1832599607513448</v>
      </c>
      <c r="F124" s="30">
        <v>4.3459365493263803E-3</v>
      </c>
      <c r="G124" s="32">
        <v>7.7400392486550729E-3</v>
      </c>
    </row>
    <row r="125" spans="1:7" x14ac:dyDescent="0.3">
      <c r="A125" s="31" t="s">
        <v>2776</v>
      </c>
      <c r="B125" s="30">
        <v>53400</v>
      </c>
      <c r="C125" s="30">
        <v>4.1820000000000004</v>
      </c>
      <c r="D125" s="30">
        <v>-8.9999999999994529E-3</v>
      </c>
      <c r="E125" s="30">
        <v>4.1876058973006716</v>
      </c>
      <c r="F125" s="30">
        <v>4.3459365493263803E-3</v>
      </c>
      <c r="G125" s="32">
        <v>-5.605897300671181E-3</v>
      </c>
    </row>
    <row r="126" spans="1:7" x14ac:dyDescent="0.3">
      <c r="A126" s="31" t="s">
        <v>2777</v>
      </c>
      <c r="B126" s="30">
        <v>53420</v>
      </c>
      <c r="C126" s="30">
        <v>4.1829999999999998</v>
      </c>
      <c r="D126" s="30">
        <v>9.9999999999944578E-4</v>
      </c>
      <c r="E126" s="30">
        <v>4.1919518338499984</v>
      </c>
      <c r="F126" s="30">
        <v>4.3459365493263803E-3</v>
      </c>
      <c r="G126" s="32">
        <v>-8.9518338499985362E-3</v>
      </c>
    </row>
    <row r="127" spans="1:7" x14ac:dyDescent="0.3">
      <c r="A127" s="31" t="s">
        <v>2778</v>
      </c>
      <c r="B127" s="30">
        <v>53440</v>
      </c>
      <c r="C127" s="30">
        <v>4.1639999999999997</v>
      </c>
      <c r="D127" s="30">
        <v>-1.9000000000000128E-2</v>
      </c>
      <c r="E127" s="30">
        <v>4.1962977703993252</v>
      </c>
      <c r="F127" s="30">
        <v>4.3459365493263803E-3</v>
      </c>
      <c r="G127" s="32">
        <v>-3.2297770399325465E-2</v>
      </c>
    </row>
    <row r="128" spans="1:7" x14ac:dyDescent="0.3">
      <c r="A128" s="31" t="s">
        <v>2779</v>
      </c>
      <c r="B128" s="30">
        <v>53460</v>
      </c>
      <c r="C128" s="30">
        <v>4.1479999999999997</v>
      </c>
      <c r="D128" s="30">
        <v>-1.6000000000000014E-2</v>
      </c>
      <c r="E128" s="30">
        <v>4.200643706948652</v>
      </c>
      <c r="F128" s="30">
        <v>4.3459365493263803E-3</v>
      </c>
      <c r="G128" s="32">
        <v>-5.264370694865228E-2</v>
      </c>
    </row>
    <row r="129" spans="1:7" x14ac:dyDescent="0.3">
      <c r="A129" s="31" t="s">
        <v>2780</v>
      </c>
      <c r="B129" s="30">
        <v>53480</v>
      </c>
      <c r="C129" s="30">
        <v>4.1349999999999998</v>
      </c>
      <c r="D129" s="30">
        <v>-1.2999999999999901E-2</v>
      </c>
      <c r="E129" s="30">
        <v>4.2049896434979788</v>
      </c>
      <c r="F129" s="30">
        <v>4.3459365493263803E-3</v>
      </c>
      <c r="G129" s="32">
        <v>-6.9989643497978982E-2</v>
      </c>
    </row>
    <row r="130" spans="1:7" x14ac:dyDescent="0.3">
      <c r="A130" s="31" t="s">
        <v>2781</v>
      </c>
      <c r="B130" s="30">
        <v>53500</v>
      </c>
      <c r="C130" s="30">
        <v>4.1120000000000001</v>
      </c>
      <c r="D130" s="30">
        <v>-2.2999999999999687E-2</v>
      </c>
      <c r="E130" s="30">
        <v>4.2093355800473056</v>
      </c>
      <c r="F130" s="30">
        <v>4.3459365493263803E-3</v>
      </c>
      <c r="G130" s="32">
        <v>-9.733558004730547E-2</v>
      </c>
    </row>
    <row r="131" spans="1:7" x14ac:dyDescent="0.3">
      <c r="A131" s="31" t="s">
        <v>2782</v>
      </c>
      <c r="B131" s="30">
        <v>53520</v>
      </c>
      <c r="C131" s="30">
        <v>4.0750000000000002</v>
      </c>
      <c r="D131" s="30">
        <v>-3.6999999999999922E-2</v>
      </c>
      <c r="E131" s="30">
        <v>4.2136815165966324</v>
      </c>
      <c r="F131" s="30">
        <v>4.3459365493263803E-3</v>
      </c>
      <c r="G131" s="32">
        <v>-0.13868151659663219</v>
      </c>
    </row>
    <row r="132" spans="1:7" x14ac:dyDescent="0.3">
      <c r="A132" s="31" t="s">
        <v>2783</v>
      </c>
      <c r="B132" s="30">
        <v>53540</v>
      </c>
      <c r="C132" s="30">
        <v>4.0869999999999997</v>
      </c>
      <c r="D132" s="30">
        <v>1.1999999999999567E-2</v>
      </c>
      <c r="E132" s="30">
        <v>4.2180274531459592</v>
      </c>
      <c r="F132" s="30">
        <v>4.3459365493263803E-3</v>
      </c>
      <c r="G132" s="32">
        <v>-0.13102745314595943</v>
      </c>
    </row>
    <row r="133" spans="1:7" x14ac:dyDescent="0.3">
      <c r="A133" s="31" t="s">
        <v>2784</v>
      </c>
      <c r="B133" s="30">
        <v>53560</v>
      </c>
      <c r="C133" s="30">
        <v>4.1150000000000002</v>
      </c>
      <c r="D133" s="30">
        <v>2.8000000000000469E-2</v>
      </c>
      <c r="E133" s="30">
        <v>4.222373389695286</v>
      </c>
      <c r="F133" s="30">
        <v>4.3459365493263803E-3</v>
      </c>
      <c r="G133" s="32">
        <v>-0.10737338969528576</v>
      </c>
    </row>
    <row r="134" spans="1:7" x14ac:dyDescent="0.3">
      <c r="A134" s="31" t="s">
        <v>2785</v>
      </c>
      <c r="B134" s="30">
        <v>53580</v>
      </c>
      <c r="C134" s="30">
        <v>4.1120000000000001</v>
      </c>
      <c r="D134" s="30">
        <v>-3.0000000000001137E-3</v>
      </c>
      <c r="E134" s="30">
        <v>4.2267193262446128</v>
      </c>
      <c r="F134" s="30">
        <v>4.3459365493263803E-3</v>
      </c>
      <c r="G134" s="32">
        <v>-0.11471932624461267</v>
      </c>
    </row>
    <row r="135" spans="1:7" x14ac:dyDescent="0.3">
      <c r="A135" s="31" t="s">
        <v>2786</v>
      </c>
      <c r="B135" s="30">
        <v>53600</v>
      </c>
      <c r="C135" s="30">
        <v>4.1210000000000004</v>
      </c>
      <c r="D135" s="30">
        <v>9.0000000000003411E-3</v>
      </c>
      <c r="E135" s="30">
        <v>4.2310652627939396</v>
      </c>
      <c r="F135" s="30">
        <v>4.3459365493263803E-3</v>
      </c>
      <c r="G135" s="32">
        <v>-0.11006526279393913</v>
      </c>
    </row>
    <row r="136" spans="1:7" x14ac:dyDescent="0.3">
      <c r="A136" s="31" t="s">
        <v>2787</v>
      </c>
      <c r="B136" s="30">
        <v>53620</v>
      </c>
      <c r="C136" s="30">
        <v>4.1319999999999997</v>
      </c>
      <c r="D136" s="30">
        <v>1.0999999999999233E-2</v>
      </c>
      <c r="E136" s="30">
        <v>4.2354111993432664</v>
      </c>
      <c r="F136" s="30">
        <v>4.3459365493263803E-3</v>
      </c>
      <c r="G136" s="32">
        <v>-0.1034111993432667</v>
      </c>
    </row>
    <row r="137" spans="1:7" x14ac:dyDescent="0.3">
      <c r="A137" s="31" t="s">
        <v>2788</v>
      </c>
      <c r="B137" s="30">
        <v>53640</v>
      </c>
      <c r="C137" s="30">
        <v>4.1420000000000003</v>
      </c>
      <c r="D137" s="30">
        <v>1.0000000000000675E-2</v>
      </c>
      <c r="E137" s="30">
        <v>4.2397571358925932</v>
      </c>
      <c r="F137" s="30">
        <v>4.3459365493263803E-3</v>
      </c>
      <c r="G137" s="32">
        <v>-9.7757135892592828E-2</v>
      </c>
    </row>
    <row r="138" spans="1:7" x14ac:dyDescent="0.3">
      <c r="A138" s="31" t="s">
        <v>2789</v>
      </c>
      <c r="B138" s="30">
        <v>53660</v>
      </c>
      <c r="C138" s="30">
        <v>4.0830000000000002</v>
      </c>
      <c r="D138" s="30">
        <v>-5.9000000000000163E-2</v>
      </c>
      <c r="E138" s="30">
        <v>4.24410307244192</v>
      </c>
      <c r="F138" s="30">
        <v>4.3459365493263803E-3</v>
      </c>
      <c r="G138" s="32">
        <v>-0.16110307244191979</v>
      </c>
    </row>
    <row r="139" spans="1:7" x14ac:dyDescent="0.3">
      <c r="A139" s="31" t="s">
        <v>2790</v>
      </c>
      <c r="B139" s="30">
        <v>53680</v>
      </c>
      <c r="C139" s="30">
        <v>4.1239999999999997</v>
      </c>
      <c r="D139" s="30">
        <v>4.0999999999999481E-2</v>
      </c>
      <c r="E139" s="30">
        <v>4.2484490089912468</v>
      </c>
      <c r="F139" s="30">
        <v>4.3459365493263803E-3</v>
      </c>
      <c r="G139" s="32">
        <v>-0.12444900899124711</v>
      </c>
    </row>
    <row r="140" spans="1:7" x14ac:dyDescent="0.3">
      <c r="A140" s="31" t="s">
        <v>2791</v>
      </c>
      <c r="B140" s="30">
        <v>53700</v>
      </c>
      <c r="C140" s="30">
        <v>4.1580000000000004</v>
      </c>
      <c r="D140" s="30">
        <v>3.4000000000000696E-2</v>
      </c>
      <c r="E140" s="30">
        <v>4.2527949455405736</v>
      </c>
      <c r="F140" s="30">
        <v>4.3459365493263803E-3</v>
      </c>
      <c r="G140" s="32">
        <v>-9.4794945540573217E-2</v>
      </c>
    </row>
    <row r="141" spans="1:7" x14ac:dyDescent="0.3">
      <c r="A141" s="31" t="s">
        <v>2792</v>
      </c>
      <c r="B141" s="30">
        <v>53720</v>
      </c>
      <c r="C141" s="30">
        <v>4.18</v>
      </c>
      <c r="D141" s="30">
        <v>2.1999999999999353E-2</v>
      </c>
      <c r="E141" s="30">
        <v>4.2571408820899004</v>
      </c>
      <c r="F141" s="30">
        <v>4.3459365493263803E-3</v>
      </c>
      <c r="G141" s="32">
        <v>-7.7140882089900664E-2</v>
      </c>
    </row>
    <row r="142" spans="1:7" x14ac:dyDescent="0.3">
      <c r="A142" s="31" t="s">
        <v>2793</v>
      </c>
      <c r="B142" s="30">
        <v>53740</v>
      </c>
      <c r="C142" s="30">
        <v>4.1929999999999996</v>
      </c>
      <c r="D142" s="30">
        <v>1.2999999999999901E-2</v>
      </c>
      <c r="E142" s="30">
        <v>4.2614868186392272</v>
      </c>
      <c r="F142" s="30">
        <v>4.3459365493263803E-3</v>
      </c>
      <c r="G142" s="32">
        <v>-6.8486818639227565E-2</v>
      </c>
    </row>
    <row r="143" spans="1:7" x14ac:dyDescent="0.3">
      <c r="A143" s="31" t="s">
        <v>2794</v>
      </c>
      <c r="B143" s="30">
        <v>53760</v>
      </c>
      <c r="C143" s="30">
        <v>4.2110000000000003</v>
      </c>
      <c r="D143" s="30">
        <v>1.8000000000000682E-2</v>
      </c>
      <c r="E143" s="30">
        <v>4.265832755188554</v>
      </c>
      <c r="F143" s="30">
        <v>4.3459365493263803E-3</v>
      </c>
      <c r="G143" s="32">
        <v>-5.4832755188553683E-2</v>
      </c>
    </row>
    <row r="144" spans="1:7" x14ac:dyDescent="0.3">
      <c r="A144" s="31" t="s">
        <v>2795</v>
      </c>
      <c r="B144" s="30">
        <v>53780</v>
      </c>
      <c r="C144" s="30">
        <v>4.2320000000000002</v>
      </c>
      <c r="D144" s="30">
        <v>2.0999999999999908E-2</v>
      </c>
      <c r="E144" s="30">
        <v>4.2701786917378808</v>
      </c>
      <c r="F144" s="30">
        <v>4.3459365493263803E-3</v>
      </c>
      <c r="G144" s="32">
        <v>-3.8178691737880577E-2</v>
      </c>
    </row>
    <row r="145" spans="1:7" x14ac:dyDescent="0.3">
      <c r="A145" s="31" t="s">
        <v>2796</v>
      </c>
      <c r="B145" s="30">
        <v>53800</v>
      </c>
      <c r="C145" s="30">
        <v>4.2469999999999999</v>
      </c>
      <c r="D145" s="30">
        <v>1.499999999999968E-2</v>
      </c>
      <c r="E145" s="30">
        <v>4.2745246282872076</v>
      </c>
      <c r="F145" s="30">
        <v>4.3459365493263803E-3</v>
      </c>
      <c r="G145" s="32">
        <v>-2.7524628287207697E-2</v>
      </c>
    </row>
    <row r="146" spans="1:7" x14ac:dyDescent="0.3">
      <c r="A146" s="31" t="s">
        <v>2797</v>
      </c>
      <c r="B146" s="30">
        <v>53820</v>
      </c>
      <c r="C146" s="30">
        <v>4.2480000000000002</v>
      </c>
      <c r="D146" s="30">
        <v>1.000000000000334E-3</v>
      </c>
      <c r="E146" s="30">
        <v>4.2788705648365344</v>
      </c>
      <c r="F146" s="30">
        <v>4.3459365493263803E-3</v>
      </c>
      <c r="G146" s="32">
        <v>-3.0870564836534164E-2</v>
      </c>
    </row>
    <row r="147" spans="1:7" x14ac:dyDescent="0.3">
      <c r="A147" s="31" t="s">
        <v>2798</v>
      </c>
      <c r="B147" s="30">
        <v>53840</v>
      </c>
      <c r="C147" s="30">
        <v>4.26</v>
      </c>
      <c r="D147" s="30">
        <v>1.1999999999999567E-2</v>
      </c>
      <c r="E147" s="30">
        <v>4.2832165013858612</v>
      </c>
      <c r="F147" s="30">
        <v>4.3459365493263803E-3</v>
      </c>
      <c r="G147" s="32">
        <v>-2.3216501385861399E-2</v>
      </c>
    </row>
    <row r="148" spans="1:7" x14ac:dyDescent="0.3">
      <c r="A148" s="31" t="s">
        <v>2799</v>
      </c>
      <c r="B148" s="30">
        <v>53860</v>
      </c>
      <c r="C148" s="30">
        <v>4.2709999999999999</v>
      </c>
      <c r="D148" s="30">
        <v>1.1000000000000121E-2</v>
      </c>
      <c r="E148" s="30">
        <v>4.287562437935188</v>
      </c>
      <c r="F148" s="30">
        <v>4.3459365493263803E-3</v>
      </c>
      <c r="G148" s="32">
        <v>-1.6562437935188079E-2</v>
      </c>
    </row>
    <row r="149" spans="1:7" x14ac:dyDescent="0.3">
      <c r="A149" s="31" t="s">
        <v>2800</v>
      </c>
      <c r="B149" s="30">
        <v>53880</v>
      </c>
      <c r="C149" s="30">
        <v>4.3</v>
      </c>
      <c r="D149" s="30">
        <v>2.8999999999999915E-2</v>
      </c>
      <c r="E149" s="30">
        <v>4.2919083744845148</v>
      </c>
      <c r="F149" s="30">
        <v>4.3459365493263803E-3</v>
      </c>
      <c r="G149" s="32">
        <v>8.0916255154850347E-3</v>
      </c>
    </row>
    <row r="150" spans="1:7" x14ac:dyDescent="0.3">
      <c r="A150" s="31" t="s">
        <v>2801</v>
      </c>
      <c r="B150" s="30">
        <v>53900</v>
      </c>
      <c r="C150" s="30">
        <v>4.3220000000000001</v>
      </c>
      <c r="D150" s="30">
        <v>2.2000000000000242E-2</v>
      </c>
      <c r="E150" s="30">
        <v>4.2962543110338416</v>
      </c>
      <c r="F150" s="30">
        <v>4.3459365493263803E-3</v>
      </c>
      <c r="G150" s="32">
        <v>2.5745688966158475E-2</v>
      </c>
    </row>
    <row r="151" spans="1:7" x14ac:dyDescent="0.3">
      <c r="A151" s="31" t="s">
        <v>2802</v>
      </c>
      <c r="B151" s="30">
        <v>53920</v>
      </c>
      <c r="C151" s="30">
        <v>4.3179999999999996</v>
      </c>
      <c r="D151" s="30">
        <v>-4.0000000000004476E-3</v>
      </c>
      <c r="E151" s="30">
        <v>4.3006002475831684</v>
      </c>
      <c r="F151" s="30">
        <v>4.3459365493263803E-3</v>
      </c>
      <c r="G151" s="32">
        <v>1.7399752416831227E-2</v>
      </c>
    </row>
    <row r="152" spans="1:7" x14ac:dyDescent="0.3">
      <c r="A152" s="31" t="s">
        <v>2803</v>
      </c>
      <c r="B152" s="30">
        <v>53940</v>
      </c>
      <c r="C152" s="30">
        <v>4.3159999999999998</v>
      </c>
      <c r="D152" s="30">
        <v>-1.9999999999997797E-3</v>
      </c>
      <c r="E152" s="30">
        <v>4.3049461841324952</v>
      </c>
      <c r="F152" s="30">
        <v>4.3459365493263803E-3</v>
      </c>
      <c r="G152" s="32">
        <v>1.1053815867504646E-2</v>
      </c>
    </row>
    <row r="153" spans="1:7" x14ac:dyDescent="0.3">
      <c r="A153" s="31" t="s">
        <v>2804</v>
      </c>
      <c r="B153" s="30">
        <v>53960</v>
      </c>
      <c r="C153" s="30">
        <v>4.3460000000000001</v>
      </c>
      <c r="D153" s="30">
        <v>3.0000000000000249E-2</v>
      </c>
      <c r="E153" s="30">
        <v>4.309292120681822</v>
      </c>
      <c r="F153" s="30">
        <v>4.3459365493263803E-3</v>
      </c>
      <c r="G153" s="32">
        <v>3.6707879318178094E-2</v>
      </c>
    </row>
    <row r="154" spans="1:7" x14ac:dyDescent="0.3">
      <c r="A154" s="31" t="s">
        <v>2805</v>
      </c>
      <c r="B154" s="90"/>
      <c r="C154" s="91"/>
      <c r="D154" s="91"/>
      <c r="E154" s="91"/>
      <c r="F154" s="91"/>
      <c r="G154" s="92"/>
    </row>
    <row r="155" spans="1:7" x14ac:dyDescent="0.3">
      <c r="A155" s="31" t="s">
        <v>2806</v>
      </c>
      <c r="B155" s="30">
        <v>53980</v>
      </c>
      <c r="C155" s="30">
        <v>4.3310000000000004</v>
      </c>
      <c r="D155" s="30">
        <v>-1.499999999999968E-2</v>
      </c>
      <c r="E155" s="30">
        <v>4.3136380572311488</v>
      </c>
      <c r="F155" s="30">
        <v>4.3459365493263803E-3</v>
      </c>
      <c r="G155" s="32">
        <v>1.7361942768851613E-2</v>
      </c>
    </row>
    <row r="156" spans="1:7" ht="15" thickBot="1" x14ac:dyDescent="0.35">
      <c r="A156" s="33" t="s">
        <v>2807</v>
      </c>
      <c r="B156" s="34">
        <v>54000</v>
      </c>
      <c r="C156" s="34">
        <v>4.3179999999999996</v>
      </c>
      <c r="D156" s="34">
        <v>-1.3000000000000789E-2</v>
      </c>
      <c r="E156" s="34">
        <v>4.3179839937804756</v>
      </c>
      <c r="F156" s="34">
        <v>4.3459365493263803E-3</v>
      </c>
      <c r="G156" s="35">
        <v>1.6006219524022924E-5</v>
      </c>
    </row>
  </sheetData>
  <mergeCells count="14">
    <mergeCell ref="B31:G31"/>
    <mergeCell ref="E1:G1"/>
    <mergeCell ref="Q1:R1"/>
    <mergeCell ref="B18:G18"/>
    <mergeCell ref="B22:G22"/>
    <mergeCell ref="B28:G28"/>
    <mergeCell ref="B105:G105"/>
    <mergeCell ref="B154:G154"/>
    <mergeCell ref="B47:G47"/>
    <mergeCell ref="B51:G51"/>
    <mergeCell ref="B79:G79"/>
    <mergeCell ref="B86:G86"/>
    <mergeCell ref="B89:G89"/>
    <mergeCell ref="B99:G9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8B2C-127B-4A8D-ACC2-68D55880D12D}">
  <dimension ref="A1:R80"/>
  <sheetViews>
    <sheetView workbookViewId="0">
      <selection activeCell="I15" sqref="I15"/>
    </sheetView>
  </sheetViews>
  <sheetFormatPr defaultRowHeight="14.4" x14ac:dyDescent="0.3"/>
  <cols>
    <col min="1" max="1" width="19.77734375" bestFit="1" customWidth="1"/>
    <col min="2" max="2" width="9.6640625" bestFit="1" customWidth="1"/>
    <col min="3" max="3" width="5.6640625" bestFit="1" customWidth="1"/>
    <col min="4" max="4" width="10.44140625" bestFit="1" customWidth="1"/>
    <col min="5" max="6" width="5.109375" style="1" bestFit="1" customWidth="1"/>
    <col min="7" max="7" width="5.77734375" style="1" bestFit="1" customWidth="1"/>
    <col min="8" max="8" width="11.5546875" bestFit="1" customWidth="1"/>
    <col min="9" max="9" width="10" bestFit="1" customWidth="1"/>
    <col min="10" max="10" width="8.6640625" bestFit="1" customWidth="1"/>
    <col min="11" max="11" width="11.6640625" bestFit="1" customWidth="1"/>
    <col min="12" max="12" width="9.6640625" bestFit="1" customWidth="1"/>
    <col min="13" max="14" width="12.21875" bestFit="1" customWidth="1"/>
    <col min="15" max="16" width="11.6640625" bestFit="1" customWidth="1"/>
    <col min="17" max="17" width="6.33203125" customWidth="1"/>
    <col min="18" max="18" width="7" customWidth="1"/>
  </cols>
  <sheetData>
    <row r="1" spans="1:18" x14ac:dyDescent="0.3">
      <c r="A1" s="36" t="s">
        <v>3284</v>
      </c>
      <c r="B1" s="37" t="s">
        <v>3285</v>
      </c>
      <c r="C1" s="37" t="s">
        <v>1</v>
      </c>
      <c r="D1" s="37" t="s">
        <v>3286</v>
      </c>
      <c r="E1" s="94" t="s">
        <v>52</v>
      </c>
      <c r="F1" s="94"/>
      <c r="G1" s="102"/>
      <c r="H1" s="52" t="s">
        <v>3293</v>
      </c>
      <c r="I1" s="44" t="s">
        <v>3290</v>
      </c>
      <c r="J1" s="44" t="s">
        <v>3289</v>
      </c>
      <c r="K1" s="44" t="s">
        <v>3291</v>
      </c>
      <c r="L1" s="44" t="s">
        <v>3292</v>
      </c>
      <c r="Q1" s="86" t="s">
        <v>3287</v>
      </c>
      <c r="R1" s="86"/>
    </row>
    <row r="2" spans="1:18" x14ac:dyDescent="0.3">
      <c r="A2" s="31" t="s">
        <v>3123</v>
      </c>
      <c r="B2" s="30">
        <v>60200</v>
      </c>
      <c r="C2" s="30">
        <v>2.6040000000000001</v>
      </c>
      <c r="D2" s="30">
        <v>1.0000000000000231E-2</v>
      </c>
      <c r="E2" s="41">
        <v>2.6069282295107907</v>
      </c>
      <c r="F2" s="41">
        <v>1.3131976362442547E-2</v>
      </c>
      <c r="G2" s="39">
        <v>-2.9282295107906364E-3</v>
      </c>
      <c r="H2" t="s">
        <v>47</v>
      </c>
      <c r="O2">
        <v>6.5659881812212733E-4</v>
      </c>
      <c r="P2">
        <v>1.3131976362442547E-2</v>
      </c>
      <c r="Q2" s="30" t="s">
        <v>3202</v>
      </c>
      <c r="R2" s="30">
        <v>1523</v>
      </c>
    </row>
    <row r="3" spans="1:18" x14ac:dyDescent="0.3">
      <c r="A3" s="31" t="s">
        <v>3124</v>
      </c>
      <c r="B3" s="30">
        <v>60220</v>
      </c>
      <c r="C3" s="30">
        <v>2.6160000000000001</v>
      </c>
      <c r="D3" s="30">
        <v>1.2000000000000011E-2</v>
      </c>
      <c r="E3" s="41">
        <v>2.6200602058732332</v>
      </c>
      <c r="F3" s="41">
        <v>1.3131976362442547E-2</v>
      </c>
      <c r="G3" s="39">
        <v>-4.0602058732330804E-3</v>
      </c>
      <c r="H3">
        <v>60180</v>
      </c>
      <c r="I3">
        <v>60520</v>
      </c>
      <c r="J3">
        <v>340</v>
      </c>
      <c r="K3">
        <v>2.5937962531483483</v>
      </c>
      <c r="L3">
        <v>2.8170000000000002</v>
      </c>
      <c r="M3">
        <v>0.2232037468516519</v>
      </c>
      <c r="N3">
        <v>1523.2719199197606</v>
      </c>
      <c r="O3">
        <v>1523</v>
      </c>
    </row>
    <row r="4" spans="1:18" x14ac:dyDescent="0.3">
      <c r="A4" s="31" t="s">
        <v>3125</v>
      </c>
      <c r="B4" s="30">
        <v>60240</v>
      </c>
      <c r="C4" s="30">
        <v>2.6360000000000001</v>
      </c>
      <c r="D4" s="30">
        <v>2.0000000000000018E-2</v>
      </c>
      <c r="E4" s="41">
        <v>2.6331921822356756</v>
      </c>
      <c r="F4" s="41">
        <v>1.3131976362442547E-2</v>
      </c>
      <c r="G4" s="39">
        <v>2.8078177643244828E-3</v>
      </c>
    </row>
    <row r="5" spans="1:18" x14ac:dyDescent="0.3">
      <c r="A5" s="31" t="s">
        <v>3126</v>
      </c>
      <c r="B5" s="30">
        <v>60260</v>
      </c>
      <c r="C5" s="30">
        <v>2.653</v>
      </c>
      <c r="D5" s="30">
        <v>1.6999999999999904E-2</v>
      </c>
      <c r="E5" s="41">
        <v>2.6463241585981181</v>
      </c>
      <c r="F5" s="41">
        <v>1.3131976362442547E-2</v>
      </c>
      <c r="G5" s="39">
        <v>6.6758414018819323E-3</v>
      </c>
    </row>
    <row r="6" spans="1:18" x14ac:dyDescent="0.3">
      <c r="A6" s="31" t="s">
        <v>3127</v>
      </c>
      <c r="B6" s="30">
        <v>60280</v>
      </c>
      <c r="C6" s="30">
        <v>2.6549999999999998</v>
      </c>
      <c r="D6" s="30">
        <v>1.9999999999997797E-3</v>
      </c>
      <c r="E6" s="41">
        <v>2.6594561349605605</v>
      </c>
      <c r="F6" s="41">
        <v>1.3131976362442547E-2</v>
      </c>
      <c r="G6" s="39">
        <v>-4.4561349605607425E-3</v>
      </c>
    </row>
    <row r="7" spans="1:18" x14ac:dyDescent="0.3">
      <c r="A7" s="31" t="s">
        <v>3128</v>
      </c>
      <c r="B7" s="30">
        <v>60300</v>
      </c>
      <c r="C7" s="30">
        <v>2.6339999999999999</v>
      </c>
      <c r="D7" s="30">
        <v>-2.0999999999999908E-2</v>
      </c>
      <c r="E7" s="41">
        <v>2.672588111323003</v>
      </c>
      <c r="F7" s="41">
        <v>1.3131976362442547E-2</v>
      </c>
      <c r="G7" s="39">
        <v>-3.8588111323003105E-2</v>
      </c>
    </row>
    <row r="8" spans="1:18" x14ac:dyDescent="0.3">
      <c r="A8" s="31" t="s">
        <v>3129</v>
      </c>
      <c r="B8" s="30">
        <v>60320</v>
      </c>
      <c r="C8" s="30">
        <v>2.6379999999999999</v>
      </c>
      <c r="D8" s="30">
        <v>4.0000000000000036E-3</v>
      </c>
      <c r="E8" s="41">
        <v>2.6857200876854455</v>
      </c>
      <c r="F8" s="41">
        <v>1.3131976362442547E-2</v>
      </c>
      <c r="G8" s="39">
        <v>-4.7720087685445556E-2</v>
      </c>
    </row>
    <row r="9" spans="1:18" x14ac:dyDescent="0.3">
      <c r="A9" s="31" t="s">
        <v>3130</v>
      </c>
      <c r="B9" s="30">
        <v>60340</v>
      </c>
      <c r="C9" s="30">
        <v>2.641</v>
      </c>
      <c r="D9" s="30">
        <v>3.0000000000001137E-3</v>
      </c>
      <c r="E9" s="41">
        <v>2.6988520640478879</v>
      </c>
      <c r="F9" s="41">
        <v>1.3131976362442547E-2</v>
      </c>
      <c r="G9" s="39">
        <v>-5.7852064047887897E-2</v>
      </c>
    </row>
    <row r="10" spans="1:18" x14ac:dyDescent="0.3">
      <c r="A10" s="31" t="s">
        <v>3131</v>
      </c>
      <c r="B10" s="30">
        <v>60360</v>
      </c>
      <c r="C10" s="30">
        <v>2.6360000000000001</v>
      </c>
      <c r="D10" s="30">
        <v>-4.9999999999998934E-3</v>
      </c>
      <c r="E10" s="41">
        <v>2.7119840404103304</v>
      </c>
      <c r="F10" s="41">
        <v>1.3131976362442547E-2</v>
      </c>
      <c r="G10" s="39">
        <v>-7.5984040410330245E-2</v>
      </c>
    </row>
    <row r="11" spans="1:18" x14ac:dyDescent="0.3">
      <c r="A11" s="31" t="s">
        <v>3132</v>
      </c>
      <c r="B11" s="30">
        <v>60380</v>
      </c>
      <c r="C11" s="30">
        <v>2.6539999999999999</v>
      </c>
      <c r="D11" s="30">
        <v>1.7999999999999794E-2</v>
      </c>
      <c r="E11" s="41">
        <v>2.7251160167727728</v>
      </c>
      <c r="F11" s="41">
        <v>1.3131976362442547E-2</v>
      </c>
      <c r="G11" s="39">
        <v>-7.1116016772772905E-2</v>
      </c>
    </row>
    <row r="12" spans="1:18" x14ac:dyDescent="0.3">
      <c r="A12" s="31" t="s">
        <v>3133</v>
      </c>
      <c r="B12" s="30">
        <v>60400</v>
      </c>
      <c r="C12" s="30">
        <v>2.67</v>
      </c>
      <c r="D12" s="30">
        <v>1.6000000000000014E-2</v>
      </c>
      <c r="E12" s="41">
        <v>2.7382479931352153</v>
      </c>
      <c r="F12" s="41">
        <v>1.3131976362442547E-2</v>
      </c>
      <c r="G12" s="39">
        <v>-6.8247993135215346E-2</v>
      </c>
    </row>
    <row r="13" spans="1:18" x14ac:dyDescent="0.3">
      <c r="A13" s="31" t="s">
        <v>3134</v>
      </c>
      <c r="B13" s="30">
        <v>60420</v>
      </c>
      <c r="C13" s="30">
        <v>2.6829999999999998</v>
      </c>
      <c r="D13" s="30">
        <v>1.2999999999999901E-2</v>
      </c>
      <c r="E13" s="41">
        <v>2.7513799694976577</v>
      </c>
      <c r="F13" s="41">
        <v>1.3131976362442547E-2</v>
      </c>
      <c r="G13" s="39">
        <v>-6.83799694976579E-2</v>
      </c>
    </row>
    <row r="14" spans="1:18" x14ac:dyDescent="0.3">
      <c r="A14" s="31" t="s">
        <v>3135</v>
      </c>
      <c r="B14" s="30">
        <v>60440</v>
      </c>
      <c r="C14" s="30">
        <v>2.6970000000000001</v>
      </c>
      <c r="D14" s="30">
        <v>1.4000000000000234E-2</v>
      </c>
      <c r="E14" s="41">
        <v>2.7645119458601002</v>
      </c>
      <c r="F14" s="41">
        <v>1.3131976362442547E-2</v>
      </c>
      <c r="G14" s="39">
        <v>-6.751194586010012E-2</v>
      </c>
    </row>
    <row r="15" spans="1:18" x14ac:dyDescent="0.3">
      <c r="A15" s="31" t="s">
        <v>3136</v>
      </c>
      <c r="B15" s="30">
        <v>60460</v>
      </c>
      <c r="C15" s="30">
        <v>2.7229999999999999</v>
      </c>
      <c r="D15" s="30">
        <v>2.5999999999999801E-2</v>
      </c>
      <c r="E15" s="41">
        <v>2.7776439222225426</v>
      </c>
      <c r="F15" s="41">
        <v>1.3131976362442547E-2</v>
      </c>
      <c r="G15" s="39">
        <v>-5.4643922222542773E-2</v>
      </c>
    </row>
    <row r="16" spans="1:18" x14ac:dyDescent="0.3">
      <c r="A16" s="31" t="s">
        <v>3137</v>
      </c>
      <c r="B16" s="30">
        <v>60480</v>
      </c>
      <c r="C16" s="30">
        <v>2.754</v>
      </c>
      <c r="D16" s="30">
        <v>3.1000000000000139E-2</v>
      </c>
      <c r="E16" s="41">
        <v>2.7907758985849851</v>
      </c>
      <c r="F16" s="41">
        <v>1.3131976362442547E-2</v>
      </c>
      <c r="G16" s="39">
        <v>-3.6775898584985089E-2</v>
      </c>
    </row>
    <row r="17" spans="1:18" x14ac:dyDescent="0.3">
      <c r="A17" s="31" t="s">
        <v>3138</v>
      </c>
      <c r="B17" s="30">
        <v>60500</v>
      </c>
      <c r="C17" s="30">
        <v>2.7770000000000001</v>
      </c>
      <c r="D17" s="30">
        <v>2.3000000000000131E-2</v>
      </c>
      <c r="E17" s="41">
        <v>2.8039078749474275</v>
      </c>
      <c r="F17" s="41">
        <v>1.3131976362442547E-2</v>
      </c>
      <c r="G17" s="39">
        <v>-2.6907874947427413E-2</v>
      </c>
    </row>
    <row r="18" spans="1:18" x14ac:dyDescent="0.3">
      <c r="A18" s="31" t="s">
        <v>3139</v>
      </c>
      <c r="B18" s="30">
        <v>60520</v>
      </c>
      <c r="C18" s="30">
        <v>2.8170000000000002</v>
      </c>
      <c r="D18" s="30">
        <v>4.0000000000000036E-2</v>
      </c>
      <c r="E18" s="41">
        <v>2.81703985130987</v>
      </c>
      <c r="F18" s="41">
        <v>1.3131976362442547E-2</v>
      </c>
      <c r="G18" s="39">
        <v>-3.9851309869831653E-5</v>
      </c>
    </row>
    <row r="19" spans="1:18" x14ac:dyDescent="0.3">
      <c r="A19" s="31" t="s">
        <v>3263</v>
      </c>
      <c r="B19" s="96" t="s">
        <v>3194</v>
      </c>
      <c r="C19" s="97"/>
      <c r="D19" s="97"/>
      <c r="E19" s="97"/>
      <c r="F19" s="97"/>
      <c r="G19" s="98"/>
      <c r="H19" t="s">
        <v>3276</v>
      </c>
      <c r="O19">
        <v>4.2372881355932203E-3</v>
      </c>
      <c r="P19">
        <v>8.4745762711864403E-2</v>
      </c>
      <c r="Q19" s="30" t="s">
        <v>3202</v>
      </c>
      <c r="R19" s="30">
        <v>236</v>
      </c>
    </row>
    <row r="20" spans="1:18" x14ac:dyDescent="0.3">
      <c r="A20" s="31" t="s">
        <v>3140</v>
      </c>
      <c r="B20" s="30">
        <v>60540</v>
      </c>
      <c r="C20" s="30">
        <v>2.91</v>
      </c>
      <c r="D20" s="30">
        <v>9.2999999999999972E-2</v>
      </c>
      <c r="E20" s="41">
        <v>2.9017856140217342</v>
      </c>
      <c r="F20" s="41">
        <v>8.4745762711864403E-2</v>
      </c>
      <c r="G20" s="39">
        <v>8.214385978265959E-3</v>
      </c>
      <c r="H20">
        <v>60520</v>
      </c>
      <c r="I20">
        <v>60820</v>
      </c>
      <c r="J20">
        <v>300</v>
      </c>
      <c r="K20">
        <v>2.81703985130987</v>
      </c>
      <c r="L20">
        <v>4.09</v>
      </c>
      <c r="M20">
        <v>1.2729601486901299</v>
      </c>
      <c r="N20">
        <v>235.67116402559705</v>
      </c>
      <c r="O20">
        <v>236</v>
      </c>
    </row>
    <row r="21" spans="1:18" x14ac:dyDescent="0.3">
      <c r="A21" s="31" t="s">
        <v>3141</v>
      </c>
      <c r="B21" s="30">
        <v>60560</v>
      </c>
      <c r="C21" s="30">
        <v>3.0449999999999999</v>
      </c>
      <c r="D21" s="30">
        <v>0.13499999999999979</v>
      </c>
      <c r="E21" s="41">
        <v>2.9865313767335984</v>
      </c>
      <c r="F21" s="41">
        <v>8.4745762711864403E-2</v>
      </c>
      <c r="G21" s="39">
        <v>5.8468623266401565E-2</v>
      </c>
    </row>
    <row r="22" spans="1:18" x14ac:dyDescent="0.3">
      <c r="A22" s="31" t="s">
        <v>3275</v>
      </c>
      <c r="B22" s="96" t="s">
        <v>3197</v>
      </c>
      <c r="C22" s="97"/>
      <c r="D22" s="97"/>
      <c r="E22" s="97"/>
      <c r="F22" s="97"/>
      <c r="G22" s="98"/>
    </row>
    <row r="23" spans="1:18" x14ac:dyDescent="0.3">
      <c r="A23" s="31" t="s">
        <v>3142</v>
      </c>
      <c r="B23" s="30">
        <v>60580</v>
      </c>
      <c r="C23" s="30">
        <v>3.198</v>
      </c>
      <c r="D23" s="30">
        <v>0.15300000000000002</v>
      </c>
      <c r="E23" s="41">
        <v>3.0712771394454625</v>
      </c>
      <c r="F23" s="41">
        <v>8.4745762711864403E-2</v>
      </c>
      <c r="G23" s="39">
        <v>0.12672286055453741</v>
      </c>
    </row>
    <row r="24" spans="1:18" x14ac:dyDescent="0.3">
      <c r="A24" s="31" t="s">
        <v>3143</v>
      </c>
      <c r="B24" s="30">
        <v>60600</v>
      </c>
      <c r="C24" s="30">
        <v>3.3559999999999999</v>
      </c>
      <c r="D24" s="30">
        <v>0.15799999999999992</v>
      </c>
      <c r="E24" s="41">
        <v>3.1560229021573267</v>
      </c>
      <c r="F24" s="41">
        <v>8.4745762711864403E-2</v>
      </c>
      <c r="G24" s="39">
        <v>0.19997709784267315</v>
      </c>
    </row>
    <row r="25" spans="1:18" x14ac:dyDescent="0.3">
      <c r="A25" s="31" t="s">
        <v>3144</v>
      </c>
      <c r="B25" s="30">
        <v>60620</v>
      </c>
      <c r="C25" s="30">
        <v>3.5059999999999998</v>
      </c>
      <c r="D25" s="30">
        <v>0.14999999999999991</v>
      </c>
      <c r="E25" s="41">
        <v>3.2407686648691909</v>
      </c>
      <c r="F25" s="41">
        <v>8.4745762711864403E-2</v>
      </c>
      <c r="G25" s="39">
        <v>0.26523133513080888</v>
      </c>
    </row>
    <row r="26" spans="1:18" x14ac:dyDescent="0.3">
      <c r="A26" s="31" t="s">
        <v>3145</v>
      </c>
      <c r="B26" s="30">
        <v>60640</v>
      </c>
      <c r="C26" s="30">
        <v>3.58</v>
      </c>
      <c r="D26" s="30">
        <v>7.4000000000000288E-2</v>
      </c>
      <c r="E26" s="41">
        <v>3.3255144275810551</v>
      </c>
      <c r="F26" s="41">
        <v>8.4745762711864403E-2</v>
      </c>
      <c r="G26" s="39">
        <v>0.25448557241894498</v>
      </c>
    </row>
    <row r="27" spans="1:18" x14ac:dyDescent="0.3">
      <c r="A27" s="31" t="s">
        <v>3146</v>
      </c>
      <c r="B27" s="30">
        <v>60660</v>
      </c>
      <c r="C27" s="30">
        <v>3.5990000000000002</v>
      </c>
      <c r="D27" s="30">
        <v>1.9000000000000128E-2</v>
      </c>
      <c r="E27" s="41">
        <v>3.4102601902929193</v>
      </c>
      <c r="F27" s="41">
        <v>8.4745762711864403E-2</v>
      </c>
      <c r="G27" s="39">
        <v>0.18873980970708093</v>
      </c>
    </row>
    <row r="28" spans="1:18" x14ac:dyDescent="0.3">
      <c r="A28" s="31" t="s">
        <v>3274</v>
      </c>
      <c r="B28" s="96" t="s">
        <v>3222</v>
      </c>
      <c r="C28" s="97"/>
      <c r="D28" s="97"/>
      <c r="E28" s="97"/>
      <c r="F28" s="97"/>
      <c r="G28" s="98"/>
    </row>
    <row r="29" spans="1:18" x14ac:dyDescent="0.3">
      <c r="A29" s="31" t="s">
        <v>3147</v>
      </c>
      <c r="B29" s="30">
        <v>60680</v>
      </c>
      <c r="C29" s="30">
        <v>3.6179999999999999</v>
      </c>
      <c r="D29" s="30">
        <v>1.8999999999999684E-2</v>
      </c>
      <c r="E29" s="41">
        <v>3.4950059530047834</v>
      </c>
      <c r="F29" s="41">
        <v>8.4745762711864403E-2</v>
      </c>
      <c r="G29" s="39">
        <v>0.12299404699521643</v>
      </c>
    </row>
    <row r="30" spans="1:18" x14ac:dyDescent="0.3">
      <c r="A30" s="31" t="s">
        <v>3148</v>
      </c>
      <c r="B30" s="30">
        <v>60700</v>
      </c>
      <c r="C30" s="30">
        <v>3.6779999999999999</v>
      </c>
      <c r="D30" s="30">
        <v>6.0000000000000053E-2</v>
      </c>
      <c r="E30" s="41">
        <v>3.5797517157166476</v>
      </c>
      <c r="F30" s="41">
        <v>8.4745762711864403E-2</v>
      </c>
      <c r="G30" s="39">
        <v>9.8248284283352305E-2</v>
      </c>
    </row>
    <row r="31" spans="1:18" x14ac:dyDescent="0.3">
      <c r="A31" s="31" t="s">
        <v>3149</v>
      </c>
      <c r="B31" s="30">
        <v>60720</v>
      </c>
      <c r="C31" s="30">
        <v>3.7629999999999999</v>
      </c>
      <c r="D31" s="30">
        <v>8.4999999999999964E-2</v>
      </c>
      <c r="E31" s="41">
        <v>3.6644974784285118</v>
      </c>
      <c r="F31" s="41">
        <v>8.4745762711864403E-2</v>
      </c>
      <c r="G31" s="39">
        <v>9.8502521571488089E-2</v>
      </c>
    </row>
    <row r="32" spans="1:18" x14ac:dyDescent="0.3">
      <c r="A32" s="31" t="s">
        <v>3150</v>
      </c>
      <c r="B32" s="30">
        <v>60740</v>
      </c>
      <c r="C32" s="30">
        <v>3.8420000000000001</v>
      </c>
      <c r="D32" s="30">
        <v>7.9000000000000181E-2</v>
      </c>
      <c r="E32" s="41">
        <v>3.749243241140376</v>
      </c>
      <c r="F32" s="41">
        <v>8.4745762711864403E-2</v>
      </c>
      <c r="G32" s="39">
        <v>9.2756758859624089E-2</v>
      </c>
    </row>
    <row r="33" spans="1:18" x14ac:dyDescent="0.3">
      <c r="A33" s="31" t="s">
        <v>3151</v>
      </c>
      <c r="B33" s="30">
        <v>60760</v>
      </c>
      <c r="C33" s="30">
        <v>3.9329999999999998</v>
      </c>
      <c r="D33" s="30">
        <v>9.0999999999999748E-2</v>
      </c>
      <c r="E33" s="41">
        <v>3.8339890038522402</v>
      </c>
      <c r="F33" s="41">
        <v>8.4745762711864403E-2</v>
      </c>
      <c r="G33" s="39">
        <v>9.9010996147759656E-2</v>
      </c>
    </row>
    <row r="34" spans="1:18" x14ac:dyDescent="0.3">
      <c r="A34" s="31" t="s">
        <v>3152</v>
      </c>
      <c r="B34" s="30">
        <v>60780</v>
      </c>
      <c r="C34" s="30">
        <v>4.0330000000000004</v>
      </c>
      <c r="D34" s="30">
        <v>0.10000000000000053</v>
      </c>
      <c r="E34" s="41">
        <v>3.9187347665641044</v>
      </c>
      <c r="F34" s="41">
        <v>8.4745762711864403E-2</v>
      </c>
      <c r="G34" s="39">
        <v>0.11426523343589601</v>
      </c>
    </row>
    <row r="35" spans="1:18" x14ac:dyDescent="0.3">
      <c r="A35" s="31" t="s">
        <v>3153</v>
      </c>
      <c r="B35" s="30">
        <v>60800</v>
      </c>
      <c r="C35" s="30">
        <v>4.0839999999999996</v>
      </c>
      <c r="D35" s="30">
        <v>5.0999999999999268E-2</v>
      </c>
      <c r="E35" s="41">
        <v>4.0034805292759685</v>
      </c>
      <c r="F35" s="41">
        <v>8.4745762711864403E-2</v>
      </c>
      <c r="G35" s="39">
        <v>8.0519470724031095E-2</v>
      </c>
    </row>
    <row r="36" spans="1:18" x14ac:dyDescent="0.3">
      <c r="A36" s="31" t="s">
        <v>3154</v>
      </c>
      <c r="B36" s="30">
        <v>60820</v>
      </c>
      <c r="C36" s="30">
        <v>4.09</v>
      </c>
      <c r="D36" s="30">
        <v>6.0000000000002274E-3</v>
      </c>
      <c r="E36" s="41">
        <v>4.0882262919878327</v>
      </c>
      <c r="F36" s="41">
        <v>8.4745762711864403E-2</v>
      </c>
      <c r="G36" s="39">
        <v>1.7737080121671411E-3</v>
      </c>
    </row>
    <row r="37" spans="1:18" x14ac:dyDescent="0.3">
      <c r="A37" s="93"/>
      <c r="B37" s="91"/>
      <c r="C37" s="91"/>
      <c r="D37" s="91"/>
      <c r="E37" s="91"/>
      <c r="F37" s="91"/>
      <c r="G37" s="92"/>
      <c r="H37" t="s">
        <v>3277</v>
      </c>
      <c r="O37">
        <v>2.3364485981308409E-3</v>
      </c>
      <c r="P37">
        <v>4.6728971962616821E-2</v>
      </c>
      <c r="Q37" s="30" t="s">
        <v>3200</v>
      </c>
      <c r="R37" s="30">
        <v>428</v>
      </c>
    </row>
    <row r="38" spans="1:18" x14ac:dyDescent="0.3">
      <c r="A38" s="31" t="s">
        <v>3155</v>
      </c>
      <c r="B38" s="30">
        <v>60840</v>
      </c>
      <c r="C38" s="30">
        <v>4.0780000000000003</v>
      </c>
      <c r="D38" s="30">
        <v>-1.1999999999999567E-2</v>
      </c>
      <c r="E38" s="41">
        <v>4.0414973200252158</v>
      </c>
      <c r="F38" s="41">
        <v>4.6728971962616821E-2</v>
      </c>
      <c r="G38" s="39">
        <v>3.6502679974784513E-2</v>
      </c>
      <c r="H38">
        <v>60820</v>
      </c>
      <c r="I38">
        <v>61360</v>
      </c>
      <c r="J38">
        <v>540</v>
      </c>
      <c r="K38">
        <v>4.0882262919878327</v>
      </c>
      <c r="L38">
        <v>2.8279999999999998</v>
      </c>
      <c r="M38">
        <v>-1.2602262919878329</v>
      </c>
      <c r="N38">
        <v>-428.49447232863599</v>
      </c>
      <c r="O38">
        <v>428</v>
      </c>
    </row>
    <row r="39" spans="1:18" x14ac:dyDescent="0.3">
      <c r="A39" s="31" t="s">
        <v>3156</v>
      </c>
      <c r="B39" s="30">
        <v>60860</v>
      </c>
      <c r="C39" s="30">
        <v>4.0650000000000004</v>
      </c>
      <c r="D39" s="30">
        <v>-1.2999999999999901E-2</v>
      </c>
      <c r="E39" s="41">
        <v>3.9947683480625988</v>
      </c>
      <c r="F39" s="41">
        <v>4.6728971962616821E-2</v>
      </c>
      <c r="G39" s="39">
        <v>7.0231651937401551E-2</v>
      </c>
    </row>
    <row r="40" spans="1:18" x14ac:dyDescent="0.3">
      <c r="A40" s="93"/>
      <c r="B40" s="91"/>
      <c r="C40" s="91"/>
      <c r="D40" s="91"/>
      <c r="E40" s="91"/>
      <c r="F40" s="91"/>
      <c r="G40" s="92"/>
    </row>
    <row r="41" spans="1:18" x14ac:dyDescent="0.3">
      <c r="A41" s="31" t="s">
        <v>3157</v>
      </c>
      <c r="B41" s="30">
        <v>60880</v>
      </c>
      <c r="C41" s="30">
        <v>4.0330000000000004</v>
      </c>
      <c r="D41" s="30">
        <v>-3.2000000000000028E-2</v>
      </c>
      <c r="E41" s="41">
        <v>3.9480393760999819</v>
      </c>
      <c r="F41" s="41">
        <v>4.6728971962616821E-2</v>
      </c>
      <c r="G41" s="39">
        <v>8.4960623900018462E-2</v>
      </c>
    </row>
    <row r="42" spans="1:18" x14ac:dyDescent="0.3">
      <c r="A42" s="31" t="s">
        <v>3158</v>
      </c>
      <c r="B42" s="30">
        <v>60900</v>
      </c>
      <c r="C42" s="30">
        <v>3.96</v>
      </c>
      <c r="D42" s="30">
        <v>-7.3000000000000398E-2</v>
      </c>
      <c r="E42" s="41">
        <v>3.901310404137365</v>
      </c>
      <c r="F42" s="41">
        <v>4.6728971962616821E-2</v>
      </c>
      <c r="G42" s="39">
        <v>5.8689595862635002E-2</v>
      </c>
    </row>
    <row r="43" spans="1:18" x14ac:dyDescent="0.3">
      <c r="A43" s="31" t="s">
        <v>3159</v>
      </c>
      <c r="B43" s="30">
        <v>60920</v>
      </c>
      <c r="C43" s="30">
        <v>3.8759999999999999</v>
      </c>
      <c r="D43" s="30">
        <v>-8.4000000000000075E-2</v>
      </c>
      <c r="E43" s="41">
        <v>3.854581432174748</v>
      </c>
      <c r="F43" s="41">
        <v>4.6728971962616821E-2</v>
      </c>
      <c r="G43" s="39">
        <v>2.1418567825251866E-2</v>
      </c>
    </row>
    <row r="44" spans="1:18" x14ac:dyDescent="0.3">
      <c r="A44" s="31" t="s">
        <v>3160</v>
      </c>
      <c r="B44" s="30">
        <v>60940</v>
      </c>
      <c r="C44" s="30">
        <v>3.806</v>
      </c>
      <c r="D44" s="30">
        <v>-6.999999999999984E-2</v>
      </c>
      <c r="E44" s="41">
        <v>3.8078524602121311</v>
      </c>
      <c r="F44" s="41">
        <v>4.6728971962616821E-2</v>
      </c>
      <c r="G44" s="39">
        <v>-1.8524602121310352E-3</v>
      </c>
    </row>
    <row r="45" spans="1:18" x14ac:dyDescent="0.3">
      <c r="A45" s="31" t="s">
        <v>3161</v>
      </c>
      <c r="B45" s="90"/>
      <c r="C45" s="91"/>
      <c r="D45" s="91"/>
      <c r="E45" s="91"/>
      <c r="F45" s="91"/>
      <c r="G45" s="92"/>
    </row>
    <row r="46" spans="1:18" x14ac:dyDescent="0.3">
      <c r="A46" s="31" t="s">
        <v>3162</v>
      </c>
      <c r="B46" s="30">
        <v>60960</v>
      </c>
      <c r="C46" s="30">
        <v>3.7280000000000002</v>
      </c>
      <c r="D46" s="30">
        <v>-7.7999999999999847E-2</v>
      </c>
      <c r="E46" s="41">
        <v>3.7611234882495141</v>
      </c>
      <c r="F46" s="41">
        <v>4.6728971962616821E-2</v>
      </c>
      <c r="G46" s="39">
        <v>-3.3123488249513944E-2</v>
      </c>
    </row>
    <row r="47" spans="1:18" x14ac:dyDescent="0.3">
      <c r="A47" s="31" t="s">
        <v>3164</v>
      </c>
      <c r="B47" s="30">
        <v>60980</v>
      </c>
      <c r="C47" s="30">
        <v>3.6110000000000002</v>
      </c>
      <c r="D47" s="30">
        <v>-0.11699999999999999</v>
      </c>
      <c r="E47" s="41">
        <v>3.7143945162868972</v>
      </c>
      <c r="F47" s="41">
        <v>4.6728971962616821E-2</v>
      </c>
      <c r="G47" s="39">
        <v>-0.103394516286897</v>
      </c>
    </row>
    <row r="48" spans="1:18" x14ac:dyDescent="0.3">
      <c r="A48" s="31" t="s">
        <v>3165</v>
      </c>
      <c r="B48" s="30">
        <v>61000</v>
      </c>
      <c r="C48" s="30">
        <v>3.5979999999999999</v>
      </c>
      <c r="D48" s="30">
        <v>-1.3000000000000345E-2</v>
      </c>
      <c r="E48" s="41">
        <v>3.6676655443242803</v>
      </c>
      <c r="F48" s="41">
        <v>4.6728971962616821E-2</v>
      </c>
      <c r="G48" s="39">
        <v>-6.9665544324280404E-2</v>
      </c>
    </row>
    <row r="49" spans="1:7" x14ac:dyDescent="0.3">
      <c r="A49" s="31" t="s">
        <v>3166</v>
      </c>
      <c r="B49" s="30">
        <v>61020</v>
      </c>
      <c r="C49" s="30">
        <v>3.5390000000000001</v>
      </c>
      <c r="D49" s="30">
        <v>-5.8999999999999719E-2</v>
      </c>
      <c r="E49" s="41">
        <v>3.6209365723616633</v>
      </c>
      <c r="F49" s="41">
        <v>4.6728971962616821E-2</v>
      </c>
      <c r="G49" s="39">
        <v>-8.1936572361663185E-2</v>
      </c>
    </row>
    <row r="50" spans="1:7" x14ac:dyDescent="0.3">
      <c r="A50" s="31" t="s">
        <v>3272</v>
      </c>
      <c r="B50" s="96" t="s">
        <v>3273</v>
      </c>
      <c r="C50" s="97"/>
      <c r="D50" s="97"/>
      <c r="E50" s="97"/>
      <c r="F50" s="97"/>
      <c r="G50" s="98"/>
    </row>
    <row r="51" spans="1:7" x14ac:dyDescent="0.3">
      <c r="A51" s="31" t="s">
        <v>3167</v>
      </c>
      <c r="B51" s="30">
        <v>61040</v>
      </c>
      <c r="C51" s="30">
        <v>3.4969999999999999</v>
      </c>
      <c r="D51" s="30">
        <v>-4.2000000000000259E-2</v>
      </c>
      <c r="E51" s="41">
        <v>3.5742076003990464</v>
      </c>
      <c r="F51" s="41">
        <v>4.6728971962616821E-2</v>
      </c>
      <c r="G51" s="39">
        <v>-7.7207600399046505E-2</v>
      </c>
    </row>
    <row r="52" spans="1:7" x14ac:dyDescent="0.3">
      <c r="A52" s="31" t="s">
        <v>3168</v>
      </c>
      <c r="B52" s="30">
        <v>61060</v>
      </c>
      <c r="C52" s="30">
        <v>3.4660000000000002</v>
      </c>
      <c r="D52" s="30">
        <v>-3.0999999999999694E-2</v>
      </c>
      <c r="E52" s="41">
        <v>3.5274786284364295</v>
      </c>
      <c r="F52" s="41">
        <v>4.6728971962616821E-2</v>
      </c>
      <c r="G52" s="39">
        <v>-6.1478628436429261E-2</v>
      </c>
    </row>
    <row r="53" spans="1:7" x14ac:dyDescent="0.3">
      <c r="A53" s="31" t="s">
        <v>3169</v>
      </c>
      <c r="B53" s="30">
        <v>61080</v>
      </c>
      <c r="C53" s="30">
        <v>3.4239999999999999</v>
      </c>
      <c r="D53" s="30">
        <v>-4.2000000000000259E-2</v>
      </c>
      <c r="E53" s="41">
        <v>3.4807496564738125</v>
      </c>
      <c r="F53" s="41">
        <v>4.6728971962616821E-2</v>
      </c>
      <c r="G53" s="39">
        <v>-5.6749656473812582E-2</v>
      </c>
    </row>
    <row r="54" spans="1:7" x14ac:dyDescent="0.3">
      <c r="A54" s="31" t="s">
        <v>3170</v>
      </c>
      <c r="B54" s="30">
        <v>61100</v>
      </c>
      <c r="C54" s="30">
        <v>3.3719999999999999</v>
      </c>
      <c r="D54" s="30">
        <v>-5.2000000000000046E-2</v>
      </c>
      <c r="E54" s="41">
        <v>3.4340206845111956</v>
      </c>
      <c r="F54" s="41">
        <v>4.6728971962616821E-2</v>
      </c>
      <c r="G54" s="39">
        <v>-6.2020684511195689E-2</v>
      </c>
    </row>
    <row r="55" spans="1:7" x14ac:dyDescent="0.3">
      <c r="A55" s="31" t="s">
        <v>3270</v>
      </c>
      <c r="B55" s="96" t="s">
        <v>3271</v>
      </c>
      <c r="C55" s="97"/>
      <c r="D55" s="97"/>
      <c r="E55" s="97"/>
      <c r="F55" s="97"/>
      <c r="G55" s="98"/>
    </row>
    <row r="56" spans="1:7" x14ac:dyDescent="0.3">
      <c r="A56" s="31" t="s">
        <v>3171</v>
      </c>
      <c r="B56" s="30">
        <v>61120</v>
      </c>
      <c r="C56" s="30">
        <v>3.3319999999999999</v>
      </c>
      <c r="D56" s="30">
        <v>-4.0000000000000036E-2</v>
      </c>
      <c r="E56" s="41">
        <v>3.3872917125485786</v>
      </c>
      <c r="F56" s="41">
        <v>4.6728971962616821E-2</v>
      </c>
      <c r="G56" s="39">
        <v>-5.5291712548578786E-2</v>
      </c>
    </row>
    <row r="57" spans="1:7" x14ac:dyDescent="0.3">
      <c r="A57" s="31" t="s">
        <v>3172</v>
      </c>
      <c r="B57" s="30">
        <v>61140</v>
      </c>
      <c r="C57" s="30">
        <v>3.3149999999999999</v>
      </c>
      <c r="D57" s="30">
        <v>-1.6999999999999904E-2</v>
      </c>
      <c r="E57" s="41">
        <v>3.3405627405859617</v>
      </c>
      <c r="F57" s="41">
        <v>4.6728971962616821E-2</v>
      </c>
      <c r="G57" s="39">
        <v>-2.5562740585961752E-2</v>
      </c>
    </row>
    <row r="58" spans="1:7" x14ac:dyDescent="0.3">
      <c r="A58" s="31" t="s">
        <v>3173</v>
      </c>
      <c r="B58" s="30">
        <v>61160</v>
      </c>
      <c r="C58" s="30">
        <v>3.302</v>
      </c>
      <c r="D58" s="30">
        <v>-1.2999999999999901E-2</v>
      </c>
      <c r="E58" s="41">
        <v>3.2938337686233448</v>
      </c>
      <c r="F58" s="41">
        <v>4.6728971962616821E-2</v>
      </c>
      <c r="G58" s="39">
        <v>8.1662313766552863E-3</v>
      </c>
    </row>
    <row r="59" spans="1:7" x14ac:dyDescent="0.3">
      <c r="A59" s="31" t="s">
        <v>3174</v>
      </c>
      <c r="B59" s="30">
        <v>61180</v>
      </c>
      <c r="C59" s="30">
        <v>3.2250000000000001</v>
      </c>
      <c r="D59" s="30">
        <v>-7.6999999999999957E-2</v>
      </c>
      <c r="E59" s="41">
        <v>3.2471047966607278</v>
      </c>
      <c r="F59" s="41">
        <v>4.6728971962616821E-2</v>
      </c>
      <c r="G59" s="39">
        <v>-2.2104796660727732E-2</v>
      </c>
    </row>
    <row r="60" spans="1:7" x14ac:dyDescent="0.3">
      <c r="A60" s="31" t="s">
        <v>3175</v>
      </c>
      <c r="B60" s="30">
        <v>61200</v>
      </c>
      <c r="C60" s="30">
        <v>3.1019999999999999</v>
      </c>
      <c r="D60" s="30">
        <v>-0.12300000000000022</v>
      </c>
      <c r="E60" s="41">
        <v>3.2003758246981109</v>
      </c>
      <c r="F60" s="41">
        <v>4.6728971962616821E-2</v>
      </c>
      <c r="G60" s="39">
        <v>-9.8375824698111014E-2</v>
      </c>
    </row>
    <row r="61" spans="1:7" x14ac:dyDescent="0.3">
      <c r="A61" s="31" t="s">
        <v>3176</v>
      </c>
      <c r="B61" s="30">
        <v>61220</v>
      </c>
      <c r="C61" s="30">
        <v>3.0329999999999999</v>
      </c>
      <c r="D61" s="30">
        <v>-6.899999999999995E-2</v>
      </c>
      <c r="E61" s="41">
        <v>3.1536468527354939</v>
      </c>
      <c r="F61" s="41">
        <v>4.6728971962616821E-2</v>
      </c>
      <c r="G61" s="39">
        <v>-0.12064685273549403</v>
      </c>
    </row>
    <row r="62" spans="1:7" x14ac:dyDescent="0.3">
      <c r="A62" s="31" t="s">
        <v>3177</v>
      </c>
      <c r="B62" s="30">
        <v>61240</v>
      </c>
      <c r="C62" s="30">
        <v>3.0259999999999998</v>
      </c>
      <c r="D62" s="30">
        <v>-7.0000000000001172E-3</v>
      </c>
      <c r="E62" s="41">
        <v>3.106917880772877</v>
      </c>
      <c r="F62" s="41">
        <v>4.6728971962616821E-2</v>
      </c>
      <c r="G62" s="39">
        <v>-8.0917880772877204E-2</v>
      </c>
    </row>
    <row r="63" spans="1:7" x14ac:dyDescent="0.3">
      <c r="A63" s="31" t="s">
        <v>3269</v>
      </c>
      <c r="B63" s="96" t="s">
        <v>3268</v>
      </c>
      <c r="C63" s="97"/>
      <c r="D63" s="97"/>
      <c r="E63" s="97"/>
      <c r="F63" s="97"/>
      <c r="G63" s="98"/>
    </row>
    <row r="64" spans="1:7" x14ac:dyDescent="0.3">
      <c r="A64" s="31" t="s">
        <v>3178</v>
      </c>
      <c r="B64" s="30">
        <v>61260</v>
      </c>
      <c r="C64" s="30">
        <v>3.0129999999999999</v>
      </c>
      <c r="D64" s="30">
        <v>-1.2999999999999901E-2</v>
      </c>
      <c r="E64" s="41">
        <v>3.0601889088102601</v>
      </c>
      <c r="F64" s="41">
        <v>4.6728971962616821E-2</v>
      </c>
      <c r="G64" s="39">
        <v>-4.7188908810260166E-2</v>
      </c>
    </row>
    <row r="65" spans="1:18" x14ac:dyDescent="0.3">
      <c r="A65" s="31" t="s">
        <v>3179</v>
      </c>
      <c r="B65" s="30">
        <v>61280</v>
      </c>
      <c r="C65" s="30">
        <v>2.9649999999999999</v>
      </c>
      <c r="D65" s="30">
        <v>-4.8000000000000043E-2</v>
      </c>
      <c r="E65" s="41">
        <v>3.0134599368476431</v>
      </c>
      <c r="F65" s="41">
        <v>4.6728971962616821E-2</v>
      </c>
      <c r="G65" s="39">
        <v>-4.845993684764327E-2</v>
      </c>
    </row>
    <row r="66" spans="1:18" x14ac:dyDescent="0.3">
      <c r="A66" s="31" t="s">
        <v>3180</v>
      </c>
      <c r="B66" s="30">
        <v>61300</v>
      </c>
      <c r="C66" s="30">
        <v>2.9660000000000002</v>
      </c>
      <c r="D66" s="30">
        <v>1.000000000000334E-3</v>
      </c>
      <c r="E66" s="41">
        <v>2.9667309648850262</v>
      </c>
      <c r="F66" s="41">
        <v>4.6728971962616821E-2</v>
      </c>
      <c r="G66" s="39">
        <v>-7.3096488502599755E-4</v>
      </c>
    </row>
    <row r="67" spans="1:18" x14ac:dyDescent="0.3">
      <c r="A67" s="31" t="s">
        <v>3181</v>
      </c>
      <c r="B67" s="30">
        <v>61320</v>
      </c>
      <c r="C67" s="30">
        <v>2.972</v>
      </c>
      <c r="D67" s="30">
        <v>5.9999999999997833E-3</v>
      </c>
      <c r="E67" s="41">
        <v>2.9200019929224093</v>
      </c>
      <c r="F67" s="41">
        <v>4.6728971962616821E-2</v>
      </c>
      <c r="G67" s="39">
        <v>5.1998007077590724E-2</v>
      </c>
    </row>
    <row r="68" spans="1:18" x14ac:dyDescent="0.3">
      <c r="A68" s="31" t="s">
        <v>3182</v>
      </c>
      <c r="B68" s="30">
        <v>61340</v>
      </c>
      <c r="C68" s="30">
        <v>2.88</v>
      </c>
      <c r="D68" s="30">
        <v>-9.2000000000000082E-2</v>
      </c>
      <c r="E68" s="41">
        <v>2.8732730209597923</v>
      </c>
      <c r="F68" s="41">
        <v>4.6728971962616821E-2</v>
      </c>
      <c r="G68" s="39">
        <v>6.7269790402075813E-3</v>
      </c>
    </row>
    <row r="69" spans="1:18" x14ac:dyDescent="0.3">
      <c r="A69" s="31" t="s">
        <v>3183</v>
      </c>
      <c r="B69" s="30">
        <v>61360</v>
      </c>
      <c r="C69" s="30">
        <v>2.8279999999999998</v>
      </c>
      <c r="D69" s="30">
        <v>-5.2000000000000046E-2</v>
      </c>
      <c r="E69" s="41">
        <v>2.8265440489971754</v>
      </c>
      <c r="F69" s="41">
        <v>4.6728971962616821E-2</v>
      </c>
      <c r="G69" s="39">
        <v>1.4559510028244738E-3</v>
      </c>
      <c r="P69">
        <v>8.8233904311872426E-3</v>
      </c>
    </row>
    <row r="70" spans="1:18" x14ac:dyDescent="0.3">
      <c r="A70" s="93"/>
      <c r="B70" s="91"/>
      <c r="C70" s="91"/>
      <c r="D70" s="91"/>
      <c r="E70" s="91"/>
      <c r="F70" s="91"/>
      <c r="G70" s="92"/>
      <c r="H70" t="s">
        <v>3280</v>
      </c>
      <c r="O70">
        <v>5.9066745422327229E-4</v>
      </c>
      <c r="P70">
        <v>1.1813349084465446E-2</v>
      </c>
      <c r="Q70" s="30" t="s">
        <v>3200</v>
      </c>
      <c r="R70" s="30">
        <v>1693</v>
      </c>
    </row>
    <row r="71" spans="1:18" x14ac:dyDescent="0.3">
      <c r="A71" s="31" t="s">
        <v>3184</v>
      </c>
      <c r="B71" s="30">
        <v>61380</v>
      </c>
      <c r="C71" s="30">
        <v>2.8260000000000001</v>
      </c>
      <c r="D71" s="30">
        <v>-1.9999999999997797E-3</v>
      </c>
      <c r="E71" s="41">
        <v>2.81473069991271</v>
      </c>
      <c r="F71" s="41">
        <v>1.1813349084465446E-2</v>
      </c>
      <c r="G71" s="39">
        <v>1.1269300087290102E-2</v>
      </c>
      <c r="H71">
        <v>61360</v>
      </c>
      <c r="I71">
        <v>61514.938000000002</v>
      </c>
      <c r="J71">
        <v>154.93800000000192</v>
      </c>
      <c r="K71">
        <v>2.8265440489971754</v>
      </c>
      <c r="L71">
        <v>2.7349999999999999</v>
      </c>
      <c r="M71">
        <v>-9.1544048997175498E-2</v>
      </c>
      <c r="N71">
        <v>-1692.4966909075911</v>
      </c>
      <c r="O71">
        <v>1693</v>
      </c>
    </row>
    <row r="72" spans="1:18" x14ac:dyDescent="0.3">
      <c r="A72" s="31" t="s">
        <v>3185</v>
      </c>
      <c r="B72" s="30">
        <v>61400</v>
      </c>
      <c r="C72" s="30">
        <v>2.8559999999999999</v>
      </c>
      <c r="D72" s="30">
        <v>2.9999999999999805E-2</v>
      </c>
      <c r="E72" s="41">
        <v>2.8029173508282446</v>
      </c>
      <c r="F72" s="41">
        <v>1.1813349084465446E-2</v>
      </c>
      <c r="G72" s="39">
        <v>5.3082649171755314E-2</v>
      </c>
    </row>
    <row r="73" spans="1:18" x14ac:dyDescent="0.3">
      <c r="A73" s="31" t="s">
        <v>3266</v>
      </c>
      <c r="B73" s="96" t="s">
        <v>3267</v>
      </c>
      <c r="C73" s="97"/>
      <c r="D73" s="97"/>
      <c r="E73" s="97"/>
      <c r="F73" s="97"/>
      <c r="G73" s="98"/>
    </row>
    <row r="74" spans="1:18" x14ac:dyDescent="0.3">
      <c r="A74" s="31" t="s">
        <v>3186</v>
      </c>
      <c r="B74" s="30">
        <v>61420</v>
      </c>
      <c r="C74" s="30">
        <v>2.883</v>
      </c>
      <c r="D74" s="30">
        <v>2.7000000000000135E-2</v>
      </c>
      <c r="E74" s="41">
        <v>2.7911040017437792</v>
      </c>
      <c r="F74" s="41">
        <v>1.1813349084465446E-2</v>
      </c>
      <c r="G74" s="39">
        <v>9.1895998256220857E-2</v>
      </c>
    </row>
    <row r="75" spans="1:18" x14ac:dyDescent="0.3">
      <c r="A75" s="31" t="s">
        <v>3187</v>
      </c>
      <c r="B75" s="30">
        <v>61440</v>
      </c>
      <c r="C75" s="30">
        <v>2.927</v>
      </c>
      <c r="D75" s="30">
        <v>4.4000000000000039E-2</v>
      </c>
      <c r="E75" s="41">
        <v>2.7792906526593137</v>
      </c>
      <c r="F75" s="41">
        <v>1.1813349084465446E-2</v>
      </c>
      <c r="G75" s="39">
        <v>0.1477093473406863</v>
      </c>
    </row>
    <row r="76" spans="1:18" x14ac:dyDescent="0.3">
      <c r="A76" s="31" t="s">
        <v>3188</v>
      </c>
      <c r="B76" s="30">
        <v>61460</v>
      </c>
      <c r="C76" s="30">
        <v>2.9449999999999998</v>
      </c>
      <c r="D76" s="30">
        <v>1.7999999999999794E-2</v>
      </c>
      <c r="E76" s="41">
        <v>2.7674773035748483</v>
      </c>
      <c r="F76" s="41">
        <v>1.1813349084465446E-2</v>
      </c>
      <c r="G76" s="39">
        <v>0.1775226964251515</v>
      </c>
    </row>
    <row r="77" spans="1:18" x14ac:dyDescent="0.3">
      <c r="A77" s="31" t="s">
        <v>3189</v>
      </c>
      <c r="B77" s="30">
        <v>61480</v>
      </c>
      <c r="C77" s="30">
        <v>2.8849999999999998</v>
      </c>
      <c r="D77" s="30">
        <v>-6.0000000000000053E-2</v>
      </c>
      <c r="E77" s="41">
        <v>2.7556639544903829</v>
      </c>
      <c r="F77" s="41">
        <v>1.1813349084465446E-2</v>
      </c>
      <c r="G77" s="39">
        <v>0.12933604550961686</v>
      </c>
    </row>
    <row r="78" spans="1:18" x14ac:dyDescent="0.3">
      <c r="A78" s="31" t="s">
        <v>3264</v>
      </c>
      <c r="B78" s="96" t="s">
        <v>3265</v>
      </c>
      <c r="C78" s="97"/>
      <c r="D78" s="97"/>
      <c r="E78" s="97"/>
      <c r="F78" s="97"/>
      <c r="G78" s="98"/>
    </row>
    <row r="79" spans="1:18" x14ac:dyDescent="0.3">
      <c r="A79" s="31" t="s">
        <v>3190</v>
      </c>
      <c r="B79" s="30">
        <v>61500</v>
      </c>
      <c r="C79" s="30">
        <v>2.7789999999999999</v>
      </c>
      <c r="D79" s="30">
        <v>-0.10599999999999987</v>
      </c>
      <c r="E79" s="41">
        <v>2.7438506054059175</v>
      </c>
      <c r="F79" s="41">
        <v>8.8233904311872426E-3</v>
      </c>
      <c r="G79" s="39">
        <v>3.5149394594082395E-2</v>
      </c>
    </row>
    <row r="80" spans="1:18" ht="15" thickBot="1" x14ac:dyDescent="0.35">
      <c r="A80" s="33" t="s">
        <v>3191</v>
      </c>
      <c r="B80" s="34">
        <v>61514.938000000002</v>
      </c>
      <c r="C80" s="34">
        <v>2.7349999999999999</v>
      </c>
      <c r="D80" s="34">
        <v>-4.4000000000000039E-2</v>
      </c>
      <c r="E80" s="42">
        <v>2.7350272149747301</v>
      </c>
      <c r="F80" s="42">
        <v>8.8233904311872426E-3</v>
      </c>
      <c r="G80" s="40">
        <v>-2.7214974730238595E-5</v>
      </c>
    </row>
  </sheetData>
  <mergeCells count="14">
    <mergeCell ref="A37:G37"/>
    <mergeCell ref="E1:G1"/>
    <mergeCell ref="Q1:R1"/>
    <mergeCell ref="B19:G19"/>
    <mergeCell ref="B22:G22"/>
    <mergeCell ref="B28:G28"/>
    <mergeCell ref="B78:G78"/>
    <mergeCell ref="A40:G40"/>
    <mergeCell ref="B45:G45"/>
    <mergeCell ref="B50:G50"/>
    <mergeCell ref="B55:G55"/>
    <mergeCell ref="B63:G63"/>
    <mergeCell ref="B73:G73"/>
    <mergeCell ref="A70:G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MID SECTION</vt:lpstr>
      <vt:lpstr>Sheet1</vt:lpstr>
      <vt:lpstr>Sheet2</vt:lpstr>
      <vt:lpstr>Sheet3</vt:lpstr>
      <vt:lpstr>SEYDUNGANALLUR (SDNR)</vt:lpstr>
      <vt:lpstr>SRIVAIKUNDAM (SVV)</vt:lpstr>
      <vt:lpstr>NAZARETH (NZT)</vt:lpstr>
      <vt:lpstr>ARUMUGANERI (ANY)</vt:lpstr>
      <vt:lpstr>TIRUCHENDUR TERMINUS (TCN)</vt:lpstr>
      <vt:lpstr>'SEYDUNGANALLUR (SDNR)'!Print_Area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Ananthan M</cp:lastModifiedBy>
  <dcterms:created xsi:type="dcterms:W3CDTF">2015-06-05T18:17:20Z</dcterms:created>
  <dcterms:modified xsi:type="dcterms:W3CDTF">2026-07-16T14:07:07Z</dcterms:modified>
</cp:coreProperties>
</file>