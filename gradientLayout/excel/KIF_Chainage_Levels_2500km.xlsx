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dharshan\Downloads\"/>
    </mc:Choice>
  </mc:AlternateContent>
  <xr:revisionPtr revIDLastSave="0" documentId="8_{D46AE78D-7CE3-44A6-9F5F-FA786D358461}" xr6:coauthVersionLast="47" xr6:coauthVersionMax="47" xr10:uidLastSave="{00000000-0000-0000-0000-000000000000}"/>
  <bookViews>
    <workbookView xWindow="-108" yWindow="-108" windowWidth="23256" windowHeight="12456" xr2:uid="{7E5A9EF9-1026-4907-AFD7-21591788AB4E}"/>
  </bookViews>
  <sheets>
    <sheet name="KIF_Chainage_Levels_2500km" sheetId="1" r:id="rId1"/>
  </sheets>
  <calcPr calcId="0"/>
</workbook>
</file>

<file path=xl/calcChain.xml><?xml version="1.0" encoding="utf-8"?>
<calcChain xmlns="http://schemas.openxmlformats.org/spreadsheetml/2006/main">
  <c r="K244" i="1" l="1"/>
  <c r="H244" i="1"/>
  <c r="G244" i="1"/>
  <c r="L244" i="1"/>
  <c r="J244" i="1"/>
  <c r="I244" i="1"/>
  <c r="N243" i="1"/>
  <c r="O243" i="1" s="1"/>
  <c r="E244" i="1" s="1"/>
  <c r="D244" i="1" s="1"/>
  <c r="K203" i="1"/>
  <c r="N202" i="1"/>
  <c r="O202" i="1" s="1"/>
  <c r="E203" i="1" s="1"/>
  <c r="K180" i="1"/>
  <c r="N179" i="1"/>
  <c r="O179" i="1" s="1"/>
  <c r="E180" i="1" s="1"/>
  <c r="K169" i="1"/>
  <c r="N168" i="1"/>
  <c r="O168" i="1" s="1"/>
  <c r="E169" i="1" s="1"/>
  <c r="K155" i="1"/>
  <c r="N154" i="1"/>
  <c r="O154" i="1" s="1"/>
  <c r="E155" i="1" s="1"/>
  <c r="K141" i="1"/>
  <c r="N140" i="1"/>
  <c r="O140" i="1" s="1"/>
  <c r="E141" i="1" s="1"/>
  <c r="K123" i="1"/>
  <c r="N122" i="1"/>
  <c r="O122" i="1" s="1"/>
  <c r="E123" i="1" s="1"/>
  <c r="K110" i="1"/>
  <c r="N109" i="1"/>
  <c r="O109" i="1" s="1"/>
  <c r="E110" i="1" s="1"/>
  <c r="K93" i="1"/>
  <c r="N92" i="1"/>
  <c r="O92" i="1" s="1"/>
  <c r="E93" i="1" s="1"/>
  <c r="K75" i="1"/>
  <c r="N74" i="1"/>
  <c r="O74" i="1" s="1"/>
  <c r="E75" i="1" s="1"/>
  <c r="K64" i="1"/>
  <c r="N63" i="1"/>
  <c r="O63" i="1" s="1"/>
  <c r="E64" i="1" s="1"/>
  <c r="K50" i="1"/>
  <c r="N49" i="1"/>
  <c r="O49" i="1" s="1"/>
  <c r="E50" i="1" s="1"/>
  <c r="K27" i="1"/>
  <c r="N26" i="1"/>
  <c r="O26" i="1" s="1"/>
  <c r="E27" i="1" s="1"/>
  <c r="K3" i="1"/>
  <c r="G3" i="1"/>
  <c r="J3" i="1"/>
  <c r="N2" i="1"/>
  <c r="O2" i="1" s="1"/>
  <c r="E3" i="1" s="1"/>
  <c r="D3" i="1" s="1"/>
  <c r="D4" i="1" s="1"/>
  <c r="M244" i="1" l="1"/>
  <c r="D245" i="1"/>
  <c r="F245" i="1" s="1"/>
  <c r="F244" i="1"/>
  <c r="E245" i="1"/>
  <c r="E204" i="1"/>
  <c r="E181" i="1"/>
  <c r="E170" i="1"/>
  <c r="E171" i="1" s="1"/>
  <c r="E156" i="1"/>
  <c r="E142" i="1"/>
  <c r="E124" i="1"/>
  <c r="E111" i="1"/>
  <c r="E94" i="1"/>
  <c r="E76" i="1"/>
  <c r="L3" i="1"/>
  <c r="E65" i="1"/>
  <c r="E51" i="1"/>
  <c r="E28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9" i="1" l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6" i="1" s="1"/>
  <c r="E67" i="1" s="1"/>
  <c r="E68" i="1" s="1"/>
  <c r="E69" i="1" s="1"/>
  <c r="E70" i="1" s="1"/>
  <c r="E71" i="1" s="1"/>
  <c r="E72" i="1" s="1"/>
  <c r="E73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72" i="1" s="1"/>
  <c r="E173" i="1" s="1"/>
  <c r="E174" i="1" s="1"/>
  <c r="E175" i="1" s="1"/>
  <c r="E176" i="1" s="1"/>
  <c r="E177" i="1" s="1"/>
  <c r="E178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F3" i="1"/>
  <c r="J27" i="1" l="1"/>
  <c r="L27" i="1" s="1"/>
  <c r="D27" i="1"/>
  <c r="F4" i="1"/>
  <c r="D28" i="1" l="1"/>
  <c r="F27" i="1"/>
  <c r="F5" i="1"/>
  <c r="F28" i="1" l="1"/>
  <c r="D29" i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F6" i="1"/>
  <c r="J50" i="1" l="1"/>
  <c r="L50" i="1" s="1"/>
  <c r="D50" i="1"/>
  <c r="F7" i="1"/>
  <c r="D51" i="1" l="1"/>
  <c r="F50" i="1"/>
  <c r="F8" i="1"/>
  <c r="F51" i="1" l="1"/>
  <c r="D52" i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F9" i="1"/>
  <c r="J64" i="1" l="1"/>
  <c r="L64" i="1" s="1"/>
  <c r="D64" i="1"/>
  <c r="F10" i="1"/>
  <c r="D65" i="1" l="1"/>
  <c r="F64" i="1"/>
  <c r="F11" i="1"/>
  <c r="F65" i="1" l="1"/>
  <c r="D66" i="1"/>
  <c r="D67" i="1" s="1"/>
  <c r="D68" i="1" s="1"/>
  <c r="D69" i="1" s="1"/>
  <c r="D70" i="1" s="1"/>
  <c r="D71" i="1" s="1"/>
  <c r="D72" i="1" s="1"/>
  <c r="D73" i="1" s="1"/>
  <c r="F12" i="1"/>
  <c r="J75" i="1" l="1"/>
  <c r="L75" i="1" s="1"/>
  <c r="D75" i="1"/>
  <c r="F13" i="1"/>
  <c r="D76" i="1" l="1"/>
  <c r="F75" i="1"/>
  <c r="F14" i="1"/>
  <c r="F76" i="1" l="1"/>
  <c r="D77" i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F15" i="1"/>
  <c r="J93" i="1" l="1"/>
  <c r="L93" i="1" s="1"/>
  <c r="D93" i="1"/>
  <c r="F16" i="1"/>
  <c r="F93" i="1" l="1"/>
  <c r="D94" i="1"/>
  <c r="F17" i="1"/>
  <c r="F94" i="1" l="1"/>
  <c r="D95" i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F18" i="1"/>
  <c r="J110" i="1" l="1"/>
  <c r="L110" i="1" s="1"/>
  <c r="D110" i="1"/>
  <c r="F19" i="1"/>
  <c r="F110" i="1" l="1"/>
  <c r="D111" i="1"/>
  <c r="F20" i="1"/>
  <c r="F111" i="1" l="1"/>
  <c r="D112" i="1"/>
  <c r="D113" i="1" s="1"/>
  <c r="D114" i="1" s="1"/>
  <c r="D115" i="1" s="1"/>
  <c r="D116" i="1" s="1"/>
  <c r="D117" i="1" s="1"/>
  <c r="D118" i="1" s="1"/>
  <c r="D119" i="1" s="1"/>
  <c r="D120" i="1" s="1"/>
  <c r="D121" i="1" s="1"/>
  <c r="F21" i="1"/>
  <c r="J123" i="1" l="1"/>
  <c r="L123" i="1" s="1"/>
  <c r="D123" i="1"/>
  <c r="F22" i="1"/>
  <c r="D124" i="1" l="1"/>
  <c r="F123" i="1"/>
  <c r="F23" i="1"/>
  <c r="F124" i="1" l="1"/>
  <c r="D125" i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F24" i="1"/>
  <c r="J141" i="1" l="1"/>
  <c r="L141" i="1" s="1"/>
  <c r="D141" i="1"/>
  <c r="F25" i="1"/>
  <c r="D142" i="1" l="1"/>
  <c r="F141" i="1"/>
  <c r="F142" i="1" l="1"/>
  <c r="D143" i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J155" i="1" l="1"/>
  <c r="L155" i="1" s="1"/>
  <c r="D155" i="1"/>
  <c r="F29" i="1"/>
  <c r="D156" i="1" l="1"/>
  <c r="F155" i="1"/>
  <c r="F30" i="1"/>
  <c r="F156" i="1" l="1"/>
  <c r="D157" i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F31" i="1"/>
  <c r="J169" i="1" l="1"/>
  <c r="L169" i="1" s="1"/>
  <c r="D169" i="1"/>
  <c r="F32" i="1"/>
  <c r="D170" i="1" l="1"/>
  <c r="F169" i="1"/>
  <c r="F33" i="1"/>
  <c r="D171" i="1" l="1"/>
  <c r="F170" i="1"/>
  <c r="F34" i="1"/>
  <c r="D172" i="1" l="1"/>
  <c r="D173" i="1" s="1"/>
  <c r="D174" i="1" s="1"/>
  <c r="D175" i="1" s="1"/>
  <c r="D176" i="1" s="1"/>
  <c r="D177" i="1" s="1"/>
  <c r="D178" i="1" s="1"/>
  <c r="F171" i="1"/>
  <c r="F35" i="1"/>
  <c r="J180" i="1" l="1"/>
  <c r="L180" i="1" s="1"/>
  <c r="D180" i="1"/>
  <c r="F36" i="1"/>
  <c r="D181" i="1" l="1"/>
  <c r="F180" i="1"/>
  <c r="F37" i="1"/>
  <c r="F181" i="1" l="1"/>
  <c r="D182" i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F38" i="1"/>
  <c r="J203" i="1" l="1"/>
  <c r="L203" i="1" s="1"/>
  <c r="D203" i="1"/>
  <c r="F39" i="1"/>
  <c r="D204" i="1" l="1"/>
  <c r="F203" i="1"/>
  <c r="F40" i="1"/>
  <c r="F204" i="1" l="1"/>
  <c r="D205" i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F41" i="1"/>
  <c r="F42" i="1" l="1"/>
  <c r="F43" i="1" l="1"/>
  <c r="F44" i="1" l="1"/>
  <c r="F45" i="1" l="1"/>
  <c r="F46" i="1" l="1"/>
  <c r="F47" i="1" l="1"/>
  <c r="F48" i="1" l="1"/>
  <c r="F52" i="1" l="1"/>
  <c r="F53" i="1" l="1"/>
  <c r="F54" i="1" l="1"/>
  <c r="F55" i="1" l="1"/>
  <c r="F56" i="1" l="1"/>
  <c r="F57" i="1" l="1"/>
  <c r="F58" i="1" l="1"/>
  <c r="F59" i="1" l="1"/>
  <c r="F60" i="1" l="1"/>
  <c r="F61" i="1" l="1"/>
  <c r="F62" i="1" l="1"/>
  <c r="F66" i="1" l="1"/>
  <c r="F67" i="1" l="1"/>
  <c r="F68" i="1" l="1"/>
  <c r="F69" i="1" l="1"/>
  <c r="F70" i="1" l="1"/>
  <c r="F71" i="1" l="1"/>
  <c r="F72" i="1" l="1"/>
  <c r="F73" i="1" l="1"/>
  <c r="F77" i="1" l="1"/>
  <c r="F78" i="1" l="1"/>
  <c r="F79" i="1" l="1"/>
  <c r="F80" i="1" l="1"/>
  <c r="F81" i="1" l="1"/>
  <c r="F82" i="1" l="1"/>
  <c r="F83" i="1" l="1"/>
  <c r="F84" i="1" l="1"/>
  <c r="F85" i="1" l="1"/>
  <c r="F86" i="1" l="1"/>
  <c r="F87" i="1" l="1"/>
  <c r="F88" i="1" l="1"/>
  <c r="F89" i="1" l="1"/>
  <c r="F90" i="1" l="1"/>
  <c r="F91" i="1" l="1"/>
  <c r="F95" i="1" l="1"/>
  <c r="F96" i="1" l="1"/>
  <c r="F97" i="1" l="1"/>
  <c r="F98" i="1" l="1"/>
  <c r="F99" i="1" l="1"/>
  <c r="F100" i="1" l="1"/>
  <c r="F101" i="1" l="1"/>
  <c r="F102" i="1" l="1"/>
  <c r="F103" i="1" l="1"/>
  <c r="F104" i="1" l="1"/>
  <c r="F105" i="1" l="1"/>
  <c r="F106" i="1" l="1"/>
  <c r="F107" i="1" l="1"/>
  <c r="F108" i="1" l="1"/>
  <c r="F112" i="1" l="1"/>
  <c r="F113" i="1" l="1"/>
  <c r="F114" i="1" l="1"/>
  <c r="F115" i="1" l="1"/>
  <c r="F116" i="1" l="1"/>
  <c r="F117" i="1" l="1"/>
  <c r="F118" i="1" l="1"/>
  <c r="F119" i="1" l="1"/>
  <c r="F120" i="1" l="1"/>
  <c r="F121" i="1" l="1"/>
  <c r="F125" i="1" l="1"/>
  <c r="F126" i="1" l="1"/>
  <c r="F127" i="1" l="1"/>
  <c r="F128" i="1" l="1"/>
  <c r="F129" i="1" l="1"/>
  <c r="F130" i="1" l="1"/>
  <c r="F131" i="1" l="1"/>
  <c r="F132" i="1" l="1"/>
  <c r="F133" i="1" l="1"/>
  <c r="F134" i="1" l="1"/>
  <c r="F135" i="1" l="1"/>
  <c r="F136" i="1" l="1"/>
  <c r="F137" i="1" l="1"/>
  <c r="F138" i="1" l="1"/>
  <c r="F139" i="1" l="1"/>
  <c r="F143" i="1" l="1"/>
  <c r="F144" i="1" l="1"/>
  <c r="F145" i="1" l="1"/>
  <c r="F146" i="1" l="1"/>
  <c r="F147" i="1" l="1"/>
  <c r="F148" i="1" l="1"/>
  <c r="F149" i="1" l="1"/>
  <c r="F150" i="1" l="1"/>
  <c r="F151" i="1" l="1"/>
  <c r="F152" i="1" l="1"/>
  <c r="F153" i="1" l="1"/>
  <c r="F157" i="1" l="1"/>
  <c r="F158" i="1" l="1"/>
  <c r="F159" i="1" l="1"/>
  <c r="F160" i="1" l="1"/>
  <c r="F161" i="1" l="1"/>
  <c r="F162" i="1" l="1"/>
  <c r="F163" i="1" l="1"/>
  <c r="F164" i="1" l="1"/>
  <c r="F165" i="1" l="1"/>
  <c r="F166" i="1" l="1"/>
  <c r="F167" i="1" l="1"/>
  <c r="F172" i="1" l="1"/>
  <c r="F173" i="1" l="1"/>
  <c r="F174" i="1" l="1"/>
  <c r="F175" i="1" l="1"/>
  <c r="F176" i="1" l="1"/>
  <c r="F177" i="1" l="1"/>
  <c r="F178" i="1" l="1"/>
  <c r="F182" i="1" l="1"/>
  <c r="F183" i="1" l="1"/>
  <c r="F184" i="1" l="1"/>
  <c r="F185" i="1" l="1"/>
  <c r="F186" i="1" l="1"/>
  <c r="F187" i="1" l="1"/>
  <c r="F188" i="1" l="1"/>
  <c r="F189" i="1" l="1"/>
  <c r="F190" i="1" l="1"/>
  <c r="F191" i="1" l="1"/>
  <c r="F192" i="1" l="1"/>
  <c r="F193" i="1" l="1"/>
  <c r="F194" i="1" l="1"/>
  <c r="F195" i="1" l="1"/>
  <c r="F196" i="1" l="1"/>
  <c r="F197" i="1" l="1"/>
  <c r="F198" i="1" l="1"/>
  <c r="F199" i="1" l="1"/>
  <c r="F200" i="1" l="1"/>
  <c r="F201" i="1" l="1"/>
  <c r="F205" i="1" l="1"/>
  <c r="F206" i="1" l="1"/>
  <c r="F207" i="1" l="1"/>
  <c r="F208" i="1" l="1"/>
  <c r="F209" i="1" l="1"/>
  <c r="F210" i="1" l="1"/>
  <c r="F211" i="1" l="1"/>
  <c r="F212" i="1" l="1"/>
  <c r="F213" i="1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G27" i="1" s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4" i="1"/>
  <c r="C65" i="1"/>
  <c r="C66" i="1"/>
  <c r="C67" i="1"/>
  <c r="C68" i="1"/>
  <c r="C69" i="1"/>
  <c r="C70" i="1"/>
  <c r="C71" i="1"/>
  <c r="C72" i="1"/>
  <c r="C73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9" i="1"/>
  <c r="C170" i="1"/>
  <c r="C171" i="1"/>
  <c r="C172" i="1"/>
  <c r="C173" i="1"/>
  <c r="C174" i="1"/>
  <c r="C175" i="1"/>
  <c r="C176" i="1"/>
  <c r="C177" i="1"/>
  <c r="C178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3" i="1"/>
  <c r="A27" i="1" l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G50" i="1" s="1"/>
  <c r="H3" i="1"/>
  <c r="I3" i="1" s="1"/>
  <c r="M3" i="1" s="1"/>
  <c r="F214" i="1"/>
  <c r="A50" i="1" l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G64" i="1" s="1"/>
  <c r="H27" i="1"/>
  <c r="I27" i="1" s="1"/>
  <c r="M27" i="1" s="1"/>
  <c r="F215" i="1"/>
  <c r="A64" i="1" l="1"/>
  <c r="A65" i="1" s="1"/>
  <c r="A66" i="1" s="1"/>
  <c r="A67" i="1" s="1"/>
  <c r="A68" i="1" s="1"/>
  <c r="A69" i="1" s="1"/>
  <c r="A70" i="1" s="1"/>
  <c r="A71" i="1" s="1"/>
  <c r="A72" i="1" s="1"/>
  <c r="A73" i="1" s="1"/>
  <c r="G75" i="1" s="1"/>
  <c r="H50" i="1"/>
  <c r="I50" i="1" s="1"/>
  <c r="M50" i="1" s="1"/>
  <c r="F216" i="1"/>
  <c r="A75" i="1" l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G93" i="1" s="1"/>
  <c r="H64" i="1"/>
  <c r="I64" i="1" s="1"/>
  <c r="M64" i="1" s="1"/>
  <c r="F217" i="1"/>
  <c r="A93" i="1" l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G110" i="1" s="1"/>
  <c r="H75" i="1"/>
  <c r="I75" i="1" s="1"/>
  <c r="M75" i="1" s="1"/>
  <c r="F218" i="1"/>
  <c r="A110" i="1" l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G123" i="1" s="1"/>
  <c r="H93" i="1"/>
  <c r="I93" i="1" s="1"/>
  <c r="M93" i="1" s="1"/>
  <c r="F219" i="1"/>
  <c r="A123" i="1" l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G141" i="1" s="1"/>
  <c r="H110" i="1"/>
  <c r="I110" i="1" s="1"/>
  <c r="M110" i="1" s="1"/>
  <c r="F220" i="1"/>
  <c r="A141" i="1" l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G155" i="1" s="1"/>
  <c r="H123" i="1"/>
  <c r="I123" i="1" s="1"/>
  <c r="M123" i="1" s="1"/>
  <c r="F221" i="1"/>
  <c r="A155" i="1" l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G169" i="1" s="1"/>
  <c r="H141" i="1"/>
  <c r="I141" i="1" s="1"/>
  <c r="M141" i="1" s="1"/>
  <c r="F222" i="1"/>
  <c r="A169" i="1" l="1"/>
  <c r="A170" i="1" s="1"/>
  <c r="A171" i="1" s="1"/>
  <c r="A172" i="1" s="1"/>
  <c r="A173" i="1" s="1"/>
  <c r="A174" i="1" s="1"/>
  <c r="A175" i="1" s="1"/>
  <c r="A176" i="1" s="1"/>
  <c r="A177" i="1" s="1"/>
  <c r="A178" i="1" s="1"/>
  <c r="G180" i="1" s="1"/>
  <c r="H155" i="1"/>
  <c r="I155" i="1" s="1"/>
  <c r="M155" i="1" s="1"/>
  <c r="F223" i="1"/>
  <c r="A180" i="1" l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G203" i="1" s="1"/>
  <c r="H169" i="1"/>
  <c r="I169" i="1" s="1"/>
  <c r="M169" i="1" s="1"/>
  <c r="F224" i="1"/>
  <c r="A203" i="1" l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H180" i="1"/>
  <c r="I180" i="1" s="1"/>
  <c r="M180" i="1" s="1"/>
  <c r="F225" i="1"/>
  <c r="A244" i="1" l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H203" i="1"/>
  <c r="I203" i="1" s="1"/>
  <c r="M203" i="1" s="1"/>
  <c r="F226" i="1"/>
  <c r="F227" i="1" l="1"/>
  <c r="F228" i="1" l="1"/>
  <c r="F229" i="1" l="1"/>
  <c r="F230" i="1" l="1"/>
  <c r="F231" i="1" l="1"/>
  <c r="F232" i="1" l="1"/>
  <c r="F233" i="1" l="1"/>
  <c r="F234" i="1" l="1"/>
  <c r="F235" i="1" l="1"/>
  <c r="F236" i="1" l="1"/>
  <c r="F237" i="1" l="1"/>
  <c r="F238" i="1" l="1"/>
  <c r="F239" i="1" l="1"/>
  <c r="F240" i="1" l="1"/>
  <c r="F241" i="1" l="1"/>
  <c r="F242" i="1" l="1"/>
  <c r="F246" i="1" l="1"/>
  <c r="F247" i="1" l="1"/>
  <c r="F248" i="1" l="1"/>
  <c r="F249" i="1" l="1"/>
  <c r="F250" i="1" l="1"/>
  <c r="F251" i="1" l="1"/>
  <c r="F252" i="1" l="1"/>
  <c r="F253" i="1" l="1"/>
  <c r="F254" i="1" l="1"/>
  <c r="F255" i="1" l="1"/>
  <c r="F256" i="1" l="1"/>
  <c r="F257" i="1" l="1"/>
  <c r="F258" i="1" l="1"/>
  <c r="F259" i="1" l="1"/>
  <c r="F260" i="1" l="1"/>
  <c r="F261" i="1" l="1"/>
  <c r="F262" i="1" l="1"/>
  <c r="F263" i="1" l="1"/>
  <c r="F264" i="1" l="1"/>
  <c r="F265" i="1" l="1"/>
  <c r="F266" i="1"/>
</calcChain>
</file>

<file path=xl/sharedStrings.xml><?xml version="1.0" encoding="utf-8"?>
<sst xmlns="http://schemas.openxmlformats.org/spreadsheetml/2006/main" count="32" uniqueCount="20">
  <si>
    <t>CH</t>
  </si>
  <si>
    <t>RL</t>
  </si>
  <si>
    <t>DIFF</t>
  </si>
  <si>
    <t>CAL</t>
  </si>
  <si>
    <t>FALL</t>
  </si>
  <si>
    <t>R 340</t>
  </si>
  <si>
    <t>RISE</t>
  </si>
  <si>
    <t>R 277</t>
  </si>
  <si>
    <t>R 102</t>
  </si>
  <si>
    <t>R 194</t>
  </si>
  <si>
    <t>R 115</t>
  </si>
  <si>
    <t>R 313</t>
  </si>
  <si>
    <t>R 163</t>
  </si>
  <si>
    <t>R 3564</t>
  </si>
  <si>
    <t>R 128</t>
  </si>
  <si>
    <t>R 135</t>
  </si>
  <si>
    <t>F 141</t>
  </si>
  <si>
    <t>F 101</t>
  </si>
  <si>
    <t>F 173</t>
  </si>
  <si>
    <t>F 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</si>
</sst>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14" fillId="0" borderId="0" xfId="0" applyFont="1"/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7C9FB-0F99-4EB5-9DEB-37A35B6C70A8}">
  <dimension ref="A1:Q266"/>
  <sheetViews>
    <sheetView tabSelected="1" topLeftCell="A237" workbookViewId="0">
      <selection activeCell="K252" sqref="K252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</row>
    <row r="2" spans="1:17" x14ac:dyDescent="0.3">
      <c r="A2" s="1">
        <v>727000</v>
      </c>
      <c r="B2" s="1">
        <v>21.39</v>
      </c>
      <c r="C2" s="1">
        <v>0</v>
      </c>
      <c r="D2" s="1"/>
      <c r="E2" s="1"/>
      <c r="F2" s="1"/>
      <c r="G2" s="3" t="s">
        <v>5</v>
      </c>
      <c r="I2" s="3"/>
      <c r="N2">
        <f>1/N3</f>
        <v>2.9411764705882353E-3</v>
      </c>
      <c r="O2">
        <f>N2*20</f>
        <v>5.8823529411764705E-2</v>
      </c>
      <c r="P2" t="s">
        <v>6</v>
      </c>
      <c r="Q2">
        <v>340</v>
      </c>
    </row>
    <row r="3" spans="1:17" x14ac:dyDescent="0.3">
      <c r="A3" s="1">
        <f>A2+20</f>
        <v>727020</v>
      </c>
      <c r="B3" s="1">
        <v>21.477</v>
      </c>
      <c r="C3" s="1">
        <f>B3-B2</f>
        <v>8.6999999999999744E-2</v>
      </c>
      <c r="D3" s="4">
        <f>B2+E3</f>
        <v>21.448823529411765</v>
      </c>
      <c r="E3" s="1">
        <f>O2</f>
        <v>5.8823529411764705E-2</v>
      </c>
      <c r="F3" s="4">
        <f t="shared" ref="F3:F5" si="0">B3-D3</f>
        <v>2.8176470588235247E-2</v>
      </c>
      <c r="G3">
        <f>A2</f>
        <v>727000</v>
      </c>
      <c r="H3">
        <f>A25</f>
        <v>727460</v>
      </c>
      <c r="I3">
        <f>H3-G3</f>
        <v>460</v>
      </c>
      <c r="J3" s="5">
        <f>B2</f>
        <v>21.39</v>
      </c>
      <c r="K3">
        <f>B25</f>
        <v>22.744</v>
      </c>
      <c r="L3" s="5">
        <f>K3-J3</f>
        <v>1.3539999999999992</v>
      </c>
      <c r="M3">
        <f>I3/L3</f>
        <v>339.7341211225999</v>
      </c>
      <c r="N3">
        <v>340</v>
      </c>
    </row>
    <row r="4" spans="1:17" x14ac:dyDescent="0.3">
      <c r="A4" s="1">
        <f t="shared" ref="A4:A70" si="1">A3+20</f>
        <v>727040</v>
      </c>
      <c r="B4" s="1">
        <v>21.577999999999999</v>
      </c>
      <c r="C4" s="1">
        <f t="shared" ref="C4:C70" si="2">B4-B3</f>
        <v>0.10099999999999909</v>
      </c>
      <c r="D4" s="4">
        <f>D3+E3</f>
        <v>21.50764705882353</v>
      </c>
      <c r="E4" s="1">
        <f t="shared" ref="E4:E70" si="3">E3</f>
        <v>5.8823529411764705E-2</v>
      </c>
      <c r="F4" s="4">
        <f t="shared" si="0"/>
        <v>7.0352941176469841E-2</v>
      </c>
    </row>
    <row r="5" spans="1:17" x14ac:dyDescent="0.3">
      <c r="A5" s="1">
        <f t="shared" si="1"/>
        <v>727060</v>
      </c>
      <c r="B5" s="1">
        <v>21.690999999999999</v>
      </c>
      <c r="C5" s="1">
        <f t="shared" si="2"/>
        <v>0.11299999999999955</v>
      </c>
      <c r="D5" s="4">
        <f t="shared" ref="D5:D71" si="4">D4+E4</f>
        <v>21.566470588235294</v>
      </c>
      <c r="E5" s="1">
        <f t="shared" si="3"/>
        <v>5.8823529411764705E-2</v>
      </c>
      <c r="F5" s="4">
        <f t="shared" si="0"/>
        <v>0.12452941176470489</v>
      </c>
    </row>
    <row r="6" spans="1:17" x14ac:dyDescent="0.3">
      <c r="A6" s="1">
        <f t="shared" si="1"/>
        <v>727080</v>
      </c>
      <c r="B6" s="1">
        <v>21.748999999999999</v>
      </c>
      <c r="C6" s="1">
        <f t="shared" si="2"/>
        <v>5.7999999999999829E-2</v>
      </c>
      <c r="D6" s="4">
        <f t="shared" si="4"/>
        <v>21.625294117647059</v>
      </c>
      <c r="E6" s="1">
        <f t="shared" si="3"/>
        <v>5.8823529411764705E-2</v>
      </c>
      <c r="F6" s="4">
        <f t="shared" ref="F6:F72" si="5">B6-D6</f>
        <v>0.12370588235294022</v>
      </c>
    </row>
    <row r="7" spans="1:17" x14ac:dyDescent="0.3">
      <c r="A7" s="1">
        <f t="shared" si="1"/>
        <v>727100</v>
      </c>
      <c r="B7" s="1">
        <v>21.774999999999999</v>
      </c>
      <c r="C7" s="1">
        <f t="shared" si="2"/>
        <v>2.5999999999999801E-2</v>
      </c>
      <c r="D7" s="4">
        <f t="shared" si="4"/>
        <v>21.684117647058823</v>
      </c>
      <c r="E7" s="1">
        <f t="shared" si="3"/>
        <v>5.8823529411764705E-2</v>
      </c>
      <c r="F7" s="4">
        <f t="shared" si="5"/>
        <v>9.0882352941175526E-2</v>
      </c>
    </row>
    <row r="8" spans="1:17" x14ac:dyDescent="0.3">
      <c r="A8" s="1">
        <f t="shared" si="1"/>
        <v>727120</v>
      </c>
      <c r="B8" s="1">
        <v>21.783000000000001</v>
      </c>
      <c r="C8" s="1">
        <f t="shared" si="2"/>
        <v>8.0000000000026716E-3</v>
      </c>
      <c r="D8" s="4">
        <f t="shared" si="4"/>
        <v>21.742941176470588</v>
      </c>
      <c r="E8" s="1">
        <f t="shared" si="3"/>
        <v>5.8823529411764705E-2</v>
      </c>
      <c r="F8" s="4">
        <f t="shared" si="5"/>
        <v>4.0058823529413701E-2</v>
      </c>
    </row>
    <row r="9" spans="1:17" x14ac:dyDescent="0.3">
      <c r="A9" s="1">
        <f t="shared" si="1"/>
        <v>727140</v>
      </c>
      <c r="B9" s="1">
        <v>21.798999999999999</v>
      </c>
      <c r="C9" s="1">
        <f t="shared" si="2"/>
        <v>1.5999999999998238E-2</v>
      </c>
      <c r="D9" s="4">
        <f t="shared" si="4"/>
        <v>21.801764705882352</v>
      </c>
      <c r="E9" s="1">
        <f t="shared" si="3"/>
        <v>5.8823529411764705E-2</v>
      </c>
      <c r="F9" s="4">
        <f t="shared" si="5"/>
        <v>-2.7647058823525583E-3</v>
      </c>
    </row>
    <row r="10" spans="1:17" x14ac:dyDescent="0.3">
      <c r="A10" s="1">
        <f t="shared" si="1"/>
        <v>727160</v>
      </c>
      <c r="B10" s="1">
        <v>21.788</v>
      </c>
      <c r="C10" s="1">
        <f t="shared" si="2"/>
        <v>-1.0999999999999233E-2</v>
      </c>
      <c r="D10" s="4">
        <f t="shared" si="4"/>
        <v>21.860588235294117</v>
      </c>
      <c r="E10" s="1">
        <f t="shared" si="3"/>
        <v>5.8823529411764705E-2</v>
      </c>
      <c r="F10" s="4">
        <f t="shared" si="5"/>
        <v>-7.2588235294116288E-2</v>
      </c>
    </row>
    <row r="11" spans="1:17" x14ac:dyDescent="0.3">
      <c r="A11" s="1">
        <f t="shared" si="1"/>
        <v>727180</v>
      </c>
      <c r="B11" s="1">
        <v>21.774000000000001</v>
      </c>
      <c r="C11" s="1">
        <f t="shared" si="2"/>
        <v>-1.3999999999999346E-2</v>
      </c>
      <c r="D11" s="4">
        <f t="shared" si="4"/>
        <v>21.919411764705881</v>
      </c>
      <c r="E11" s="1">
        <f t="shared" si="3"/>
        <v>5.8823529411764705E-2</v>
      </c>
      <c r="F11" s="4">
        <f t="shared" si="5"/>
        <v>-0.14541176470588013</v>
      </c>
    </row>
    <row r="12" spans="1:17" x14ac:dyDescent="0.3">
      <c r="A12" s="1">
        <f t="shared" si="1"/>
        <v>727200</v>
      </c>
      <c r="B12" s="1">
        <v>21.785</v>
      </c>
      <c r="C12" s="1">
        <f t="shared" si="2"/>
        <v>1.0999999999999233E-2</v>
      </c>
      <c r="D12" s="4">
        <f t="shared" si="4"/>
        <v>21.978235294117646</v>
      </c>
      <c r="E12" s="1">
        <f t="shared" si="3"/>
        <v>5.8823529411764705E-2</v>
      </c>
      <c r="F12" s="4">
        <f t="shared" si="5"/>
        <v>-0.1932352941176454</v>
      </c>
    </row>
    <row r="13" spans="1:17" x14ac:dyDescent="0.3">
      <c r="A13" s="1">
        <f t="shared" si="1"/>
        <v>727220</v>
      </c>
      <c r="B13" s="1">
        <v>21.795999999999999</v>
      </c>
      <c r="C13" s="1">
        <f t="shared" si="2"/>
        <v>1.0999999999999233E-2</v>
      </c>
      <c r="D13" s="4">
        <f t="shared" si="4"/>
        <v>22.03705882352941</v>
      </c>
      <c r="E13" s="1">
        <f t="shared" si="3"/>
        <v>5.8823529411764705E-2</v>
      </c>
      <c r="F13" s="4">
        <f t="shared" si="5"/>
        <v>-0.24105882352941066</v>
      </c>
    </row>
    <row r="14" spans="1:17" x14ac:dyDescent="0.3">
      <c r="A14" s="1">
        <f t="shared" si="1"/>
        <v>727240</v>
      </c>
      <c r="B14" s="1">
        <v>21.83</v>
      </c>
      <c r="C14" s="1">
        <f t="shared" si="2"/>
        <v>3.399999999999892E-2</v>
      </c>
      <c r="D14" s="4">
        <f t="shared" si="4"/>
        <v>22.095882352941175</v>
      </c>
      <c r="E14" s="1">
        <f t="shared" si="3"/>
        <v>5.8823529411764705E-2</v>
      </c>
      <c r="F14" s="4">
        <f t="shared" si="5"/>
        <v>-0.26588235294117624</v>
      </c>
    </row>
    <row r="15" spans="1:17" x14ac:dyDescent="0.3">
      <c r="A15" s="1">
        <f t="shared" si="1"/>
        <v>727260</v>
      </c>
      <c r="B15" s="1">
        <v>21.876999999999999</v>
      </c>
      <c r="C15" s="1">
        <f t="shared" si="2"/>
        <v>4.7000000000000597E-2</v>
      </c>
      <c r="D15" s="4">
        <f t="shared" si="4"/>
        <v>22.154705882352939</v>
      </c>
      <c r="E15" s="1">
        <f t="shared" si="3"/>
        <v>5.8823529411764705E-2</v>
      </c>
      <c r="F15" s="4">
        <f t="shared" si="5"/>
        <v>-0.27770588235294014</v>
      </c>
    </row>
    <row r="16" spans="1:17" x14ac:dyDescent="0.3">
      <c r="A16" s="1">
        <f t="shared" si="1"/>
        <v>727280</v>
      </c>
      <c r="B16" s="1">
        <v>21.940999999999999</v>
      </c>
      <c r="C16" s="1">
        <f t="shared" si="2"/>
        <v>6.4000000000000057E-2</v>
      </c>
      <c r="D16" s="4">
        <f t="shared" si="4"/>
        <v>22.213529411764704</v>
      </c>
      <c r="E16" s="1">
        <f t="shared" si="3"/>
        <v>5.8823529411764705E-2</v>
      </c>
      <c r="F16" s="4">
        <f t="shared" si="5"/>
        <v>-0.27252941176470458</v>
      </c>
    </row>
    <row r="17" spans="1:17" x14ac:dyDescent="0.3">
      <c r="A17" s="1">
        <f t="shared" si="1"/>
        <v>727300</v>
      </c>
      <c r="B17" s="1">
        <v>22.004000000000001</v>
      </c>
      <c r="C17" s="1">
        <f t="shared" si="2"/>
        <v>6.3000000000002387E-2</v>
      </c>
      <c r="D17" s="4">
        <f t="shared" si="4"/>
        <v>22.272352941176468</v>
      </c>
      <c r="E17" s="1">
        <f t="shared" si="3"/>
        <v>5.8823529411764705E-2</v>
      </c>
      <c r="F17" s="4">
        <f t="shared" si="5"/>
        <v>-0.26835294117646669</v>
      </c>
    </row>
    <row r="18" spans="1:17" x14ac:dyDescent="0.3">
      <c r="A18" s="1">
        <f t="shared" si="1"/>
        <v>727320</v>
      </c>
      <c r="B18" s="1">
        <v>22.071999999999999</v>
      </c>
      <c r="C18" s="1">
        <f t="shared" si="2"/>
        <v>6.799999999999784E-2</v>
      </c>
      <c r="D18" s="4">
        <f t="shared" si="4"/>
        <v>22.331176470588233</v>
      </c>
      <c r="E18" s="1">
        <f t="shared" si="3"/>
        <v>5.8823529411764705E-2</v>
      </c>
      <c r="F18" s="4">
        <f t="shared" si="5"/>
        <v>-0.25917647058823334</v>
      </c>
    </row>
    <row r="19" spans="1:17" x14ac:dyDescent="0.3">
      <c r="A19" s="1">
        <f t="shared" si="1"/>
        <v>727340</v>
      </c>
      <c r="B19" s="1">
        <v>22.143000000000001</v>
      </c>
      <c r="C19" s="1">
        <f t="shared" si="2"/>
        <v>7.1000000000001506E-2</v>
      </c>
      <c r="D19" s="4">
        <f t="shared" si="4"/>
        <v>22.389999999999997</v>
      </c>
      <c r="E19" s="1">
        <f t="shared" si="3"/>
        <v>5.8823529411764705E-2</v>
      </c>
      <c r="F19" s="4">
        <f t="shared" si="5"/>
        <v>-0.24699999999999633</v>
      </c>
    </row>
    <row r="20" spans="1:17" x14ac:dyDescent="0.3">
      <c r="A20" s="1">
        <f t="shared" si="1"/>
        <v>727360</v>
      </c>
      <c r="B20" s="1">
        <v>22.222000000000001</v>
      </c>
      <c r="C20" s="1">
        <f t="shared" si="2"/>
        <v>7.9000000000000625E-2</v>
      </c>
      <c r="D20" s="4">
        <f t="shared" si="4"/>
        <v>22.448823529411762</v>
      </c>
      <c r="E20" s="1">
        <f t="shared" si="3"/>
        <v>5.8823529411764705E-2</v>
      </c>
      <c r="F20" s="4">
        <f t="shared" si="5"/>
        <v>-0.22682352941176021</v>
      </c>
    </row>
    <row r="21" spans="1:17" x14ac:dyDescent="0.3">
      <c r="A21" s="1">
        <f t="shared" si="1"/>
        <v>727380</v>
      </c>
      <c r="B21" s="1">
        <v>22.34</v>
      </c>
      <c r="C21" s="1">
        <f t="shared" si="2"/>
        <v>0.11799999999999855</v>
      </c>
      <c r="D21" s="4">
        <f t="shared" si="4"/>
        <v>22.507647058823526</v>
      </c>
      <c r="E21" s="1">
        <f t="shared" si="3"/>
        <v>5.8823529411764705E-2</v>
      </c>
      <c r="F21" s="4">
        <f t="shared" si="5"/>
        <v>-0.16764705882352615</v>
      </c>
    </row>
    <row r="22" spans="1:17" x14ac:dyDescent="0.3">
      <c r="A22" s="1">
        <f t="shared" si="1"/>
        <v>727400</v>
      </c>
      <c r="B22" s="1">
        <v>22.422000000000001</v>
      </c>
      <c r="C22" s="1">
        <f t="shared" si="2"/>
        <v>8.2000000000000739E-2</v>
      </c>
      <c r="D22" s="4">
        <f t="shared" si="4"/>
        <v>22.566470588235291</v>
      </c>
      <c r="E22" s="1">
        <f t="shared" si="3"/>
        <v>5.8823529411764705E-2</v>
      </c>
      <c r="F22" s="4">
        <f t="shared" si="5"/>
        <v>-0.14447058823528991</v>
      </c>
    </row>
    <row r="23" spans="1:17" x14ac:dyDescent="0.3">
      <c r="A23" s="1">
        <f t="shared" si="1"/>
        <v>727420</v>
      </c>
      <c r="B23" s="1">
        <v>22.562000000000001</v>
      </c>
      <c r="C23" s="1">
        <f t="shared" si="2"/>
        <v>0.14000000000000057</v>
      </c>
      <c r="D23" s="4">
        <f t="shared" si="4"/>
        <v>22.625294117647055</v>
      </c>
      <c r="E23" s="1">
        <f t="shared" si="3"/>
        <v>5.8823529411764705E-2</v>
      </c>
      <c r="F23" s="4">
        <f t="shared" si="5"/>
        <v>-6.3294117647053838E-2</v>
      </c>
    </row>
    <row r="24" spans="1:17" x14ac:dyDescent="0.3">
      <c r="A24" s="1">
        <f t="shared" si="1"/>
        <v>727440</v>
      </c>
      <c r="B24" s="1">
        <v>22.663</v>
      </c>
      <c r="C24" s="1">
        <f t="shared" si="2"/>
        <v>0.10099999999999909</v>
      </c>
      <c r="D24" s="4">
        <f t="shared" si="4"/>
        <v>22.68411764705882</v>
      </c>
      <c r="E24" s="1">
        <f t="shared" si="3"/>
        <v>5.8823529411764705E-2</v>
      </c>
      <c r="F24" s="4">
        <f t="shared" si="5"/>
        <v>-2.1117647058819244E-2</v>
      </c>
    </row>
    <row r="25" spans="1:17" x14ac:dyDescent="0.3">
      <c r="A25" s="1">
        <f t="shared" si="1"/>
        <v>727460</v>
      </c>
      <c r="B25" s="1">
        <v>22.744</v>
      </c>
      <c r="C25" s="1">
        <f t="shared" si="2"/>
        <v>8.0999999999999517E-2</v>
      </c>
      <c r="D25" s="4">
        <f t="shared" si="4"/>
        <v>22.742941176470584</v>
      </c>
      <c r="E25" s="1">
        <f t="shared" si="3"/>
        <v>5.8823529411764705E-2</v>
      </c>
      <c r="F25" s="4">
        <f t="shared" si="5"/>
        <v>1.0588235294157755E-3</v>
      </c>
    </row>
    <row r="26" spans="1:17" x14ac:dyDescent="0.3">
      <c r="A26" s="1"/>
      <c r="B26" s="1"/>
      <c r="C26" s="1"/>
      <c r="D26" s="1"/>
      <c r="E26" s="1"/>
      <c r="F26" s="1"/>
      <c r="G26" s="3" t="s">
        <v>7</v>
      </c>
      <c r="I26" s="3"/>
      <c r="N26">
        <f>1/N27</f>
        <v>3.6101083032490976E-3</v>
      </c>
      <c r="O26">
        <f>N26*20</f>
        <v>7.2202166064981949E-2</v>
      </c>
      <c r="P26" t="s">
        <v>6</v>
      </c>
      <c r="Q26">
        <v>277</v>
      </c>
    </row>
    <row r="27" spans="1:17" x14ac:dyDescent="0.3">
      <c r="A27" s="1">
        <f>A25+20</f>
        <v>727480</v>
      </c>
      <c r="B27" s="1">
        <v>22.850999999999999</v>
      </c>
      <c r="C27" s="1">
        <f>B27-B25</f>
        <v>0.10699999999999932</v>
      </c>
      <c r="D27" s="4">
        <f>D25+E27</f>
        <v>22.815143342535567</v>
      </c>
      <c r="E27" s="1">
        <f>O26</f>
        <v>7.2202166064981949E-2</v>
      </c>
      <c r="F27" s="4">
        <f t="shared" ref="F27:F28" si="6">B27-D27</f>
        <v>3.5856657464432118E-2</v>
      </c>
      <c r="G27">
        <f>A25</f>
        <v>727460</v>
      </c>
      <c r="H27">
        <f>A48</f>
        <v>727900</v>
      </c>
      <c r="I27">
        <f>H27-G27</f>
        <v>440</v>
      </c>
      <c r="J27" s="5">
        <f>D25</f>
        <v>22.742941176470584</v>
      </c>
      <c r="K27">
        <f>B48</f>
        <v>24.329000000000001</v>
      </c>
      <c r="L27" s="5">
        <f>K27-J27</f>
        <v>1.5860588235294166</v>
      </c>
      <c r="M27">
        <f>I27/L27</f>
        <v>277.4172013499973</v>
      </c>
      <c r="N27">
        <v>277</v>
      </c>
    </row>
    <row r="28" spans="1:17" x14ac:dyDescent="0.3">
      <c r="A28" s="1">
        <f t="shared" si="1"/>
        <v>727500</v>
      </c>
      <c r="B28" s="1">
        <v>22.94</v>
      </c>
      <c r="C28" s="1">
        <f t="shared" si="2"/>
        <v>8.9000000000002188E-2</v>
      </c>
      <c r="D28" s="4">
        <f>D27+E27</f>
        <v>22.88734550860055</v>
      </c>
      <c r="E28" s="1">
        <f t="shared" si="3"/>
        <v>7.2202166064981949E-2</v>
      </c>
      <c r="F28" s="4">
        <f t="shared" si="6"/>
        <v>5.2654491399451331E-2</v>
      </c>
    </row>
    <row r="29" spans="1:17" x14ac:dyDescent="0.3">
      <c r="A29" s="1">
        <f t="shared" si="1"/>
        <v>727520</v>
      </c>
      <c r="B29" s="1">
        <v>23</v>
      </c>
      <c r="C29" s="1">
        <f t="shared" si="2"/>
        <v>5.9999999999998721E-2</v>
      </c>
      <c r="D29" s="4">
        <f t="shared" si="4"/>
        <v>22.959547674665533</v>
      </c>
      <c r="E29" s="1">
        <f t="shared" si="3"/>
        <v>7.2202166064981949E-2</v>
      </c>
      <c r="F29" s="4">
        <f t="shared" si="5"/>
        <v>4.0452325334467076E-2</v>
      </c>
    </row>
    <row r="30" spans="1:17" x14ac:dyDescent="0.3">
      <c r="A30" s="1">
        <f t="shared" si="1"/>
        <v>727540</v>
      </c>
      <c r="B30" s="1">
        <v>23.071000000000002</v>
      </c>
      <c r="C30" s="1">
        <f t="shared" si="2"/>
        <v>7.1000000000001506E-2</v>
      </c>
      <c r="D30" s="4">
        <f t="shared" si="4"/>
        <v>23.031749840730516</v>
      </c>
      <c r="E30" s="1">
        <f t="shared" si="3"/>
        <v>7.2202166064981949E-2</v>
      </c>
      <c r="F30" s="4">
        <f t="shared" si="5"/>
        <v>3.9250159269485607E-2</v>
      </c>
    </row>
    <row r="31" spans="1:17" x14ac:dyDescent="0.3">
      <c r="A31" s="1">
        <f t="shared" si="1"/>
        <v>727560</v>
      </c>
      <c r="B31" s="1">
        <v>23.120999999999999</v>
      </c>
      <c r="C31" s="1">
        <f t="shared" si="2"/>
        <v>4.9999999999997158E-2</v>
      </c>
      <c r="D31" s="4">
        <f t="shared" si="4"/>
        <v>23.103952006795499</v>
      </c>
      <c r="E31" s="1">
        <f t="shared" si="3"/>
        <v>7.2202166064981949E-2</v>
      </c>
      <c r="F31" s="4">
        <f t="shared" si="5"/>
        <v>1.7047993204499789E-2</v>
      </c>
    </row>
    <row r="32" spans="1:17" x14ac:dyDescent="0.3">
      <c r="A32" s="1">
        <f t="shared" si="1"/>
        <v>727580</v>
      </c>
      <c r="B32" s="1">
        <v>23.170999999999999</v>
      </c>
      <c r="C32" s="1">
        <f t="shared" si="2"/>
        <v>5.0000000000000711E-2</v>
      </c>
      <c r="D32" s="4">
        <f t="shared" si="4"/>
        <v>23.176154172860482</v>
      </c>
      <c r="E32" s="1">
        <f t="shared" si="3"/>
        <v>7.2202166064981949E-2</v>
      </c>
      <c r="F32" s="4">
        <f t="shared" si="5"/>
        <v>-5.1541728604824755E-3</v>
      </c>
    </row>
    <row r="33" spans="1:6" x14ac:dyDescent="0.3">
      <c r="A33" s="1">
        <f t="shared" si="1"/>
        <v>727600</v>
      </c>
      <c r="B33" s="1">
        <v>23.207999999999998</v>
      </c>
      <c r="C33" s="1">
        <f t="shared" si="2"/>
        <v>3.6999999999999034E-2</v>
      </c>
      <c r="D33" s="4">
        <f t="shared" si="4"/>
        <v>23.248356338925465</v>
      </c>
      <c r="E33" s="1">
        <f t="shared" si="3"/>
        <v>7.2202166064981949E-2</v>
      </c>
      <c r="F33" s="4">
        <f t="shared" si="5"/>
        <v>-4.0356338925466417E-2</v>
      </c>
    </row>
    <row r="34" spans="1:6" x14ac:dyDescent="0.3">
      <c r="A34" s="1">
        <f t="shared" si="1"/>
        <v>727620</v>
      </c>
      <c r="B34" s="1">
        <v>23.234000000000002</v>
      </c>
      <c r="C34" s="1">
        <f t="shared" si="2"/>
        <v>2.6000000000003354E-2</v>
      </c>
      <c r="D34" s="4">
        <f t="shared" si="4"/>
        <v>23.320558504990448</v>
      </c>
      <c r="E34" s="1">
        <f t="shared" si="3"/>
        <v>7.2202166064981949E-2</v>
      </c>
      <c r="F34" s="4">
        <f t="shared" si="5"/>
        <v>-8.6558504990446039E-2</v>
      </c>
    </row>
    <row r="35" spans="1:6" x14ac:dyDescent="0.3">
      <c r="A35" s="1">
        <f t="shared" si="1"/>
        <v>727640</v>
      </c>
      <c r="B35" s="1">
        <v>23.318000000000001</v>
      </c>
      <c r="C35" s="1">
        <f t="shared" si="2"/>
        <v>8.3999999999999631E-2</v>
      </c>
      <c r="D35" s="4">
        <f t="shared" si="4"/>
        <v>23.392760671055431</v>
      </c>
      <c r="E35" s="1">
        <f t="shared" si="3"/>
        <v>7.2202166064981949E-2</v>
      </c>
      <c r="F35" s="4">
        <f t="shared" si="5"/>
        <v>-7.4760671055429384E-2</v>
      </c>
    </row>
    <row r="36" spans="1:6" x14ac:dyDescent="0.3">
      <c r="A36" s="1">
        <f t="shared" si="1"/>
        <v>727660</v>
      </c>
      <c r="B36" s="1">
        <v>23.361999999999998</v>
      </c>
      <c r="C36" s="1">
        <f t="shared" si="2"/>
        <v>4.399999999999693E-2</v>
      </c>
      <c r="D36" s="4">
        <f t="shared" si="4"/>
        <v>23.464962837120414</v>
      </c>
      <c r="E36" s="1">
        <f t="shared" si="3"/>
        <v>7.2202166064981949E-2</v>
      </c>
      <c r="F36" s="4">
        <f t="shared" si="5"/>
        <v>-0.10296283712041543</v>
      </c>
    </row>
    <row r="37" spans="1:6" x14ac:dyDescent="0.3">
      <c r="A37" s="1">
        <f t="shared" si="1"/>
        <v>727680</v>
      </c>
      <c r="B37" s="1">
        <v>23.405000000000001</v>
      </c>
      <c r="C37" s="1">
        <f t="shared" si="2"/>
        <v>4.3000000000002814E-2</v>
      </c>
      <c r="D37" s="4">
        <f t="shared" si="4"/>
        <v>23.537165003185397</v>
      </c>
      <c r="E37" s="1">
        <f t="shared" si="3"/>
        <v>7.2202166064981949E-2</v>
      </c>
      <c r="F37" s="4">
        <f t="shared" si="5"/>
        <v>-0.13216500318539559</v>
      </c>
    </row>
    <row r="38" spans="1:6" x14ac:dyDescent="0.3">
      <c r="A38" s="1">
        <f t="shared" si="1"/>
        <v>727700</v>
      </c>
      <c r="B38" s="1">
        <v>23.437000000000001</v>
      </c>
      <c r="C38" s="1">
        <f t="shared" si="2"/>
        <v>3.2000000000000028E-2</v>
      </c>
      <c r="D38" s="4">
        <f t="shared" si="4"/>
        <v>23.60936716925038</v>
      </c>
      <c r="E38" s="1">
        <f t="shared" si="3"/>
        <v>7.2202166064981949E-2</v>
      </c>
      <c r="F38" s="4">
        <f t="shared" si="5"/>
        <v>-0.17236716925037854</v>
      </c>
    </row>
    <row r="39" spans="1:6" x14ac:dyDescent="0.3">
      <c r="A39" s="1">
        <f t="shared" si="1"/>
        <v>727720</v>
      </c>
      <c r="B39" s="1">
        <v>23.478999999999999</v>
      </c>
      <c r="C39" s="1">
        <f t="shared" si="2"/>
        <v>4.1999999999998039E-2</v>
      </c>
      <c r="D39" s="4">
        <f t="shared" si="4"/>
        <v>23.681569335315363</v>
      </c>
      <c r="E39" s="1">
        <f t="shared" si="3"/>
        <v>7.2202166064981949E-2</v>
      </c>
      <c r="F39" s="4">
        <f t="shared" si="5"/>
        <v>-0.20256933531536347</v>
      </c>
    </row>
    <row r="40" spans="1:6" x14ac:dyDescent="0.3">
      <c r="A40" s="1">
        <f t="shared" si="1"/>
        <v>727740</v>
      </c>
      <c r="B40" s="1">
        <v>23.559000000000001</v>
      </c>
      <c r="C40" s="1">
        <f t="shared" si="2"/>
        <v>8.0000000000001847E-2</v>
      </c>
      <c r="D40" s="4">
        <f t="shared" si="4"/>
        <v>23.753771501380346</v>
      </c>
      <c r="E40" s="1">
        <f t="shared" si="3"/>
        <v>7.2202166064981949E-2</v>
      </c>
      <c r="F40" s="4">
        <f t="shared" si="5"/>
        <v>-0.1947715013803446</v>
      </c>
    </row>
    <row r="41" spans="1:6" x14ac:dyDescent="0.3">
      <c r="A41" s="1">
        <f t="shared" si="1"/>
        <v>727760</v>
      </c>
      <c r="B41" s="1">
        <v>23.617000000000001</v>
      </c>
      <c r="C41" s="1">
        <f t="shared" si="2"/>
        <v>5.7999999999999829E-2</v>
      </c>
      <c r="D41" s="4">
        <f t="shared" si="4"/>
        <v>23.825973667445329</v>
      </c>
      <c r="E41" s="1">
        <f t="shared" si="3"/>
        <v>7.2202166064981949E-2</v>
      </c>
      <c r="F41" s="4">
        <f t="shared" si="5"/>
        <v>-0.20897366744532775</v>
      </c>
    </row>
    <row r="42" spans="1:6" x14ac:dyDescent="0.3">
      <c r="A42" s="1">
        <f t="shared" si="1"/>
        <v>727780</v>
      </c>
      <c r="B42" s="1">
        <v>23.707000000000001</v>
      </c>
      <c r="C42" s="1">
        <f t="shared" si="2"/>
        <v>8.9999999999999858E-2</v>
      </c>
      <c r="D42" s="4">
        <f t="shared" si="4"/>
        <v>23.898175833510312</v>
      </c>
      <c r="E42" s="1">
        <f t="shared" si="3"/>
        <v>7.2202166064981949E-2</v>
      </c>
      <c r="F42" s="4">
        <f t="shared" si="5"/>
        <v>-0.19117583351031087</v>
      </c>
    </row>
    <row r="43" spans="1:6" x14ac:dyDescent="0.3">
      <c r="A43" s="1">
        <f t="shared" si="1"/>
        <v>727800</v>
      </c>
      <c r="B43" s="1">
        <v>23.79</v>
      </c>
      <c r="C43" s="1">
        <f t="shared" si="2"/>
        <v>8.2999999999998408E-2</v>
      </c>
      <c r="D43" s="4">
        <f t="shared" si="4"/>
        <v>23.970377999575295</v>
      </c>
      <c r="E43" s="1">
        <f t="shared" si="3"/>
        <v>7.2202166064981949E-2</v>
      </c>
      <c r="F43" s="4">
        <f t="shared" si="5"/>
        <v>-0.18037799957529543</v>
      </c>
    </row>
    <row r="44" spans="1:6" x14ac:dyDescent="0.3">
      <c r="A44" s="1">
        <f t="shared" si="1"/>
        <v>727820</v>
      </c>
      <c r="B44" s="1">
        <v>23.882000000000001</v>
      </c>
      <c r="C44" s="1">
        <f t="shared" si="2"/>
        <v>9.2000000000002302E-2</v>
      </c>
      <c r="D44" s="4">
        <f t="shared" si="4"/>
        <v>24.042580165640278</v>
      </c>
      <c r="E44" s="1">
        <f t="shared" si="3"/>
        <v>7.2202166064981949E-2</v>
      </c>
      <c r="F44" s="4">
        <f t="shared" si="5"/>
        <v>-0.16058016564027611</v>
      </c>
    </row>
    <row r="45" spans="1:6" x14ac:dyDescent="0.3">
      <c r="A45" s="1">
        <f t="shared" si="1"/>
        <v>727840</v>
      </c>
      <c r="B45" s="1">
        <v>23.966999999999999</v>
      </c>
      <c r="C45" s="1">
        <f t="shared" si="2"/>
        <v>8.49999999999973E-2</v>
      </c>
      <c r="D45" s="4">
        <f t="shared" si="4"/>
        <v>24.114782331705261</v>
      </c>
      <c r="E45" s="1">
        <f t="shared" si="3"/>
        <v>7.2202166064981949E-2</v>
      </c>
      <c r="F45" s="4">
        <f t="shared" si="5"/>
        <v>-0.14778233170526178</v>
      </c>
    </row>
    <row r="46" spans="1:6" x14ac:dyDescent="0.3">
      <c r="A46" s="1">
        <f t="shared" si="1"/>
        <v>727860</v>
      </c>
      <c r="B46" s="1">
        <v>24.077000000000002</v>
      </c>
      <c r="C46" s="1">
        <f t="shared" si="2"/>
        <v>0.11000000000000298</v>
      </c>
      <c r="D46" s="4">
        <f t="shared" si="4"/>
        <v>24.186984497770244</v>
      </c>
      <c r="E46" s="1">
        <f t="shared" si="3"/>
        <v>7.2202166064981949E-2</v>
      </c>
      <c r="F46" s="4">
        <f t="shared" si="5"/>
        <v>-0.10998449777024177</v>
      </c>
    </row>
    <row r="47" spans="1:6" x14ac:dyDescent="0.3">
      <c r="A47" s="1">
        <f t="shared" si="1"/>
        <v>727880</v>
      </c>
      <c r="B47" s="1">
        <v>24.204999999999998</v>
      </c>
      <c r="C47" s="1">
        <f t="shared" si="2"/>
        <v>0.12799999999999656</v>
      </c>
      <c r="D47" s="4">
        <f t="shared" si="4"/>
        <v>24.259186663835226</v>
      </c>
      <c r="E47" s="1">
        <f t="shared" si="3"/>
        <v>7.2202166064981949E-2</v>
      </c>
      <c r="F47" s="4">
        <f t="shared" si="5"/>
        <v>-5.4186663835228188E-2</v>
      </c>
    </row>
    <row r="48" spans="1:6" x14ac:dyDescent="0.3">
      <c r="A48" s="1">
        <f t="shared" si="1"/>
        <v>727900</v>
      </c>
      <c r="B48" s="1">
        <v>24.329000000000001</v>
      </c>
      <c r="C48" s="1">
        <f t="shared" si="2"/>
        <v>0.12400000000000233</v>
      </c>
      <c r="D48" s="4">
        <f t="shared" si="4"/>
        <v>24.331388829900209</v>
      </c>
      <c r="E48" s="1">
        <f t="shared" si="3"/>
        <v>7.2202166064981949E-2</v>
      </c>
      <c r="F48" s="4">
        <f t="shared" si="5"/>
        <v>-2.3888299002088331E-3</v>
      </c>
    </row>
    <row r="49" spans="1:17" x14ac:dyDescent="0.3">
      <c r="A49" s="1"/>
      <c r="B49" s="1"/>
      <c r="C49" s="1"/>
      <c r="D49" s="1"/>
      <c r="E49" s="1"/>
      <c r="F49" s="1"/>
      <c r="G49" s="3" t="s">
        <v>8</v>
      </c>
      <c r="I49" s="3"/>
      <c r="N49">
        <f>1/N50</f>
        <v>9.8039215686274508E-3</v>
      </c>
      <c r="O49">
        <f>N49*20</f>
        <v>0.19607843137254902</v>
      </c>
      <c r="P49" t="s">
        <v>6</v>
      </c>
      <c r="Q49">
        <v>102</v>
      </c>
    </row>
    <row r="50" spans="1:17" x14ac:dyDescent="0.3">
      <c r="A50" s="1">
        <f>A48+20</f>
        <v>727920</v>
      </c>
      <c r="B50" s="1">
        <v>24.456</v>
      </c>
      <c r="C50" s="1">
        <f>B50-B48</f>
        <v>0.12699999999999889</v>
      </c>
      <c r="D50" s="4">
        <f>D48+E50</f>
        <v>24.527467261272758</v>
      </c>
      <c r="E50" s="1">
        <f>O49</f>
        <v>0.19607843137254902</v>
      </c>
      <c r="F50" s="4">
        <f t="shared" ref="F50:F51" si="7">B50-D50</f>
        <v>-7.1467261272758265E-2</v>
      </c>
      <c r="G50">
        <f>A48</f>
        <v>727900</v>
      </c>
      <c r="H50">
        <f>A62</f>
        <v>728160</v>
      </c>
      <c r="I50">
        <f>H50-G50</f>
        <v>260</v>
      </c>
      <c r="J50" s="5">
        <f>D48</f>
        <v>24.331388829900209</v>
      </c>
      <c r="K50">
        <f>B62</f>
        <v>26.872</v>
      </c>
      <c r="L50" s="5">
        <f>K50-J50</f>
        <v>2.5406111700997904</v>
      </c>
      <c r="M50">
        <f>I50/L50</f>
        <v>102.33758044517599</v>
      </c>
      <c r="N50">
        <v>102</v>
      </c>
    </row>
    <row r="51" spans="1:17" x14ac:dyDescent="0.3">
      <c r="A51" s="1">
        <f t="shared" si="1"/>
        <v>727940</v>
      </c>
      <c r="B51" s="1">
        <v>24.638000000000002</v>
      </c>
      <c r="C51" s="1">
        <f t="shared" si="2"/>
        <v>0.18200000000000216</v>
      </c>
      <c r="D51" s="4">
        <f>D50+E50</f>
        <v>24.723545692645306</v>
      </c>
      <c r="E51" s="1">
        <f t="shared" si="3"/>
        <v>0.19607843137254902</v>
      </c>
      <c r="F51" s="4">
        <f t="shared" si="7"/>
        <v>-8.5545692645304428E-2</v>
      </c>
    </row>
    <row r="52" spans="1:17" x14ac:dyDescent="0.3">
      <c r="A52" s="1">
        <f t="shared" si="1"/>
        <v>727960</v>
      </c>
      <c r="B52" s="1">
        <v>24.809000000000001</v>
      </c>
      <c r="C52" s="1">
        <f t="shared" si="2"/>
        <v>0.17099999999999937</v>
      </c>
      <c r="D52" s="4">
        <f t="shared" si="4"/>
        <v>24.919624124017854</v>
      </c>
      <c r="E52" s="1">
        <f t="shared" si="3"/>
        <v>0.19607843137254902</v>
      </c>
      <c r="F52" s="4">
        <f t="shared" si="5"/>
        <v>-0.11062412401785338</v>
      </c>
    </row>
    <row r="53" spans="1:17" x14ac:dyDescent="0.3">
      <c r="A53" s="1">
        <f t="shared" si="1"/>
        <v>727980</v>
      </c>
      <c r="B53" s="1">
        <v>25.018999999999998</v>
      </c>
      <c r="C53" s="1">
        <f t="shared" si="2"/>
        <v>0.2099999999999973</v>
      </c>
      <c r="D53" s="4">
        <f t="shared" si="4"/>
        <v>25.115702555390403</v>
      </c>
      <c r="E53" s="1">
        <f t="shared" si="3"/>
        <v>0.19607843137254902</v>
      </c>
      <c r="F53" s="4">
        <f t="shared" si="5"/>
        <v>-9.6702555390404399E-2</v>
      </c>
    </row>
    <row r="54" spans="1:17" x14ac:dyDescent="0.3">
      <c r="A54" s="1">
        <f t="shared" si="1"/>
        <v>728000</v>
      </c>
      <c r="B54" s="1">
        <v>25.2</v>
      </c>
      <c r="C54" s="1">
        <f t="shared" si="2"/>
        <v>0.18100000000000094</v>
      </c>
      <c r="D54" s="4">
        <f t="shared" si="4"/>
        <v>25.311780986762951</v>
      </c>
      <c r="E54" s="1">
        <f t="shared" si="3"/>
        <v>0.19607843137254902</v>
      </c>
      <c r="F54" s="4">
        <f t="shared" si="5"/>
        <v>-0.11178098676295178</v>
      </c>
    </row>
    <row r="55" spans="1:17" x14ac:dyDescent="0.3">
      <c r="A55" s="1">
        <f t="shared" si="1"/>
        <v>728020</v>
      </c>
      <c r="B55" s="1">
        <v>25.422000000000001</v>
      </c>
      <c r="C55" s="1">
        <f t="shared" si="2"/>
        <v>0.22200000000000131</v>
      </c>
      <c r="D55" s="4">
        <f t="shared" si="4"/>
        <v>25.507859418135499</v>
      </c>
      <c r="E55" s="1">
        <f t="shared" si="3"/>
        <v>0.19607843137254902</v>
      </c>
      <c r="F55" s="4">
        <f t="shared" si="5"/>
        <v>-8.58594181354988E-2</v>
      </c>
    </row>
    <row r="56" spans="1:17" x14ac:dyDescent="0.3">
      <c r="A56" s="1">
        <f t="shared" si="1"/>
        <v>728040</v>
      </c>
      <c r="B56" s="1">
        <v>25.646000000000001</v>
      </c>
      <c r="C56" s="1">
        <f t="shared" si="2"/>
        <v>0.2240000000000002</v>
      </c>
      <c r="D56" s="4">
        <f t="shared" si="4"/>
        <v>25.703937849508048</v>
      </c>
      <c r="E56" s="1">
        <f t="shared" si="3"/>
        <v>0.19607843137254902</v>
      </c>
      <c r="F56" s="4">
        <f t="shared" si="5"/>
        <v>-5.7937849508046924E-2</v>
      </c>
    </row>
    <row r="57" spans="1:17" x14ac:dyDescent="0.3">
      <c r="A57" s="1">
        <f t="shared" si="1"/>
        <v>728060</v>
      </c>
      <c r="B57" s="1">
        <v>25.869</v>
      </c>
      <c r="C57" s="1">
        <f t="shared" si="2"/>
        <v>0.22299999999999898</v>
      </c>
      <c r="D57" s="4">
        <f t="shared" si="4"/>
        <v>25.900016280880596</v>
      </c>
      <c r="E57" s="1">
        <f t="shared" si="3"/>
        <v>0.19607843137254902</v>
      </c>
      <c r="F57" s="4">
        <f t="shared" si="5"/>
        <v>-3.101628088059627E-2</v>
      </c>
    </row>
    <row r="58" spans="1:17" x14ac:dyDescent="0.3">
      <c r="A58" s="1">
        <f t="shared" si="1"/>
        <v>728080</v>
      </c>
      <c r="B58" s="1">
        <v>26.050999999999998</v>
      </c>
      <c r="C58" s="1">
        <f t="shared" si="2"/>
        <v>0.18199999999999861</v>
      </c>
      <c r="D58" s="4">
        <f t="shared" si="4"/>
        <v>26.096094712253144</v>
      </c>
      <c r="E58" s="1">
        <f t="shared" si="3"/>
        <v>0.19607843137254902</v>
      </c>
      <c r="F58" s="4">
        <f t="shared" si="5"/>
        <v>-4.5094712253145985E-2</v>
      </c>
    </row>
    <row r="59" spans="1:17" x14ac:dyDescent="0.3">
      <c r="A59" s="1">
        <f t="shared" si="1"/>
        <v>728100</v>
      </c>
      <c r="B59" s="1">
        <v>26.280999999999999</v>
      </c>
      <c r="C59" s="1">
        <f t="shared" si="2"/>
        <v>0.23000000000000043</v>
      </c>
      <c r="D59" s="4">
        <f t="shared" si="4"/>
        <v>26.292173143625693</v>
      </c>
      <c r="E59" s="1">
        <f t="shared" si="3"/>
        <v>0.19607843137254902</v>
      </c>
      <c r="F59" s="4">
        <f t="shared" si="5"/>
        <v>-1.1173143625693882E-2</v>
      </c>
    </row>
    <row r="60" spans="1:17" x14ac:dyDescent="0.3">
      <c r="A60" s="1">
        <f t="shared" si="1"/>
        <v>728120</v>
      </c>
      <c r="B60" s="1">
        <v>26.513000000000002</v>
      </c>
      <c r="C60" s="1">
        <f t="shared" si="2"/>
        <v>0.23200000000000287</v>
      </c>
      <c r="D60" s="4">
        <f t="shared" si="4"/>
        <v>26.488251574998241</v>
      </c>
      <c r="E60" s="1">
        <f t="shared" si="3"/>
        <v>0.19607843137254902</v>
      </c>
      <c r="F60" s="4">
        <f t="shared" si="5"/>
        <v>2.4748425001760666E-2</v>
      </c>
    </row>
    <row r="61" spans="1:17" x14ac:dyDescent="0.3">
      <c r="A61" s="1">
        <f t="shared" si="1"/>
        <v>728140</v>
      </c>
      <c r="B61" s="1">
        <v>26.725999999999999</v>
      </c>
      <c r="C61" s="1">
        <f t="shared" si="2"/>
        <v>0.21299999999999741</v>
      </c>
      <c r="D61" s="4">
        <f t="shared" si="4"/>
        <v>26.684330006370789</v>
      </c>
      <c r="E61" s="1">
        <f t="shared" si="3"/>
        <v>0.19607843137254902</v>
      </c>
      <c r="F61" s="4">
        <f t="shared" si="5"/>
        <v>4.1669993629209756E-2</v>
      </c>
    </row>
    <row r="62" spans="1:17" x14ac:dyDescent="0.3">
      <c r="A62" s="1">
        <f t="shared" si="1"/>
        <v>728160</v>
      </c>
      <c r="B62" s="1">
        <v>26.872</v>
      </c>
      <c r="C62" s="1">
        <f t="shared" si="2"/>
        <v>0.1460000000000008</v>
      </c>
      <c r="D62" s="4">
        <f t="shared" si="4"/>
        <v>26.880408437743338</v>
      </c>
      <c r="E62" s="1">
        <f t="shared" si="3"/>
        <v>0.19607843137254902</v>
      </c>
      <c r="F62" s="4">
        <f t="shared" si="5"/>
        <v>-8.4084377433377711E-3</v>
      </c>
    </row>
    <row r="63" spans="1:17" x14ac:dyDescent="0.3">
      <c r="A63" s="1"/>
      <c r="B63" s="1"/>
      <c r="C63" s="1"/>
      <c r="D63" s="1"/>
      <c r="E63" s="1"/>
      <c r="F63" s="1"/>
      <c r="G63" s="3" t="s">
        <v>9</v>
      </c>
      <c r="I63" s="3"/>
      <c r="N63">
        <f>1/N64</f>
        <v>5.1546391752577319E-3</v>
      </c>
      <c r="O63">
        <f>N63*20</f>
        <v>0.10309278350515463</v>
      </c>
      <c r="P63" t="s">
        <v>6</v>
      </c>
      <c r="Q63">
        <v>194</v>
      </c>
    </row>
    <row r="64" spans="1:17" x14ac:dyDescent="0.3">
      <c r="A64" s="1">
        <f>A62+20</f>
        <v>728180</v>
      </c>
      <c r="B64" s="1">
        <v>27.001999999999999</v>
      </c>
      <c r="C64" s="1">
        <f>B64-B62</f>
        <v>0.12999999999999901</v>
      </c>
      <c r="D64" s="4">
        <f>D62+E64</f>
        <v>26.983501221248492</v>
      </c>
      <c r="E64" s="1">
        <f>O63</f>
        <v>0.10309278350515463</v>
      </c>
      <c r="F64" s="4">
        <f t="shared" ref="F64:F65" si="8">B64-D64</f>
        <v>1.8498778751506961E-2</v>
      </c>
      <c r="G64">
        <f>A62</f>
        <v>728160</v>
      </c>
      <c r="H64">
        <f>A73</f>
        <v>728360</v>
      </c>
      <c r="I64">
        <f>H64-G64</f>
        <v>200</v>
      </c>
      <c r="J64" s="5">
        <f>D62</f>
        <v>26.880408437743338</v>
      </c>
      <c r="K64">
        <f>B73</f>
        <v>27.913</v>
      </c>
      <c r="L64" s="5">
        <f>K64-J64</f>
        <v>1.0325915622566626</v>
      </c>
      <c r="M64">
        <f>I64/L64</f>
        <v>193.68742425409019</v>
      </c>
      <c r="N64">
        <v>194</v>
      </c>
    </row>
    <row r="65" spans="1:17" x14ac:dyDescent="0.3">
      <c r="A65" s="1">
        <f t="shared" si="1"/>
        <v>728200</v>
      </c>
      <c r="B65" s="1">
        <v>27.038</v>
      </c>
      <c r="C65" s="1">
        <f t="shared" si="2"/>
        <v>3.6000000000001364E-2</v>
      </c>
      <c r="D65" s="4">
        <f>D64+E64</f>
        <v>27.086594004753646</v>
      </c>
      <c r="E65" s="1">
        <f t="shared" si="3"/>
        <v>0.10309278350515463</v>
      </c>
      <c r="F65" s="4">
        <f t="shared" si="8"/>
        <v>-4.8594004753645947E-2</v>
      </c>
    </row>
    <row r="66" spans="1:17" x14ac:dyDescent="0.3">
      <c r="A66" s="1">
        <f t="shared" si="1"/>
        <v>728220</v>
      </c>
      <c r="B66" s="1">
        <v>27.052</v>
      </c>
      <c r="C66" s="1">
        <f t="shared" si="2"/>
        <v>1.3999999999999346E-2</v>
      </c>
      <c r="D66" s="4">
        <f t="shared" si="4"/>
        <v>27.1896867882588</v>
      </c>
      <c r="E66" s="1">
        <f t="shared" si="3"/>
        <v>0.10309278350515463</v>
      </c>
      <c r="F66" s="4">
        <f t="shared" si="5"/>
        <v>-0.13768678825880087</v>
      </c>
    </row>
    <row r="67" spans="1:17" x14ac:dyDescent="0.3">
      <c r="A67" s="1">
        <f t="shared" si="1"/>
        <v>728240</v>
      </c>
      <c r="B67" s="1">
        <v>27.103999999999999</v>
      </c>
      <c r="C67" s="1">
        <f t="shared" si="2"/>
        <v>5.1999999999999602E-2</v>
      </c>
      <c r="D67" s="4">
        <f t="shared" si="4"/>
        <v>27.292779571763955</v>
      </c>
      <c r="E67" s="1">
        <f t="shared" si="3"/>
        <v>0.10309278350515463</v>
      </c>
      <c r="F67" s="4">
        <f t="shared" si="5"/>
        <v>-0.18877957176395554</v>
      </c>
    </row>
    <row r="68" spans="1:17" x14ac:dyDescent="0.3">
      <c r="A68" s="1">
        <f t="shared" si="1"/>
        <v>728260</v>
      </c>
      <c r="B68" s="1">
        <v>27.17</v>
      </c>
      <c r="C68" s="1">
        <f t="shared" si="2"/>
        <v>6.6000000000002501E-2</v>
      </c>
      <c r="D68" s="4">
        <f t="shared" si="4"/>
        <v>27.395872355269109</v>
      </c>
      <c r="E68" s="1">
        <f t="shared" si="3"/>
        <v>0.10309278350515463</v>
      </c>
      <c r="F68" s="4">
        <f t="shared" si="5"/>
        <v>-0.22587235526910732</v>
      </c>
    </row>
    <row r="69" spans="1:17" x14ac:dyDescent="0.3">
      <c r="A69" s="1">
        <f t="shared" si="1"/>
        <v>728280</v>
      </c>
      <c r="B69" s="1">
        <v>27.271000000000001</v>
      </c>
      <c r="C69" s="1">
        <f t="shared" si="2"/>
        <v>0.10099999999999909</v>
      </c>
      <c r="D69" s="4">
        <f t="shared" si="4"/>
        <v>27.498965138774263</v>
      </c>
      <c r="E69" s="1">
        <f t="shared" si="3"/>
        <v>0.10309278350515463</v>
      </c>
      <c r="F69" s="4">
        <f t="shared" si="5"/>
        <v>-0.2279651387742625</v>
      </c>
    </row>
    <row r="70" spans="1:17" x14ac:dyDescent="0.3">
      <c r="A70" s="1">
        <f t="shared" si="1"/>
        <v>728300</v>
      </c>
      <c r="B70" s="1">
        <v>27.41</v>
      </c>
      <c r="C70" s="1">
        <f t="shared" si="2"/>
        <v>0.13899999999999935</v>
      </c>
      <c r="D70" s="4">
        <f t="shared" si="4"/>
        <v>27.602057922279418</v>
      </c>
      <c r="E70" s="1">
        <f t="shared" si="3"/>
        <v>0.10309278350515463</v>
      </c>
      <c r="F70" s="4">
        <f t="shared" si="5"/>
        <v>-0.19205792227941743</v>
      </c>
    </row>
    <row r="71" spans="1:17" x14ac:dyDescent="0.3">
      <c r="A71" s="1">
        <f t="shared" ref="A71:A138" si="9">A70+20</f>
        <v>728320</v>
      </c>
      <c r="B71" s="1">
        <v>27.553999999999998</v>
      </c>
      <c r="C71" s="1">
        <f t="shared" ref="C71:C138" si="10">B71-B70</f>
        <v>0.14399999999999835</v>
      </c>
      <c r="D71" s="4">
        <f t="shared" si="4"/>
        <v>27.705150705784572</v>
      </c>
      <c r="E71" s="1">
        <f t="shared" ref="E71:E138" si="11">E70</f>
        <v>0.10309278350515463</v>
      </c>
      <c r="F71" s="4">
        <f t="shared" si="5"/>
        <v>-0.15115070578457335</v>
      </c>
    </row>
    <row r="72" spans="1:17" x14ac:dyDescent="0.3">
      <c r="A72" s="1">
        <f t="shared" si="9"/>
        <v>728340</v>
      </c>
      <c r="B72" s="1">
        <v>27.722000000000001</v>
      </c>
      <c r="C72" s="1">
        <f t="shared" si="10"/>
        <v>0.16800000000000281</v>
      </c>
      <c r="D72" s="4">
        <f t="shared" ref="D72:D139" si="12">D71+E71</f>
        <v>27.808243489289726</v>
      </c>
      <c r="E72" s="1">
        <f t="shared" si="11"/>
        <v>0.10309278350515463</v>
      </c>
      <c r="F72" s="4">
        <f t="shared" si="5"/>
        <v>-8.6243489289724806E-2</v>
      </c>
    </row>
    <row r="73" spans="1:17" x14ac:dyDescent="0.3">
      <c r="A73" s="1">
        <f t="shared" si="9"/>
        <v>728360</v>
      </c>
      <c r="B73" s="1">
        <v>27.913</v>
      </c>
      <c r="C73" s="1">
        <f t="shared" si="10"/>
        <v>0.19099999999999895</v>
      </c>
      <c r="D73" s="4">
        <f t="shared" si="12"/>
        <v>27.91133627279488</v>
      </c>
      <c r="E73" s="1">
        <f t="shared" si="11"/>
        <v>0.10309278350515463</v>
      </c>
      <c r="F73" s="4">
        <f t="shared" ref="F73:F139" si="13">B73-D73</f>
        <v>1.6637272051198693E-3</v>
      </c>
    </row>
    <row r="74" spans="1:17" x14ac:dyDescent="0.3">
      <c r="A74" s="1"/>
      <c r="B74" s="1"/>
      <c r="C74" s="1"/>
      <c r="D74" s="1"/>
      <c r="E74" s="1"/>
      <c r="F74" s="1"/>
      <c r="G74" s="3" t="s">
        <v>10</v>
      </c>
      <c r="I74" s="3"/>
      <c r="N74">
        <f>1/N75</f>
        <v>8.6956521739130436E-3</v>
      </c>
      <c r="O74">
        <f>N74*20</f>
        <v>0.17391304347826086</v>
      </c>
      <c r="P74" t="s">
        <v>6</v>
      </c>
      <c r="Q74">
        <v>115</v>
      </c>
    </row>
    <row r="75" spans="1:17" x14ac:dyDescent="0.3">
      <c r="A75" s="1">
        <f>A73+20</f>
        <v>728380</v>
      </c>
      <c r="B75" s="1">
        <v>28.119</v>
      </c>
      <c r="C75" s="1">
        <f>B75-B73</f>
        <v>0.20599999999999952</v>
      </c>
      <c r="D75" s="4">
        <f>D73+E75</f>
        <v>28.085249316273142</v>
      </c>
      <c r="E75" s="1">
        <f>O74</f>
        <v>0.17391304347826086</v>
      </c>
      <c r="F75" s="4">
        <f t="shared" ref="F75:F76" si="14">B75-D75</f>
        <v>3.3750683726857744E-2</v>
      </c>
      <c r="G75">
        <f>A73</f>
        <v>728360</v>
      </c>
      <c r="H75">
        <f>A91</f>
        <v>728700</v>
      </c>
      <c r="I75">
        <f>H75-G75</f>
        <v>340</v>
      </c>
      <c r="J75" s="5">
        <f>D73</f>
        <v>27.91133627279488</v>
      </c>
      <c r="K75">
        <f>B91</f>
        <v>30.878</v>
      </c>
      <c r="L75" s="5">
        <f>K75-J75</f>
        <v>2.9666637272051197</v>
      </c>
      <c r="M75">
        <f>I75/L75</f>
        <v>114.60685512891359</v>
      </c>
      <c r="N75">
        <v>115</v>
      </c>
    </row>
    <row r="76" spans="1:17" x14ac:dyDescent="0.3">
      <c r="A76" s="1">
        <f t="shared" si="9"/>
        <v>728400</v>
      </c>
      <c r="B76" s="1">
        <v>28.347999999999999</v>
      </c>
      <c r="C76" s="1">
        <f t="shared" si="10"/>
        <v>0.2289999999999992</v>
      </c>
      <c r="D76" s="4">
        <f>D75+E75</f>
        <v>28.259162359751404</v>
      </c>
      <c r="E76" s="1">
        <f t="shared" ref="E76" si="15">E75</f>
        <v>0.17391304347826086</v>
      </c>
      <c r="F76" s="4">
        <f t="shared" si="14"/>
        <v>8.8837640248595307E-2</v>
      </c>
    </row>
    <row r="77" spans="1:17" x14ac:dyDescent="0.3">
      <c r="A77" s="1">
        <f t="shared" si="9"/>
        <v>728420</v>
      </c>
      <c r="B77" s="1">
        <v>28.576000000000001</v>
      </c>
      <c r="C77" s="1">
        <f t="shared" si="10"/>
        <v>0.22800000000000153</v>
      </c>
      <c r="D77" s="4">
        <f t="shared" si="12"/>
        <v>28.433075403229665</v>
      </c>
      <c r="E77" s="1">
        <f t="shared" si="11"/>
        <v>0.17391304347826086</v>
      </c>
      <c r="F77" s="4">
        <f t="shared" si="13"/>
        <v>0.1429245967703352</v>
      </c>
    </row>
    <row r="78" spans="1:17" x14ac:dyDescent="0.3">
      <c r="A78" s="1">
        <f t="shared" si="9"/>
        <v>728440</v>
      </c>
      <c r="B78" s="1">
        <v>28.795000000000002</v>
      </c>
      <c r="C78" s="1">
        <f t="shared" si="10"/>
        <v>0.21900000000000119</v>
      </c>
      <c r="D78" s="4">
        <f t="shared" si="12"/>
        <v>28.606988446707927</v>
      </c>
      <c r="E78" s="1">
        <f t="shared" si="11"/>
        <v>0.17391304347826086</v>
      </c>
      <c r="F78" s="4">
        <f t="shared" si="13"/>
        <v>0.18801155329207475</v>
      </c>
    </row>
    <row r="79" spans="1:17" x14ac:dyDescent="0.3">
      <c r="A79" s="1">
        <f t="shared" si="9"/>
        <v>728460</v>
      </c>
      <c r="B79" s="1">
        <v>29.015000000000001</v>
      </c>
      <c r="C79" s="1">
        <f t="shared" si="10"/>
        <v>0.21999999999999886</v>
      </c>
      <c r="D79" s="4">
        <f t="shared" si="12"/>
        <v>28.780901490186189</v>
      </c>
      <c r="E79" s="1">
        <f t="shared" si="11"/>
        <v>0.17391304347826086</v>
      </c>
      <c r="F79" s="4">
        <f t="shared" si="13"/>
        <v>0.23409850981381197</v>
      </c>
    </row>
    <row r="80" spans="1:17" x14ac:dyDescent="0.3">
      <c r="A80" s="1">
        <f t="shared" si="9"/>
        <v>728480</v>
      </c>
      <c r="B80" s="1">
        <v>29.234999999999999</v>
      </c>
      <c r="C80" s="1">
        <f t="shared" si="10"/>
        <v>0.21999999999999886</v>
      </c>
      <c r="D80" s="4">
        <f t="shared" si="12"/>
        <v>28.95481453366445</v>
      </c>
      <c r="E80" s="1">
        <f t="shared" si="11"/>
        <v>0.17391304347826086</v>
      </c>
      <c r="F80" s="4">
        <f t="shared" si="13"/>
        <v>0.28018546633554919</v>
      </c>
    </row>
    <row r="81" spans="1:17" x14ac:dyDescent="0.3">
      <c r="A81" s="1">
        <f t="shared" si="9"/>
        <v>728500</v>
      </c>
      <c r="B81" s="1">
        <v>29.402999999999999</v>
      </c>
      <c r="C81" s="1">
        <f t="shared" si="10"/>
        <v>0.16799999999999926</v>
      </c>
      <c r="D81" s="4">
        <f t="shared" si="12"/>
        <v>29.128727577142712</v>
      </c>
      <c r="E81" s="1">
        <f t="shared" si="11"/>
        <v>0.17391304347826086</v>
      </c>
      <c r="F81" s="4">
        <f t="shared" si="13"/>
        <v>0.27427242285728681</v>
      </c>
    </row>
    <row r="82" spans="1:17" x14ac:dyDescent="0.3">
      <c r="A82" s="1">
        <f t="shared" si="9"/>
        <v>728520</v>
      </c>
      <c r="B82" s="1">
        <v>29.556999999999999</v>
      </c>
      <c r="C82" s="1">
        <f t="shared" si="10"/>
        <v>0.15399999999999991</v>
      </c>
      <c r="D82" s="4">
        <f t="shared" si="12"/>
        <v>29.302640620620974</v>
      </c>
      <c r="E82" s="1">
        <f t="shared" si="11"/>
        <v>0.17391304347826086</v>
      </c>
      <c r="F82" s="4">
        <f t="shared" si="13"/>
        <v>0.25435937937902509</v>
      </c>
    </row>
    <row r="83" spans="1:17" x14ac:dyDescent="0.3">
      <c r="A83" s="1">
        <f t="shared" si="9"/>
        <v>728540</v>
      </c>
      <c r="B83" s="1">
        <v>29.670999999999999</v>
      </c>
      <c r="C83" s="1">
        <f t="shared" si="10"/>
        <v>0.11400000000000077</v>
      </c>
      <c r="D83" s="4">
        <f t="shared" si="12"/>
        <v>29.476553664099235</v>
      </c>
      <c r="E83" s="1">
        <f t="shared" si="11"/>
        <v>0.17391304347826086</v>
      </c>
      <c r="F83" s="4">
        <f t="shared" si="13"/>
        <v>0.19444633590076421</v>
      </c>
    </row>
    <row r="84" spans="1:17" x14ac:dyDescent="0.3">
      <c r="A84" s="1">
        <f t="shared" si="9"/>
        <v>728560</v>
      </c>
      <c r="B84" s="1">
        <v>29.803000000000001</v>
      </c>
      <c r="C84" s="1">
        <f t="shared" si="10"/>
        <v>0.13200000000000145</v>
      </c>
      <c r="D84" s="4">
        <f t="shared" si="12"/>
        <v>29.650466707577497</v>
      </c>
      <c r="E84" s="1">
        <f t="shared" si="11"/>
        <v>0.17391304347826086</v>
      </c>
      <c r="F84" s="4">
        <f t="shared" si="13"/>
        <v>0.15253329242250402</v>
      </c>
    </row>
    <row r="85" spans="1:17" x14ac:dyDescent="0.3">
      <c r="A85" s="1">
        <f t="shared" si="9"/>
        <v>728580</v>
      </c>
      <c r="B85" s="1">
        <v>29.954999999999998</v>
      </c>
      <c r="C85" s="1">
        <f t="shared" si="10"/>
        <v>0.15199999999999747</v>
      </c>
      <c r="D85" s="4">
        <f t="shared" si="12"/>
        <v>29.824379751055758</v>
      </c>
      <c r="E85" s="1">
        <f t="shared" si="11"/>
        <v>0.17391304347826086</v>
      </c>
      <c r="F85" s="4">
        <f t="shared" si="13"/>
        <v>0.13062024894423985</v>
      </c>
    </row>
    <row r="86" spans="1:17" x14ac:dyDescent="0.3">
      <c r="A86" s="1">
        <f t="shared" si="9"/>
        <v>728600</v>
      </c>
      <c r="B86" s="1">
        <v>30.094000000000001</v>
      </c>
      <c r="C86" s="1">
        <f t="shared" si="10"/>
        <v>0.1390000000000029</v>
      </c>
      <c r="D86" s="4">
        <f t="shared" si="12"/>
        <v>29.99829279453402</v>
      </c>
      <c r="E86" s="1">
        <f t="shared" si="11"/>
        <v>0.17391304347826086</v>
      </c>
      <c r="F86" s="4">
        <f t="shared" si="13"/>
        <v>9.5707205465981104E-2</v>
      </c>
    </row>
    <row r="87" spans="1:17" x14ac:dyDescent="0.3">
      <c r="A87" s="1">
        <f t="shared" si="9"/>
        <v>728620</v>
      </c>
      <c r="B87" s="1">
        <v>30.283000000000001</v>
      </c>
      <c r="C87" s="1">
        <f t="shared" si="10"/>
        <v>0.18900000000000006</v>
      </c>
      <c r="D87" s="4">
        <f t="shared" si="12"/>
        <v>30.172205838012282</v>
      </c>
      <c r="E87" s="1">
        <f t="shared" si="11"/>
        <v>0.17391304347826086</v>
      </c>
      <c r="F87" s="4">
        <f t="shared" si="13"/>
        <v>0.11079416198771952</v>
      </c>
    </row>
    <row r="88" spans="1:17" x14ac:dyDescent="0.3">
      <c r="A88" s="1">
        <f t="shared" si="9"/>
        <v>728640</v>
      </c>
      <c r="B88" s="1">
        <v>30.456</v>
      </c>
      <c r="C88" s="1">
        <f t="shared" si="10"/>
        <v>0.17299999999999827</v>
      </c>
      <c r="D88" s="4">
        <f t="shared" si="12"/>
        <v>30.346118881490543</v>
      </c>
      <c r="E88" s="1">
        <f t="shared" si="11"/>
        <v>0.17391304347826086</v>
      </c>
      <c r="F88" s="4">
        <f t="shared" si="13"/>
        <v>0.10988111850945614</v>
      </c>
    </row>
    <row r="89" spans="1:17" x14ac:dyDescent="0.3">
      <c r="A89" s="1">
        <f t="shared" si="9"/>
        <v>728660</v>
      </c>
      <c r="B89" s="1">
        <v>30.632999999999999</v>
      </c>
      <c r="C89" s="1">
        <f t="shared" si="10"/>
        <v>0.1769999999999996</v>
      </c>
      <c r="D89" s="4">
        <f t="shared" si="12"/>
        <v>30.520031924968805</v>
      </c>
      <c r="E89" s="1">
        <f t="shared" si="11"/>
        <v>0.17391304347826086</v>
      </c>
      <c r="F89" s="4">
        <f t="shared" si="13"/>
        <v>0.1129680750311941</v>
      </c>
    </row>
    <row r="90" spans="1:17" x14ac:dyDescent="0.3">
      <c r="A90" s="1">
        <f t="shared" si="9"/>
        <v>728680</v>
      </c>
      <c r="B90" s="1">
        <v>30.785</v>
      </c>
      <c r="C90" s="1">
        <f t="shared" si="10"/>
        <v>0.15200000000000102</v>
      </c>
      <c r="D90" s="4">
        <f t="shared" si="12"/>
        <v>30.693944968447067</v>
      </c>
      <c r="E90" s="1">
        <f t="shared" si="11"/>
        <v>0.17391304347826086</v>
      </c>
      <c r="F90" s="4">
        <f t="shared" si="13"/>
        <v>9.1055031552933485E-2</v>
      </c>
    </row>
    <row r="91" spans="1:17" x14ac:dyDescent="0.3">
      <c r="A91" s="1">
        <f t="shared" si="9"/>
        <v>728700</v>
      </c>
      <c r="B91" s="1">
        <v>30.878</v>
      </c>
      <c r="C91" s="1">
        <f t="shared" si="10"/>
        <v>9.2999999999999972E-2</v>
      </c>
      <c r="D91" s="4">
        <f t="shared" si="12"/>
        <v>30.867858011925328</v>
      </c>
      <c r="E91" s="1">
        <f t="shared" si="11"/>
        <v>0.17391304347826086</v>
      </c>
      <c r="F91" s="4">
        <f t="shared" si="13"/>
        <v>1.0141988074671815E-2</v>
      </c>
    </row>
    <row r="92" spans="1:17" x14ac:dyDescent="0.3">
      <c r="A92" s="1"/>
      <c r="B92" s="1"/>
      <c r="C92" s="1"/>
      <c r="D92" s="1"/>
      <c r="E92" s="1"/>
      <c r="F92" s="1"/>
      <c r="G92" s="3" t="s">
        <v>11</v>
      </c>
      <c r="I92" s="3"/>
      <c r="N92">
        <f>1/N93</f>
        <v>3.1948881789137379E-3</v>
      </c>
      <c r="O92">
        <f>N92*20</f>
        <v>6.3897763578274758E-2</v>
      </c>
      <c r="P92" t="s">
        <v>6</v>
      </c>
      <c r="Q92">
        <v>313</v>
      </c>
    </row>
    <row r="93" spans="1:17" x14ac:dyDescent="0.3">
      <c r="A93" s="1">
        <f>A91+20</f>
        <v>728720</v>
      </c>
      <c r="B93" s="1">
        <v>30.954999999999998</v>
      </c>
      <c r="C93" s="1">
        <f>B93-B91</f>
        <v>7.6999999999998181E-2</v>
      </c>
      <c r="D93" s="4">
        <f>D91+E93</f>
        <v>30.931755775503603</v>
      </c>
      <c r="E93" s="1">
        <f>O92</f>
        <v>6.3897763578274758E-2</v>
      </c>
      <c r="F93" s="4">
        <f t="shared" ref="F93:F94" si="16">B93-D93</f>
        <v>2.324422449639485E-2</v>
      </c>
      <c r="G93">
        <f>A91</f>
        <v>728700</v>
      </c>
      <c r="H93">
        <f>A108</f>
        <v>729020</v>
      </c>
      <c r="I93">
        <f>H93-G93</f>
        <v>320</v>
      </c>
      <c r="J93" s="5">
        <f>D91</f>
        <v>30.867858011925328</v>
      </c>
      <c r="K93">
        <f>B108</f>
        <v>31.888999999999999</v>
      </c>
      <c r="L93" s="5">
        <f>K93-J93</f>
        <v>1.021141988074671</v>
      </c>
      <c r="M93">
        <f>I93/L93</f>
        <v>313.37463715829495</v>
      </c>
      <c r="N93">
        <v>313</v>
      </c>
    </row>
    <row r="94" spans="1:17" x14ac:dyDescent="0.3">
      <c r="A94" s="1">
        <f t="shared" si="9"/>
        <v>728740</v>
      </c>
      <c r="B94" s="1">
        <v>31.018000000000001</v>
      </c>
      <c r="C94" s="1">
        <f t="shared" si="10"/>
        <v>6.3000000000002387E-2</v>
      </c>
      <c r="D94" s="4">
        <f>D93+E93</f>
        <v>30.995653539081879</v>
      </c>
      <c r="E94" s="1">
        <f t="shared" ref="E94" si="17">E93</f>
        <v>6.3897763578274758E-2</v>
      </c>
      <c r="F94" s="4">
        <f t="shared" si="16"/>
        <v>2.2346460918122091E-2</v>
      </c>
    </row>
    <row r="95" spans="1:17" x14ac:dyDescent="0.3">
      <c r="A95" s="1">
        <f t="shared" si="9"/>
        <v>728760</v>
      </c>
      <c r="B95" s="1">
        <v>31.071000000000002</v>
      </c>
      <c r="C95" s="1">
        <f t="shared" si="10"/>
        <v>5.3000000000000824E-2</v>
      </c>
      <c r="D95" s="4">
        <f t="shared" si="12"/>
        <v>31.059551302660154</v>
      </c>
      <c r="E95" s="1">
        <f t="shared" si="11"/>
        <v>6.3897763578274758E-2</v>
      </c>
      <c r="F95" s="4">
        <f t="shared" si="13"/>
        <v>1.1448697339847769E-2</v>
      </c>
    </row>
    <row r="96" spans="1:17" x14ac:dyDescent="0.3">
      <c r="A96" s="1">
        <f t="shared" si="9"/>
        <v>728780</v>
      </c>
      <c r="B96" s="1">
        <v>31.135000000000002</v>
      </c>
      <c r="C96" s="1">
        <f t="shared" si="10"/>
        <v>6.4000000000000057E-2</v>
      </c>
      <c r="D96" s="4">
        <f t="shared" si="12"/>
        <v>31.123449066238429</v>
      </c>
      <c r="E96" s="1">
        <f t="shared" si="11"/>
        <v>6.3897763578274758E-2</v>
      </c>
      <c r="F96" s="4">
        <f t="shared" si="13"/>
        <v>1.1550933761572679E-2</v>
      </c>
    </row>
    <row r="97" spans="1:17" x14ac:dyDescent="0.3">
      <c r="A97" s="1">
        <f t="shared" si="9"/>
        <v>728800</v>
      </c>
      <c r="B97" s="1">
        <v>31.181000000000001</v>
      </c>
      <c r="C97" s="1">
        <f t="shared" si="10"/>
        <v>4.5999999999999375E-2</v>
      </c>
      <c r="D97" s="4">
        <f t="shared" si="12"/>
        <v>31.187346829816704</v>
      </c>
      <c r="E97" s="1">
        <f t="shared" si="11"/>
        <v>6.3897763578274758E-2</v>
      </c>
      <c r="F97" s="4">
        <f t="shared" si="13"/>
        <v>-6.3468298167030923E-3</v>
      </c>
    </row>
    <row r="98" spans="1:17" x14ac:dyDescent="0.3">
      <c r="A98" s="1">
        <f t="shared" si="9"/>
        <v>728820</v>
      </c>
      <c r="B98" s="1">
        <v>31.181000000000001</v>
      </c>
      <c r="C98" s="1">
        <f t="shared" si="10"/>
        <v>0</v>
      </c>
      <c r="D98" s="4">
        <f t="shared" si="12"/>
        <v>31.251244593394979</v>
      </c>
      <c r="E98" s="1">
        <f t="shared" si="11"/>
        <v>6.3897763578274758E-2</v>
      </c>
      <c r="F98" s="4">
        <f t="shared" si="13"/>
        <v>-7.0244593394978239E-2</v>
      </c>
    </row>
    <row r="99" spans="1:17" x14ac:dyDescent="0.3">
      <c r="A99" s="1">
        <f t="shared" si="9"/>
        <v>728840</v>
      </c>
      <c r="B99" s="1">
        <v>31.138999999999999</v>
      </c>
      <c r="C99" s="1">
        <f t="shared" si="10"/>
        <v>-4.2000000000001592E-2</v>
      </c>
      <c r="D99" s="4">
        <f t="shared" si="12"/>
        <v>31.315142356973254</v>
      </c>
      <c r="E99" s="1">
        <f t="shared" si="11"/>
        <v>6.3897763578274758E-2</v>
      </c>
      <c r="F99" s="4">
        <f t="shared" si="13"/>
        <v>-0.17614235697325498</v>
      </c>
    </row>
    <row r="100" spans="1:17" x14ac:dyDescent="0.3">
      <c r="A100" s="1">
        <f t="shared" si="9"/>
        <v>728860</v>
      </c>
      <c r="B100" s="1">
        <v>31.116</v>
      </c>
      <c r="C100" s="1">
        <f t="shared" si="10"/>
        <v>-2.2999999999999687E-2</v>
      </c>
      <c r="D100" s="4">
        <f t="shared" si="12"/>
        <v>31.379040120551529</v>
      </c>
      <c r="E100" s="1">
        <f t="shared" si="11"/>
        <v>6.3897763578274758E-2</v>
      </c>
      <c r="F100" s="4">
        <f t="shared" si="13"/>
        <v>-0.26304012055152981</v>
      </c>
    </row>
    <row r="101" spans="1:17" x14ac:dyDescent="0.3">
      <c r="A101" s="1">
        <f t="shared" si="9"/>
        <v>728880</v>
      </c>
      <c r="B101" s="1">
        <v>31.137</v>
      </c>
      <c r="C101" s="1">
        <f t="shared" si="10"/>
        <v>2.1000000000000796E-2</v>
      </c>
      <c r="D101" s="4">
        <f t="shared" si="12"/>
        <v>31.442937884129805</v>
      </c>
      <c r="E101" s="1">
        <f t="shared" si="11"/>
        <v>6.3897763578274758E-2</v>
      </c>
      <c r="F101" s="4">
        <f t="shared" si="13"/>
        <v>-0.30593788412980416</v>
      </c>
    </row>
    <row r="102" spans="1:17" x14ac:dyDescent="0.3">
      <c r="A102" s="1">
        <f t="shared" si="9"/>
        <v>728900</v>
      </c>
      <c r="B102" s="1">
        <v>31.202999999999999</v>
      </c>
      <c r="C102" s="1">
        <f t="shared" si="10"/>
        <v>6.5999999999998948E-2</v>
      </c>
      <c r="D102" s="4">
        <f t="shared" si="12"/>
        <v>31.50683564770808</v>
      </c>
      <c r="E102" s="1">
        <f t="shared" si="11"/>
        <v>6.3897763578274758E-2</v>
      </c>
      <c r="F102" s="4">
        <f t="shared" si="13"/>
        <v>-0.30383564770808036</v>
      </c>
    </row>
    <row r="103" spans="1:17" x14ac:dyDescent="0.3">
      <c r="A103" s="1">
        <f t="shared" si="9"/>
        <v>728920</v>
      </c>
      <c r="B103" s="1">
        <v>31.312000000000001</v>
      </c>
      <c r="C103" s="1">
        <f t="shared" si="10"/>
        <v>0.10900000000000176</v>
      </c>
      <c r="D103" s="4">
        <f t="shared" si="12"/>
        <v>31.570733411286355</v>
      </c>
      <c r="E103" s="1">
        <f t="shared" si="11"/>
        <v>6.3897763578274758E-2</v>
      </c>
      <c r="F103" s="4">
        <f t="shared" si="13"/>
        <v>-0.25873341128635374</v>
      </c>
    </row>
    <row r="104" spans="1:17" x14ac:dyDescent="0.3">
      <c r="A104" s="1">
        <f t="shared" si="9"/>
        <v>728940</v>
      </c>
      <c r="B104" s="1">
        <v>31.452999999999999</v>
      </c>
      <c r="C104" s="1">
        <f t="shared" si="10"/>
        <v>0.14099999999999824</v>
      </c>
      <c r="D104" s="4">
        <f t="shared" si="12"/>
        <v>31.63463117486463</v>
      </c>
      <c r="E104" s="1">
        <f t="shared" si="11"/>
        <v>6.3897763578274758E-2</v>
      </c>
      <c r="F104" s="4">
        <f t="shared" si="13"/>
        <v>-0.18163117486463065</v>
      </c>
    </row>
    <row r="105" spans="1:17" x14ac:dyDescent="0.3">
      <c r="A105" s="1">
        <f t="shared" si="9"/>
        <v>728960</v>
      </c>
      <c r="B105" s="1">
        <v>31.585000000000001</v>
      </c>
      <c r="C105" s="1">
        <f t="shared" si="10"/>
        <v>0.13200000000000145</v>
      </c>
      <c r="D105" s="4">
        <f t="shared" si="12"/>
        <v>31.698528938442905</v>
      </c>
      <c r="E105" s="1">
        <f t="shared" si="11"/>
        <v>6.3897763578274758E-2</v>
      </c>
      <c r="F105" s="4">
        <f t="shared" si="13"/>
        <v>-0.11352893844290435</v>
      </c>
    </row>
    <row r="106" spans="1:17" x14ac:dyDescent="0.3">
      <c r="A106" s="1">
        <f t="shared" si="9"/>
        <v>728980</v>
      </c>
      <c r="B106" s="1">
        <v>31.693000000000001</v>
      </c>
      <c r="C106" s="1">
        <f t="shared" si="10"/>
        <v>0.10800000000000054</v>
      </c>
      <c r="D106" s="4">
        <f t="shared" si="12"/>
        <v>31.76242670202118</v>
      </c>
      <c r="E106" s="1">
        <f t="shared" si="11"/>
        <v>6.3897763578274758E-2</v>
      </c>
      <c r="F106" s="4">
        <f t="shared" si="13"/>
        <v>-6.9426702021178954E-2</v>
      </c>
    </row>
    <row r="107" spans="1:17" x14ac:dyDescent="0.3">
      <c r="A107" s="1">
        <f t="shared" si="9"/>
        <v>729000</v>
      </c>
      <c r="B107" s="1">
        <v>31.808</v>
      </c>
      <c r="C107" s="1">
        <f t="shared" si="10"/>
        <v>0.11499999999999844</v>
      </c>
      <c r="D107" s="4">
        <f t="shared" si="12"/>
        <v>31.826324465599455</v>
      </c>
      <c r="E107" s="1">
        <f t="shared" si="11"/>
        <v>6.3897763578274758E-2</v>
      </c>
      <c r="F107" s="4">
        <f t="shared" si="13"/>
        <v>-1.8324465599455664E-2</v>
      </c>
    </row>
    <row r="108" spans="1:17" x14ac:dyDescent="0.3">
      <c r="A108" s="1">
        <f t="shared" si="9"/>
        <v>729020</v>
      </c>
      <c r="B108" s="1">
        <v>31.888999999999999</v>
      </c>
      <c r="C108" s="1">
        <f t="shared" si="10"/>
        <v>8.0999999999999517E-2</v>
      </c>
      <c r="D108" s="4">
        <f t="shared" si="12"/>
        <v>31.890222229177731</v>
      </c>
      <c r="E108" s="1">
        <f t="shared" si="11"/>
        <v>6.3897763578274758E-2</v>
      </c>
      <c r="F108" s="4">
        <f t="shared" si="13"/>
        <v>-1.2222291777312932E-3</v>
      </c>
    </row>
    <row r="109" spans="1:17" x14ac:dyDescent="0.3">
      <c r="A109" s="1"/>
      <c r="B109" s="1"/>
      <c r="C109" s="1"/>
      <c r="D109" s="1"/>
      <c r="E109" s="1"/>
      <c r="F109" s="1"/>
      <c r="G109" s="3" t="s">
        <v>12</v>
      </c>
      <c r="I109" s="3"/>
      <c r="N109">
        <f>1/N110</f>
        <v>6.1349693251533744E-3</v>
      </c>
      <c r="O109">
        <f>N109*20</f>
        <v>0.12269938650306748</v>
      </c>
      <c r="P109" t="s">
        <v>6</v>
      </c>
      <c r="Q109">
        <v>163</v>
      </c>
    </row>
    <row r="110" spans="1:17" x14ac:dyDescent="0.3">
      <c r="A110" s="1">
        <f>A108+20</f>
        <v>729040</v>
      </c>
      <c r="B110" s="1">
        <v>32.006</v>
      </c>
      <c r="C110" s="1">
        <f>B110-B108</f>
        <v>0.11700000000000088</v>
      </c>
      <c r="D110" s="4">
        <f>D108+E110</f>
        <v>32.012921615680796</v>
      </c>
      <c r="E110" s="1">
        <f>O109</f>
        <v>0.12269938650306748</v>
      </c>
      <c r="F110" s="4">
        <f t="shared" ref="F110:F111" si="18">B110-D110</f>
        <v>-6.9216156807954121E-3</v>
      </c>
      <c r="G110">
        <f>A108</f>
        <v>729020</v>
      </c>
      <c r="H110">
        <f>A121</f>
        <v>729260</v>
      </c>
      <c r="I110">
        <f>H110-G110</f>
        <v>240</v>
      </c>
      <c r="J110" s="5">
        <f>D108</f>
        <v>31.890222229177731</v>
      </c>
      <c r="K110">
        <f>B121</f>
        <v>33.363</v>
      </c>
      <c r="L110" s="5">
        <f>K110-J110</f>
        <v>1.4727777708222689</v>
      </c>
      <c r="M110">
        <f>I110/L110</f>
        <v>162.95737534523298</v>
      </c>
      <c r="N110">
        <v>163</v>
      </c>
    </row>
    <row r="111" spans="1:17" x14ac:dyDescent="0.3">
      <c r="A111" s="1">
        <f t="shared" si="9"/>
        <v>729060</v>
      </c>
      <c r="B111" s="1">
        <v>32.180999999999997</v>
      </c>
      <c r="C111" s="1">
        <f t="shared" si="10"/>
        <v>0.17499999999999716</v>
      </c>
      <c r="D111" s="4">
        <f>D110+E110</f>
        <v>32.135621002183861</v>
      </c>
      <c r="E111" s="1">
        <f t="shared" ref="E111" si="19">E110</f>
        <v>0.12269938650306748</v>
      </c>
      <c r="F111" s="4">
        <f t="shared" si="18"/>
        <v>4.5378997816136746E-2</v>
      </c>
    </row>
    <row r="112" spans="1:17" x14ac:dyDescent="0.3">
      <c r="A112" s="1">
        <f t="shared" si="9"/>
        <v>729080</v>
      </c>
      <c r="B112" s="1">
        <v>32.32</v>
      </c>
      <c r="C112" s="1">
        <f t="shared" si="10"/>
        <v>0.1390000000000029</v>
      </c>
      <c r="D112" s="4">
        <f t="shared" si="12"/>
        <v>32.258320388686926</v>
      </c>
      <c r="E112" s="1">
        <f t="shared" si="11"/>
        <v>0.12269938650306748</v>
      </c>
      <c r="F112" s="4">
        <f t="shared" si="13"/>
        <v>6.1679611313074645E-2</v>
      </c>
    </row>
    <row r="113" spans="1:17" x14ac:dyDescent="0.3">
      <c r="A113" s="1">
        <f t="shared" si="9"/>
        <v>729100</v>
      </c>
      <c r="B113" s="1">
        <v>32.481000000000002</v>
      </c>
      <c r="C113" s="1">
        <f t="shared" si="10"/>
        <v>0.16100000000000136</v>
      </c>
      <c r="D113" s="4">
        <f t="shared" si="12"/>
        <v>32.381019775189991</v>
      </c>
      <c r="E113" s="1">
        <f t="shared" si="11"/>
        <v>0.12269938650306748</v>
      </c>
      <c r="F113" s="4">
        <f t="shared" si="13"/>
        <v>9.9980224810011009E-2</v>
      </c>
    </row>
    <row r="114" spans="1:17" x14ac:dyDescent="0.3">
      <c r="A114" s="1">
        <f t="shared" si="9"/>
        <v>729120</v>
      </c>
      <c r="B114" s="1">
        <v>32.654000000000003</v>
      </c>
      <c r="C114" s="1">
        <f t="shared" si="10"/>
        <v>0.17300000000000182</v>
      </c>
      <c r="D114" s="4">
        <f t="shared" si="12"/>
        <v>32.503719161693056</v>
      </c>
      <c r="E114" s="1">
        <f t="shared" si="11"/>
        <v>0.12269938650306748</v>
      </c>
      <c r="F114" s="4">
        <f t="shared" si="13"/>
        <v>0.15028083830694783</v>
      </c>
    </row>
    <row r="115" spans="1:17" x14ac:dyDescent="0.3">
      <c r="A115" s="1">
        <f t="shared" si="9"/>
        <v>729140</v>
      </c>
      <c r="B115" s="1">
        <v>32.801000000000002</v>
      </c>
      <c r="C115" s="1">
        <f t="shared" si="10"/>
        <v>0.14699999999999847</v>
      </c>
      <c r="D115" s="4">
        <f t="shared" si="12"/>
        <v>32.626418548196121</v>
      </c>
      <c r="E115" s="1">
        <f t="shared" si="11"/>
        <v>0.12269938650306748</v>
      </c>
      <c r="F115" s="4">
        <f t="shared" si="13"/>
        <v>0.17458145180388129</v>
      </c>
    </row>
    <row r="116" spans="1:17" x14ac:dyDescent="0.3">
      <c r="A116" s="1">
        <f t="shared" si="9"/>
        <v>729160</v>
      </c>
      <c r="B116" s="1">
        <v>32.950000000000003</v>
      </c>
      <c r="C116" s="1">
        <f t="shared" si="10"/>
        <v>0.14900000000000091</v>
      </c>
      <c r="D116" s="4">
        <f t="shared" si="12"/>
        <v>32.749117934699186</v>
      </c>
      <c r="E116" s="1">
        <f t="shared" si="11"/>
        <v>0.12269938650306748</v>
      </c>
      <c r="F116" s="4">
        <f t="shared" si="13"/>
        <v>0.2008820653008172</v>
      </c>
    </row>
    <row r="117" spans="1:17" x14ac:dyDescent="0.3">
      <c r="A117" s="1">
        <f t="shared" si="9"/>
        <v>729180</v>
      </c>
      <c r="B117" s="1">
        <v>33.076000000000001</v>
      </c>
      <c r="C117" s="1">
        <f t="shared" si="10"/>
        <v>0.12599999999999767</v>
      </c>
      <c r="D117" s="4">
        <f t="shared" si="12"/>
        <v>32.871817321202251</v>
      </c>
      <c r="E117" s="1">
        <f t="shared" si="11"/>
        <v>0.12269938650306748</v>
      </c>
      <c r="F117" s="4">
        <f t="shared" si="13"/>
        <v>0.20418267879774987</v>
      </c>
    </row>
    <row r="118" spans="1:17" x14ac:dyDescent="0.3">
      <c r="A118" s="1">
        <f t="shared" si="9"/>
        <v>729200</v>
      </c>
      <c r="B118" s="1">
        <v>33.192</v>
      </c>
      <c r="C118" s="1">
        <f t="shared" si="10"/>
        <v>0.11599999999999966</v>
      </c>
      <c r="D118" s="4">
        <f t="shared" si="12"/>
        <v>32.994516707705316</v>
      </c>
      <c r="E118" s="1">
        <f t="shared" si="11"/>
        <v>0.12269938650306748</v>
      </c>
      <c r="F118" s="4">
        <f t="shared" si="13"/>
        <v>0.19748329229468453</v>
      </c>
    </row>
    <row r="119" spans="1:17" x14ac:dyDescent="0.3">
      <c r="A119" s="1">
        <f t="shared" si="9"/>
        <v>729220</v>
      </c>
      <c r="B119" s="1">
        <v>33.295999999999999</v>
      </c>
      <c r="C119" s="1">
        <f t="shared" si="10"/>
        <v>0.1039999999999992</v>
      </c>
      <c r="D119" s="4">
        <f t="shared" si="12"/>
        <v>33.117216094208381</v>
      </c>
      <c r="E119" s="1">
        <f t="shared" si="11"/>
        <v>0.12269938650306748</v>
      </c>
      <c r="F119" s="4">
        <f t="shared" si="13"/>
        <v>0.17878390579161874</v>
      </c>
    </row>
    <row r="120" spans="1:17" x14ac:dyDescent="0.3">
      <c r="A120" s="1">
        <f t="shared" si="9"/>
        <v>729240</v>
      </c>
      <c r="B120" s="1">
        <v>33.338000000000001</v>
      </c>
      <c r="C120" s="1">
        <f t="shared" si="10"/>
        <v>4.2000000000001592E-2</v>
      </c>
      <c r="D120" s="4">
        <f t="shared" si="12"/>
        <v>33.239915480711446</v>
      </c>
      <c r="E120" s="1">
        <f t="shared" si="11"/>
        <v>0.12269938650306748</v>
      </c>
      <c r="F120" s="4">
        <f t="shared" si="13"/>
        <v>9.8084519288555327E-2</v>
      </c>
    </row>
    <row r="121" spans="1:17" x14ac:dyDescent="0.3">
      <c r="A121" s="1">
        <f t="shared" si="9"/>
        <v>729260</v>
      </c>
      <c r="B121" s="1">
        <v>33.363</v>
      </c>
      <c r="C121" s="1">
        <f t="shared" si="10"/>
        <v>2.4999999999998579E-2</v>
      </c>
      <c r="D121" s="4">
        <f t="shared" si="12"/>
        <v>33.362614867214511</v>
      </c>
      <c r="E121" s="1">
        <f t="shared" si="11"/>
        <v>0.12269938650306748</v>
      </c>
      <c r="F121" s="4">
        <f t="shared" si="13"/>
        <v>3.8513278548890639E-4</v>
      </c>
    </row>
    <row r="122" spans="1:17" x14ac:dyDescent="0.3">
      <c r="A122" s="1"/>
      <c r="B122" s="1"/>
      <c r="C122" s="1"/>
      <c r="D122" s="1"/>
      <c r="E122" s="1"/>
      <c r="F122" s="1"/>
      <c r="G122" s="3" t="s">
        <v>13</v>
      </c>
      <c r="I122" s="3"/>
      <c r="N122">
        <f>1/N123</f>
        <v>2.8058361391694727E-4</v>
      </c>
      <c r="O122">
        <f>N122*20</f>
        <v>5.6116722783389455E-3</v>
      </c>
      <c r="P122" t="s">
        <v>6</v>
      </c>
      <c r="Q122">
        <v>3564</v>
      </c>
    </row>
    <row r="123" spans="1:17" x14ac:dyDescent="0.3">
      <c r="A123" s="1">
        <f>A121+20</f>
        <v>729280</v>
      </c>
      <c r="B123" s="1">
        <v>33.402000000000001</v>
      </c>
      <c r="C123" s="1">
        <f>B123-B121</f>
        <v>3.9000000000001478E-2</v>
      </c>
      <c r="D123" s="4">
        <f>D121+E123</f>
        <v>33.368226539492852</v>
      </c>
      <c r="E123" s="1">
        <f>O122</f>
        <v>5.6116722783389455E-3</v>
      </c>
      <c r="F123" s="4">
        <f t="shared" ref="F123:F124" si="20">B123-D123</f>
        <v>3.3773460507148911E-2</v>
      </c>
      <c r="G123">
        <f>A121</f>
        <v>729260</v>
      </c>
      <c r="H123">
        <f>A139</f>
        <v>729600</v>
      </c>
      <c r="I123">
        <f>H123-G123</f>
        <v>340</v>
      </c>
      <c r="J123" s="5">
        <f>D121</f>
        <v>33.362614867214511</v>
      </c>
      <c r="K123">
        <f>B139</f>
        <v>33.457999999999998</v>
      </c>
      <c r="L123" s="5">
        <f>K123-J123</f>
        <v>9.538513278548777E-2</v>
      </c>
      <c r="M123">
        <f>I123/L123</f>
        <v>3564.4967939042258</v>
      </c>
      <c r="N123">
        <v>3564</v>
      </c>
    </row>
    <row r="124" spans="1:17" x14ac:dyDescent="0.3">
      <c r="A124" s="1">
        <f t="shared" si="9"/>
        <v>729300</v>
      </c>
      <c r="B124" s="1">
        <v>33.393000000000001</v>
      </c>
      <c r="C124" s="1">
        <f t="shared" si="10"/>
        <v>-9.0000000000003411E-3</v>
      </c>
      <c r="D124" s="4">
        <f>D123+E123</f>
        <v>33.373838211771194</v>
      </c>
      <c r="E124" s="1">
        <f t="shared" ref="E124" si="21">E123</f>
        <v>5.6116722783389455E-3</v>
      </c>
      <c r="F124" s="4">
        <f t="shared" si="20"/>
        <v>1.9161788228807097E-2</v>
      </c>
    </row>
    <row r="125" spans="1:17" x14ac:dyDescent="0.3">
      <c r="A125" s="1">
        <f t="shared" si="9"/>
        <v>729320</v>
      </c>
      <c r="B125" s="1">
        <v>33.365000000000002</v>
      </c>
      <c r="C125" s="1">
        <f t="shared" si="10"/>
        <v>-2.7999999999998693E-2</v>
      </c>
      <c r="D125" s="4">
        <f t="shared" si="12"/>
        <v>33.379449884049535</v>
      </c>
      <c r="E125" s="1">
        <f t="shared" si="11"/>
        <v>5.6116722783389455E-3</v>
      </c>
      <c r="F125" s="4">
        <f t="shared" si="13"/>
        <v>-1.4449884049533068E-2</v>
      </c>
    </row>
    <row r="126" spans="1:17" x14ac:dyDescent="0.3">
      <c r="A126" s="1">
        <f t="shared" si="9"/>
        <v>729340</v>
      </c>
      <c r="B126" s="1">
        <v>33.314999999999998</v>
      </c>
      <c r="C126" s="1">
        <f t="shared" si="10"/>
        <v>-5.0000000000004263E-2</v>
      </c>
      <c r="D126" s="4">
        <f t="shared" si="12"/>
        <v>33.385061556327877</v>
      </c>
      <c r="E126" s="1">
        <f t="shared" si="11"/>
        <v>5.6116722783389455E-3</v>
      </c>
      <c r="F126" s="4">
        <f t="shared" si="13"/>
        <v>-7.0061556327878804E-2</v>
      </c>
    </row>
    <row r="127" spans="1:17" x14ac:dyDescent="0.3">
      <c r="A127" s="1">
        <f t="shared" si="9"/>
        <v>729360</v>
      </c>
      <c r="B127" s="1">
        <v>33.271000000000001</v>
      </c>
      <c r="C127" s="1">
        <f t="shared" si="10"/>
        <v>-4.399999999999693E-2</v>
      </c>
      <c r="D127" s="4">
        <f t="shared" si="12"/>
        <v>33.390673228606218</v>
      </c>
      <c r="E127" s="1">
        <f t="shared" si="11"/>
        <v>5.6116722783389455E-3</v>
      </c>
      <c r="F127" s="4">
        <f t="shared" si="13"/>
        <v>-0.11967322860621721</v>
      </c>
    </row>
    <row r="128" spans="1:17" x14ac:dyDescent="0.3">
      <c r="A128" s="1">
        <f t="shared" si="9"/>
        <v>729380</v>
      </c>
      <c r="B128" s="1">
        <v>33.264000000000003</v>
      </c>
      <c r="C128" s="1">
        <f t="shared" si="10"/>
        <v>-6.9999999999978968E-3</v>
      </c>
      <c r="D128" s="4">
        <f t="shared" si="12"/>
        <v>33.396284900884559</v>
      </c>
      <c r="E128" s="1">
        <f t="shared" si="11"/>
        <v>5.6116722783389455E-3</v>
      </c>
      <c r="F128" s="4">
        <f t="shared" si="13"/>
        <v>-0.13228490088455658</v>
      </c>
    </row>
    <row r="129" spans="1:17" x14ac:dyDescent="0.3">
      <c r="A129" s="1">
        <f t="shared" si="9"/>
        <v>729400</v>
      </c>
      <c r="B129" s="1">
        <v>33.31</v>
      </c>
      <c r="C129" s="1">
        <f t="shared" si="10"/>
        <v>4.5999999999999375E-2</v>
      </c>
      <c r="D129" s="4">
        <f t="shared" si="12"/>
        <v>33.401896573162901</v>
      </c>
      <c r="E129" s="1">
        <f t="shared" si="11"/>
        <v>5.6116722783389455E-3</v>
      </c>
      <c r="F129" s="4">
        <f t="shared" si="13"/>
        <v>-9.1896573162898676E-2</v>
      </c>
    </row>
    <row r="130" spans="1:17" x14ac:dyDescent="0.3">
      <c r="A130" s="1">
        <f t="shared" si="9"/>
        <v>729420</v>
      </c>
      <c r="B130" s="1">
        <v>33.369</v>
      </c>
      <c r="C130" s="1">
        <f t="shared" si="10"/>
        <v>5.8999999999997499E-2</v>
      </c>
      <c r="D130" s="4">
        <f t="shared" si="12"/>
        <v>33.407508245441242</v>
      </c>
      <c r="E130" s="1">
        <f t="shared" si="11"/>
        <v>5.6116722783389455E-3</v>
      </c>
      <c r="F130" s="4">
        <f t="shared" si="13"/>
        <v>-3.850824544124265E-2</v>
      </c>
    </row>
    <row r="131" spans="1:17" x14ac:dyDescent="0.3">
      <c r="A131" s="1">
        <f t="shared" si="9"/>
        <v>729440</v>
      </c>
      <c r="B131" s="1">
        <v>33.396999999999998</v>
      </c>
      <c r="C131" s="1">
        <f t="shared" si="10"/>
        <v>2.7999999999998693E-2</v>
      </c>
      <c r="D131" s="4">
        <f t="shared" si="12"/>
        <v>33.413119917719584</v>
      </c>
      <c r="E131" s="1">
        <f t="shared" si="11"/>
        <v>5.6116722783389455E-3</v>
      </c>
      <c r="F131" s="4">
        <f t="shared" si="13"/>
        <v>-1.611991771958543E-2</v>
      </c>
    </row>
    <row r="132" spans="1:17" x14ac:dyDescent="0.3">
      <c r="A132" s="1">
        <f t="shared" si="9"/>
        <v>729460</v>
      </c>
      <c r="B132" s="1">
        <v>33.380000000000003</v>
      </c>
      <c r="C132" s="1">
        <f t="shared" si="10"/>
        <v>-1.6999999999995907E-2</v>
      </c>
      <c r="D132" s="4">
        <f t="shared" si="12"/>
        <v>33.418731589997925</v>
      </c>
      <c r="E132" s="1">
        <f t="shared" si="11"/>
        <v>5.6116722783389455E-3</v>
      </c>
      <c r="F132" s="4">
        <f t="shared" si="13"/>
        <v>-3.8731589997922811E-2</v>
      </c>
    </row>
    <row r="133" spans="1:17" x14ac:dyDescent="0.3">
      <c r="A133" s="1">
        <f t="shared" si="9"/>
        <v>729480</v>
      </c>
      <c r="B133" s="1">
        <v>33.369</v>
      </c>
      <c r="C133" s="1">
        <f t="shared" si="10"/>
        <v>-1.1000000000002785E-2</v>
      </c>
      <c r="D133" s="4">
        <f t="shared" si="12"/>
        <v>33.424343262276267</v>
      </c>
      <c r="E133" s="1">
        <f t="shared" si="11"/>
        <v>5.6116722783389455E-3</v>
      </c>
      <c r="F133" s="4">
        <f t="shared" si="13"/>
        <v>-5.5343262276267069E-2</v>
      </c>
    </row>
    <row r="134" spans="1:17" x14ac:dyDescent="0.3">
      <c r="A134" s="1">
        <f t="shared" si="9"/>
        <v>729500</v>
      </c>
      <c r="B134" s="1">
        <v>33.357999999999997</v>
      </c>
      <c r="C134" s="1">
        <f t="shared" si="10"/>
        <v>-1.1000000000002785E-2</v>
      </c>
      <c r="D134" s="4">
        <f t="shared" si="12"/>
        <v>33.429954934554608</v>
      </c>
      <c r="E134" s="1">
        <f t="shared" si="11"/>
        <v>5.6116722783389455E-3</v>
      </c>
      <c r="F134" s="4">
        <f t="shared" si="13"/>
        <v>-7.1954934554611327E-2</v>
      </c>
    </row>
    <row r="135" spans="1:17" x14ac:dyDescent="0.3">
      <c r="A135" s="1">
        <f t="shared" si="9"/>
        <v>729520</v>
      </c>
      <c r="B135" s="1">
        <v>33.354999999999997</v>
      </c>
      <c r="C135" s="1">
        <f t="shared" si="10"/>
        <v>-3.0000000000001137E-3</v>
      </c>
      <c r="D135" s="4">
        <f t="shared" si="12"/>
        <v>33.43556660683295</v>
      </c>
      <c r="E135" s="1">
        <f t="shared" si="11"/>
        <v>5.6116722783389455E-3</v>
      </c>
      <c r="F135" s="4">
        <f t="shared" si="13"/>
        <v>-8.0566606832952914E-2</v>
      </c>
    </row>
    <row r="136" spans="1:17" x14ac:dyDescent="0.3">
      <c r="A136" s="1">
        <f t="shared" si="9"/>
        <v>729540</v>
      </c>
      <c r="B136" s="1">
        <v>33.338999999999999</v>
      </c>
      <c r="C136" s="1">
        <f t="shared" si="10"/>
        <v>-1.5999999999998238E-2</v>
      </c>
      <c r="D136" s="4">
        <f t="shared" si="12"/>
        <v>33.441178279111291</v>
      </c>
      <c r="E136" s="1">
        <f t="shared" si="11"/>
        <v>5.6116722783389455E-3</v>
      </c>
      <c r="F136" s="4">
        <f t="shared" si="13"/>
        <v>-0.10217827911129262</v>
      </c>
    </row>
    <row r="137" spans="1:17" x14ac:dyDescent="0.3">
      <c r="A137" s="1">
        <f t="shared" si="9"/>
        <v>729560</v>
      </c>
      <c r="B137" s="1">
        <v>33.356999999999999</v>
      </c>
      <c r="C137" s="1">
        <f t="shared" si="10"/>
        <v>1.8000000000000682E-2</v>
      </c>
      <c r="D137" s="4">
        <f t="shared" si="12"/>
        <v>33.446789951389633</v>
      </c>
      <c r="E137" s="1">
        <f t="shared" si="11"/>
        <v>5.6116722783389455E-3</v>
      </c>
      <c r="F137" s="4">
        <f t="shared" si="13"/>
        <v>-8.9789951389633416E-2</v>
      </c>
    </row>
    <row r="138" spans="1:17" x14ac:dyDescent="0.3">
      <c r="A138" s="1">
        <f t="shared" si="9"/>
        <v>729580</v>
      </c>
      <c r="B138" s="1">
        <v>33.390999999999998</v>
      </c>
      <c r="C138" s="1">
        <f t="shared" si="10"/>
        <v>3.399999999999892E-2</v>
      </c>
      <c r="D138" s="4">
        <f t="shared" si="12"/>
        <v>33.452401623667974</v>
      </c>
      <c r="E138" s="1">
        <f t="shared" si="11"/>
        <v>5.6116722783389455E-3</v>
      </c>
      <c r="F138" s="4">
        <f t="shared" si="13"/>
        <v>-6.1401623667975969E-2</v>
      </c>
    </row>
    <row r="139" spans="1:17" x14ac:dyDescent="0.3">
      <c r="A139" s="1">
        <f t="shared" ref="A139:A207" si="22">A138+20</f>
        <v>729600</v>
      </c>
      <c r="B139" s="1">
        <v>33.457999999999998</v>
      </c>
      <c r="C139" s="1">
        <f t="shared" ref="C139:C207" si="23">B139-B138</f>
        <v>6.7000000000000171E-2</v>
      </c>
      <c r="D139" s="4">
        <f t="shared" si="12"/>
        <v>33.458013295946316</v>
      </c>
      <c r="E139" s="1">
        <f t="shared" ref="E139:E207" si="24">E138</f>
        <v>5.6116722783389455E-3</v>
      </c>
      <c r="F139" s="4">
        <f t="shared" si="13"/>
        <v>-1.3295946317271046E-5</v>
      </c>
    </row>
    <row r="140" spans="1:17" x14ac:dyDescent="0.3">
      <c r="A140" s="1"/>
      <c r="B140" s="1"/>
      <c r="C140" s="1"/>
      <c r="D140" s="1"/>
      <c r="E140" s="1"/>
      <c r="F140" s="1"/>
      <c r="G140" s="3" t="s">
        <v>14</v>
      </c>
      <c r="I140" s="3"/>
      <c r="N140">
        <f>1/N141</f>
        <v>7.8125E-3</v>
      </c>
      <c r="O140">
        <f>N140*20</f>
        <v>0.15625</v>
      </c>
      <c r="P140" t="s">
        <v>6</v>
      </c>
      <c r="Q140">
        <v>128</v>
      </c>
    </row>
    <row r="141" spans="1:17" x14ac:dyDescent="0.3">
      <c r="A141" s="1">
        <f>A139+20</f>
        <v>729620</v>
      </c>
      <c r="B141" s="1">
        <v>33.558999999999997</v>
      </c>
      <c r="C141" s="1">
        <f>B141-B139</f>
        <v>0.10099999999999909</v>
      </c>
      <c r="D141" s="4">
        <f>D139+E141</f>
        <v>33.614263295946316</v>
      </c>
      <c r="E141" s="1">
        <f>O140</f>
        <v>0.15625</v>
      </c>
      <c r="F141" s="4">
        <f t="shared" ref="F141:F142" si="25">B141-D141</f>
        <v>-5.5263295946318181E-2</v>
      </c>
      <c r="G141">
        <f>A139</f>
        <v>729600</v>
      </c>
      <c r="H141">
        <f>A153</f>
        <v>729860</v>
      </c>
      <c r="I141">
        <f>H141-G141</f>
        <v>260</v>
      </c>
      <c r="J141" s="5">
        <f>D139</f>
        <v>33.458013295946316</v>
      </c>
      <c r="K141">
        <f>B153</f>
        <v>35.487000000000002</v>
      </c>
      <c r="L141" s="5">
        <f>K141-J141</f>
        <v>2.0289867040536862</v>
      </c>
      <c r="M141">
        <f>I141/L141</f>
        <v>128.14278155719273</v>
      </c>
      <c r="N141">
        <v>128</v>
      </c>
    </row>
    <row r="142" spans="1:17" x14ac:dyDescent="0.3">
      <c r="A142" s="1">
        <f t="shared" si="22"/>
        <v>729640</v>
      </c>
      <c r="B142" s="1">
        <v>33.686</v>
      </c>
      <c r="C142" s="1">
        <f t="shared" si="23"/>
        <v>0.12700000000000244</v>
      </c>
      <c r="D142" s="4">
        <f>D141+E141</f>
        <v>33.770513295946316</v>
      </c>
      <c r="E142" s="1">
        <f t="shared" ref="E142" si="26">E141</f>
        <v>0.15625</v>
      </c>
      <c r="F142" s="4">
        <f t="shared" si="25"/>
        <v>-8.4513295946315736E-2</v>
      </c>
    </row>
    <row r="143" spans="1:17" x14ac:dyDescent="0.3">
      <c r="A143" s="1">
        <f t="shared" si="22"/>
        <v>729660</v>
      </c>
      <c r="B143" s="1">
        <v>33.805999999999997</v>
      </c>
      <c r="C143" s="1">
        <f t="shared" si="23"/>
        <v>0.11999999999999744</v>
      </c>
      <c r="D143" s="4">
        <f t="shared" ref="D143:D167" si="27">D142+E142</f>
        <v>33.926763295946316</v>
      </c>
      <c r="E143" s="1">
        <f t="shared" si="24"/>
        <v>0.15625</v>
      </c>
      <c r="F143" s="4">
        <f t="shared" ref="F143:F209" si="28">B143-D143</f>
        <v>-0.12076329594631829</v>
      </c>
    </row>
    <row r="144" spans="1:17" x14ac:dyDescent="0.3">
      <c r="A144" s="1">
        <f t="shared" si="22"/>
        <v>729680</v>
      </c>
      <c r="B144" s="1">
        <v>33.926000000000002</v>
      </c>
      <c r="C144" s="1">
        <f t="shared" si="23"/>
        <v>0.12000000000000455</v>
      </c>
      <c r="D144" s="4">
        <f t="shared" si="27"/>
        <v>34.083013295946316</v>
      </c>
      <c r="E144" s="1">
        <f t="shared" si="24"/>
        <v>0.15625</v>
      </c>
      <c r="F144" s="4">
        <f t="shared" si="28"/>
        <v>-0.15701329594631375</v>
      </c>
    </row>
    <row r="145" spans="1:17" x14ac:dyDescent="0.3">
      <c r="A145" s="1">
        <f t="shared" si="22"/>
        <v>729700</v>
      </c>
      <c r="B145" s="1">
        <v>34.033999999999999</v>
      </c>
      <c r="C145" s="1">
        <f t="shared" si="23"/>
        <v>0.10799999999999699</v>
      </c>
      <c r="D145" s="4">
        <f t="shared" si="27"/>
        <v>34.239263295946316</v>
      </c>
      <c r="E145" s="1">
        <f t="shared" si="24"/>
        <v>0.15625</v>
      </c>
      <c r="F145" s="4">
        <f t="shared" si="28"/>
        <v>-0.20526329594631676</v>
      </c>
    </row>
    <row r="146" spans="1:17" x14ac:dyDescent="0.3">
      <c r="A146" s="1">
        <f t="shared" si="22"/>
        <v>729720</v>
      </c>
      <c r="B146" s="1">
        <v>34.173999999999999</v>
      </c>
      <c r="C146" s="1">
        <f t="shared" si="23"/>
        <v>0.14000000000000057</v>
      </c>
      <c r="D146" s="4">
        <f t="shared" si="27"/>
        <v>34.395513295946316</v>
      </c>
      <c r="E146" s="1">
        <f t="shared" si="24"/>
        <v>0.15625</v>
      </c>
      <c r="F146" s="4">
        <f t="shared" si="28"/>
        <v>-0.22151329594631619</v>
      </c>
    </row>
    <row r="147" spans="1:17" x14ac:dyDescent="0.3">
      <c r="A147" s="1">
        <f t="shared" si="22"/>
        <v>729740</v>
      </c>
      <c r="B147" s="1">
        <v>34.335000000000001</v>
      </c>
      <c r="C147" s="1">
        <f t="shared" si="23"/>
        <v>0.16100000000000136</v>
      </c>
      <c r="D147" s="4">
        <f t="shared" si="27"/>
        <v>34.551763295946316</v>
      </c>
      <c r="E147" s="1">
        <f t="shared" si="24"/>
        <v>0.15625</v>
      </c>
      <c r="F147" s="4">
        <f t="shared" si="28"/>
        <v>-0.21676329594631483</v>
      </c>
    </row>
    <row r="148" spans="1:17" x14ac:dyDescent="0.3">
      <c r="A148" s="1">
        <f t="shared" si="22"/>
        <v>729760</v>
      </c>
      <c r="B148" s="1">
        <v>34.494999999999997</v>
      </c>
      <c r="C148" s="1">
        <f t="shared" si="23"/>
        <v>0.15999999999999659</v>
      </c>
      <c r="D148" s="4">
        <f t="shared" si="27"/>
        <v>34.708013295946316</v>
      </c>
      <c r="E148" s="1">
        <f t="shared" si="24"/>
        <v>0.15625</v>
      </c>
      <c r="F148" s="4">
        <f t="shared" si="28"/>
        <v>-0.21301329594631824</v>
      </c>
    </row>
    <row r="149" spans="1:17" x14ac:dyDescent="0.3">
      <c r="A149" s="1">
        <f t="shared" si="22"/>
        <v>729780</v>
      </c>
      <c r="B149" s="1">
        <v>34.624000000000002</v>
      </c>
      <c r="C149" s="1">
        <f t="shared" si="23"/>
        <v>0.12900000000000489</v>
      </c>
      <c r="D149" s="4">
        <f t="shared" si="27"/>
        <v>34.864263295946316</v>
      </c>
      <c r="E149" s="1">
        <f t="shared" si="24"/>
        <v>0.15625</v>
      </c>
      <c r="F149" s="4">
        <f t="shared" si="28"/>
        <v>-0.24026329594631335</v>
      </c>
    </row>
    <row r="150" spans="1:17" x14ac:dyDescent="0.3">
      <c r="A150" s="1">
        <f t="shared" si="22"/>
        <v>729800</v>
      </c>
      <c r="B150" s="1">
        <v>34.796999999999997</v>
      </c>
      <c r="C150" s="1">
        <f t="shared" si="23"/>
        <v>0.17299999999999471</v>
      </c>
      <c r="D150" s="4">
        <f t="shared" si="27"/>
        <v>35.020513295946316</v>
      </c>
      <c r="E150" s="1">
        <f t="shared" si="24"/>
        <v>0.15625</v>
      </c>
      <c r="F150" s="4">
        <f t="shared" si="28"/>
        <v>-0.22351329594631864</v>
      </c>
    </row>
    <row r="151" spans="1:17" x14ac:dyDescent="0.3">
      <c r="A151" s="1">
        <f t="shared" si="22"/>
        <v>729820</v>
      </c>
      <c r="B151" s="1">
        <v>35.005000000000003</v>
      </c>
      <c r="C151" s="1">
        <f t="shared" si="23"/>
        <v>0.20800000000000551</v>
      </c>
      <c r="D151" s="4">
        <f t="shared" si="27"/>
        <v>35.176763295946316</v>
      </c>
      <c r="E151" s="1">
        <f t="shared" si="24"/>
        <v>0.15625</v>
      </c>
      <c r="F151" s="4">
        <f t="shared" si="28"/>
        <v>-0.17176329594631312</v>
      </c>
    </row>
    <row r="152" spans="1:17" x14ac:dyDescent="0.3">
      <c r="A152" s="1">
        <f t="shared" si="22"/>
        <v>729840</v>
      </c>
      <c r="B152" s="1">
        <v>35.235999999999997</v>
      </c>
      <c r="C152" s="1">
        <f t="shared" si="23"/>
        <v>0.23099999999999454</v>
      </c>
      <c r="D152" s="4">
        <f t="shared" si="27"/>
        <v>35.333013295946316</v>
      </c>
      <c r="E152" s="1">
        <f t="shared" si="24"/>
        <v>0.15625</v>
      </c>
      <c r="F152" s="4">
        <f t="shared" si="28"/>
        <v>-9.7013295946318578E-2</v>
      </c>
    </row>
    <row r="153" spans="1:17" x14ac:dyDescent="0.3">
      <c r="A153" s="1">
        <f t="shared" si="22"/>
        <v>729860</v>
      </c>
      <c r="B153" s="1">
        <v>35.487000000000002</v>
      </c>
      <c r="C153" s="1">
        <f t="shared" si="23"/>
        <v>0.25100000000000477</v>
      </c>
      <c r="D153" s="4">
        <f t="shared" si="27"/>
        <v>35.489263295946316</v>
      </c>
      <c r="E153" s="1">
        <f t="shared" si="24"/>
        <v>0.15625</v>
      </c>
      <c r="F153" s="4">
        <f t="shared" si="28"/>
        <v>-2.2632959463138036E-3</v>
      </c>
    </row>
    <row r="154" spans="1:17" x14ac:dyDescent="0.3">
      <c r="A154" s="1"/>
      <c r="B154" s="1"/>
      <c r="C154" s="1"/>
      <c r="D154" s="1"/>
      <c r="E154" s="1"/>
      <c r="F154" s="1"/>
      <c r="G154" s="3" t="s">
        <v>15</v>
      </c>
      <c r="I154" s="3"/>
      <c r="N154">
        <f>1/N155</f>
        <v>7.4074074074074077E-3</v>
      </c>
      <c r="O154">
        <f>N154*20</f>
        <v>0.14814814814814814</v>
      </c>
      <c r="P154" t="s">
        <v>6</v>
      </c>
      <c r="Q154">
        <v>135</v>
      </c>
    </row>
    <row r="155" spans="1:17" x14ac:dyDescent="0.3">
      <c r="A155" s="1">
        <f>A153+20</f>
        <v>729880</v>
      </c>
      <c r="B155" s="1">
        <v>35.725999999999999</v>
      </c>
      <c r="C155" s="1">
        <f>B155-B153</f>
        <v>0.23899999999999721</v>
      </c>
      <c r="D155" s="4">
        <f>D153+E155</f>
        <v>35.637411444094461</v>
      </c>
      <c r="E155" s="1">
        <f>O154</f>
        <v>0.14814814814814814</v>
      </c>
      <c r="F155" s="4">
        <f t="shared" ref="F155:F156" si="29">B155-D155</f>
        <v>8.8588555905538158E-2</v>
      </c>
      <c r="G155">
        <f>A153</f>
        <v>729860</v>
      </c>
      <c r="H155">
        <f>A167</f>
        <v>730120</v>
      </c>
      <c r="I155">
        <f>H155-G155</f>
        <v>260</v>
      </c>
      <c r="J155" s="5">
        <f>D153</f>
        <v>35.489263295946316</v>
      </c>
      <c r="K155">
        <f>B167</f>
        <v>37.411999999999999</v>
      </c>
      <c r="L155" s="5">
        <f>K155-J155</f>
        <v>1.9227367040536834</v>
      </c>
      <c r="M155">
        <f>I155/L155</f>
        <v>135.22392299051921</v>
      </c>
      <c r="N155">
        <v>135</v>
      </c>
    </row>
    <row r="156" spans="1:17" x14ac:dyDescent="0.3">
      <c r="A156" s="1">
        <f t="shared" si="22"/>
        <v>729900</v>
      </c>
      <c r="B156" s="1">
        <v>35.941000000000003</v>
      </c>
      <c r="C156" s="1">
        <f t="shared" si="23"/>
        <v>0.21500000000000341</v>
      </c>
      <c r="D156" s="4">
        <f>D155+E155</f>
        <v>35.785559592242606</v>
      </c>
      <c r="E156" s="1">
        <f t="shared" ref="E156" si="30">E155</f>
        <v>0.14814814814814814</v>
      </c>
      <c r="F156" s="4">
        <f t="shared" si="29"/>
        <v>0.15544040775739631</v>
      </c>
    </row>
    <row r="157" spans="1:17" x14ac:dyDescent="0.3">
      <c r="A157" s="1">
        <f t="shared" si="22"/>
        <v>729920</v>
      </c>
      <c r="B157" s="1">
        <v>36.134</v>
      </c>
      <c r="C157" s="1">
        <f t="shared" si="23"/>
        <v>0.19299999999999784</v>
      </c>
      <c r="D157" s="4">
        <f t="shared" si="27"/>
        <v>35.933707740390751</v>
      </c>
      <c r="E157" s="1">
        <f t="shared" si="24"/>
        <v>0.14814814814814814</v>
      </c>
      <c r="F157" s="4">
        <f t="shared" si="28"/>
        <v>0.2002922596092489</v>
      </c>
    </row>
    <row r="158" spans="1:17" x14ac:dyDescent="0.3">
      <c r="A158" s="1">
        <f t="shared" si="22"/>
        <v>729940</v>
      </c>
      <c r="B158" s="1">
        <v>36.273000000000003</v>
      </c>
      <c r="C158" s="1">
        <f t="shared" si="23"/>
        <v>0.1390000000000029</v>
      </c>
      <c r="D158" s="4">
        <f t="shared" si="27"/>
        <v>36.081855888538897</v>
      </c>
      <c r="E158" s="1">
        <f t="shared" si="24"/>
        <v>0.14814814814814814</v>
      </c>
      <c r="F158" s="4">
        <f t="shared" si="28"/>
        <v>0.19114411146110655</v>
      </c>
    </row>
    <row r="159" spans="1:17" x14ac:dyDescent="0.3">
      <c r="A159" s="1">
        <f t="shared" si="22"/>
        <v>729960</v>
      </c>
      <c r="B159" s="1">
        <v>36.390999999999998</v>
      </c>
      <c r="C159" s="1">
        <f t="shared" si="23"/>
        <v>0.117999999999995</v>
      </c>
      <c r="D159" s="4">
        <f t="shared" si="27"/>
        <v>36.230004036687042</v>
      </c>
      <c r="E159" s="1">
        <f t="shared" si="24"/>
        <v>0.14814814814814814</v>
      </c>
      <c r="F159" s="4">
        <f t="shared" si="28"/>
        <v>0.16099596331295629</v>
      </c>
    </row>
    <row r="160" spans="1:17" x14ac:dyDescent="0.3">
      <c r="A160" s="1">
        <f t="shared" si="22"/>
        <v>729980</v>
      </c>
      <c r="B160" s="1">
        <v>36.484999999999999</v>
      </c>
      <c r="C160" s="1">
        <f t="shared" si="23"/>
        <v>9.4000000000001194E-2</v>
      </c>
      <c r="D160" s="4">
        <f t="shared" si="27"/>
        <v>36.378152184835187</v>
      </c>
      <c r="E160" s="1">
        <f t="shared" si="24"/>
        <v>0.14814814814814814</v>
      </c>
      <c r="F160" s="4">
        <f t="shared" si="28"/>
        <v>0.10684781516481223</v>
      </c>
    </row>
    <row r="161" spans="1:17" x14ac:dyDescent="0.3">
      <c r="A161" s="1">
        <f t="shared" si="22"/>
        <v>730000</v>
      </c>
      <c r="B161" s="1">
        <v>36.591999999999999</v>
      </c>
      <c r="C161" s="1">
        <f t="shared" si="23"/>
        <v>0.10699999999999932</v>
      </c>
      <c r="D161" s="4">
        <f t="shared" si="27"/>
        <v>36.526300332983332</v>
      </c>
      <c r="E161" s="1">
        <f t="shared" si="24"/>
        <v>0.14814814814814814</v>
      </c>
      <c r="F161" s="4">
        <f t="shared" si="28"/>
        <v>6.5699667016666297E-2</v>
      </c>
    </row>
    <row r="162" spans="1:17" x14ac:dyDescent="0.3">
      <c r="A162" s="1">
        <f t="shared" si="22"/>
        <v>730020</v>
      </c>
      <c r="B162" s="1">
        <v>36.735999999999997</v>
      </c>
      <c r="C162" s="1">
        <f t="shared" si="23"/>
        <v>0.14399999999999835</v>
      </c>
      <c r="D162" s="4">
        <f t="shared" si="27"/>
        <v>36.674448481131478</v>
      </c>
      <c r="E162" s="1">
        <f t="shared" si="24"/>
        <v>0.14814814814814814</v>
      </c>
      <c r="F162" s="4">
        <f t="shared" si="28"/>
        <v>6.1551518868519395E-2</v>
      </c>
    </row>
    <row r="163" spans="1:17" x14ac:dyDescent="0.3">
      <c r="A163" s="1">
        <f t="shared" si="22"/>
        <v>730040</v>
      </c>
      <c r="B163" s="1">
        <v>36.896000000000001</v>
      </c>
      <c r="C163" s="1">
        <f t="shared" si="23"/>
        <v>0.16000000000000369</v>
      </c>
      <c r="D163" s="4">
        <f t="shared" si="27"/>
        <v>36.822596629279623</v>
      </c>
      <c r="E163" s="1">
        <f t="shared" si="24"/>
        <v>0.14814814814814814</v>
      </c>
      <c r="F163" s="4">
        <f t="shared" si="28"/>
        <v>7.3403370720377836E-2</v>
      </c>
    </row>
    <row r="164" spans="1:17" x14ac:dyDescent="0.3">
      <c r="A164" s="1">
        <f t="shared" si="22"/>
        <v>730060</v>
      </c>
      <c r="B164" s="1">
        <v>37.046999999999997</v>
      </c>
      <c r="C164" s="1">
        <f t="shared" si="23"/>
        <v>0.15099999999999625</v>
      </c>
      <c r="D164" s="4">
        <f t="shared" si="27"/>
        <v>36.970744777427768</v>
      </c>
      <c r="E164" s="1">
        <f t="shared" si="24"/>
        <v>0.14814814814814814</v>
      </c>
      <c r="F164" s="4">
        <f t="shared" si="28"/>
        <v>7.6255222572228831E-2</v>
      </c>
    </row>
    <row r="165" spans="1:17" x14ac:dyDescent="0.3">
      <c r="A165" s="1">
        <f t="shared" si="22"/>
        <v>730080</v>
      </c>
      <c r="B165" s="1">
        <v>37.201999999999998</v>
      </c>
      <c r="C165" s="1">
        <f t="shared" si="23"/>
        <v>0.15500000000000114</v>
      </c>
      <c r="D165" s="4">
        <f t="shared" si="27"/>
        <v>37.118892925575913</v>
      </c>
      <c r="E165" s="1">
        <f t="shared" si="24"/>
        <v>0.14814814814814814</v>
      </c>
      <c r="F165" s="4">
        <f t="shared" si="28"/>
        <v>8.3107074424084715E-2</v>
      </c>
    </row>
    <row r="166" spans="1:17" x14ac:dyDescent="0.3">
      <c r="A166" s="1">
        <f t="shared" si="22"/>
        <v>730100</v>
      </c>
      <c r="B166" s="1">
        <v>37.347000000000001</v>
      </c>
      <c r="C166" s="1">
        <f t="shared" si="23"/>
        <v>0.14500000000000313</v>
      </c>
      <c r="D166" s="4">
        <f t="shared" si="27"/>
        <v>37.267041073724059</v>
      </c>
      <c r="E166" s="1">
        <f t="shared" si="24"/>
        <v>0.14814814814814814</v>
      </c>
      <c r="F166" s="4">
        <f t="shared" si="28"/>
        <v>7.9958926275942588E-2</v>
      </c>
    </row>
    <row r="167" spans="1:17" x14ac:dyDescent="0.3">
      <c r="A167" s="1">
        <f t="shared" si="22"/>
        <v>730120</v>
      </c>
      <c r="B167" s="1">
        <v>37.411999999999999</v>
      </c>
      <c r="C167" s="1">
        <f t="shared" si="23"/>
        <v>6.4999999999997726E-2</v>
      </c>
      <c r="D167" s="4">
        <f t="shared" si="27"/>
        <v>37.415189221872204</v>
      </c>
      <c r="E167" s="1">
        <f t="shared" si="24"/>
        <v>0.14814814814814814</v>
      </c>
      <c r="F167" s="4">
        <f t="shared" si="28"/>
        <v>-3.1892218722049392E-3</v>
      </c>
    </row>
    <row r="168" spans="1:17" x14ac:dyDescent="0.3">
      <c r="A168" s="1"/>
      <c r="B168" s="1"/>
      <c r="C168" s="1"/>
      <c r="D168" s="1"/>
      <c r="E168" s="1"/>
      <c r="F168" s="1"/>
      <c r="G168" s="3" t="s">
        <v>16</v>
      </c>
      <c r="I168" s="3"/>
      <c r="N168">
        <f>1/N169</f>
        <v>7.0921985815602835E-3</v>
      </c>
      <c r="O168">
        <f>N168*20</f>
        <v>0.14184397163120566</v>
      </c>
      <c r="P168" t="s">
        <v>4</v>
      </c>
      <c r="Q168">
        <v>141</v>
      </c>
    </row>
    <row r="169" spans="1:17" x14ac:dyDescent="0.3">
      <c r="A169" s="1">
        <f>A167+20</f>
        <v>730140</v>
      </c>
      <c r="B169" s="1">
        <v>37.436999999999998</v>
      </c>
      <c r="C169" s="1">
        <f>B169-B167</f>
        <v>2.4999999999998579E-2</v>
      </c>
      <c r="D169" s="4">
        <f>D167-E169</f>
        <v>37.273345250241</v>
      </c>
      <c r="E169" s="1">
        <f>O168</f>
        <v>0.14184397163120566</v>
      </c>
      <c r="F169" s="4">
        <f t="shared" ref="F169:F171" si="31">B169-D169</f>
        <v>0.1636547497589973</v>
      </c>
      <c r="G169">
        <f>A167</f>
        <v>730120</v>
      </c>
      <c r="H169">
        <f>A178</f>
        <v>730320</v>
      </c>
      <c r="I169">
        <f>H169-G169</f>
        <v>200</v>
      </c>
      <c r="J169" s="5">
        <f>D167</f>
        <v>37.415189221872204</v>
      </c>
      <c r="K169">
        <f>B178</f>
        <v>36</v>
      </c>
      <c r="L169" s="5">
        <f>K169-J169</f>
        <v>-1.415189221872204</v>
      </c>
      <c r="M169">
        <f>I169/L169</f>
        <v>-141.32385755129826</v>
      </c>
      <c r="N169">
        <v>141</v>
      </c>
    </row>
    <row r="170" spans="1:17" x14ac:dyDescent="0.3">
      <c r="A170" s="1">
        <f t="shared" si="22"/>
        <v>730160</v>
      </c>
      <c r="B170" s="1">
        <v>37.302</v>
      </c>
      <c r="C170" s="1">
        <f t="shared" si="23"/>
        <v>-0.13499999999999801</v>
      </c>
      <c r="D170" s="4">
        <f>D169-E169</f>
        <v>37.131501278609797</v>
      </c>
      <c r="E170" s="1">
        <f t="shared" ref="E170" si="32">E169</f>
        <v>0.14184397163120566</v>
      </c>
      <c r="F170" s="4">
        <f t="shared" si="31"/>
        <v>0.17049872139020295</v>
      </c>
    </row>
    <row r="171" spans="1:17" x14ac:dyDescent="0.3">
      <c r="A171" s="1">
        <f t="shared" si="22"/>
        <v>730180</v>
      </c>
      <c r="B171" s="1">
        <v>37.292000000000002</v>
      </c>
      <c r="C171" s="1">
        <f t="shared" si="23"/>
        <v>-9.9999999999980105E-3</v>
      </c>
      <c r="D171" s="4">
        <f t="shared" ref="D171:D236" si="33">D170-E170</f>
        <v>36.989657306978593</v>
      </c>
      <c r="E171" s="1">
        <f t="shared" si="24"/>
        <v>0.14184397163120566</v>
      </c>
      <c r="F171" s="4">
        <f t="shared" si="31"/>
        <v>0.30234269302140859</v>
      </c>
    </row>
    <row r="172" spans="1:17" x14ac:dyDescent="0.3">
      <c r="A172" s="1">
        <f t="shared" si="22"/>
        <v>730200</v>
      </c>
      <c r="B172" s="1">
        <v>37.159999999999997</v>
      </c>
      <c r="C172" s="1">
        <f t="shared" si="23"/>
        <v>-0.132000000000005</v>
      </c>
      <c r="D172" s="4">
        <f t="shared" si="33"/>
        <v>36.847813335347389</v>
      </c>
      <c r="E172" s="1">
        <f t="shared" si="24"/>
        <v>0.14184397163120566</v>
      </c>
      <c r="F172" s="4">
        <f t="shared" si="28"/>
        <v>0.31218666465260725</v>
      </c>
    </row>
    <row r="173" spans="1:17" x14ac:dyDescent="0.3">
      <c r="A173" s="1">
        <f t="shared" si="22"/>
        <v>730220</v>
      </c>
      <c r="B173" s="1">
        <v>37.012</v>
      </c>
      <c r="C173" s="1">
        <f t="shared" si="23"/>
        <v>-0.14799999999999613</v>
      </c>
      <c r="D173" s="4">
        <f t="shared" si="33"/>
        <v>36.705969363716186</v>
      </c>
      <c r="E173" s="1">
        <f t="shared" si="24"/>
        <v>0.14184397163120566</v>
      </c>
      <c r="F173" s="4">
        <f t="shared" si="28"/>
        <v>0.30603063628381477</v>
      </c>
    </row>
    <row r="174" spans="1:17" x14ac:dyDescent="0.3">
      <c r="A174" s="1">
        <f t="shared" si="22"/>
        <v>730240</v>
      </c>
      <c r="B174" s="1">
        <v>36.826999999999998</v>
      </c>
      <c r="C174" s="1">
        <f t="shared" si="23"/>
        <v>-0.18500000000000227</v>
      </c>
      <c r="D174" s="4">
        <f t="shared" si="33"/>
        <v>36.564125392084982</v>
      </c>
      <c r="E174" s="1">
        <f t="shared" si="24"/>
        <v>0.14184397163120566</v>
      </c>
      <c r="F174" s="4">
        <f t="shared" si="28"/>
        <v>0.26287460791501616</v>
      </c>
    </row>
    <row r="175" spans="1:17" x14ac:dyDescent="0.3">
      <c r="A175" s="1">
        <f t="shared" si="22"/>
        <v>730260</v>
      </c>
      <c r="B175" s="1">
        <v>36.639000000000003</v>
      </c>
      <c r="C175" s="1">
        <f t="shared" si="23"/>
        <v>-0.18799999999999528</v>
      </c>
      <c r="D175" s="4">
        <f t="shared" si="33"/>
        <v>36.422281420453778</v>
      </c>
      <c r="E175" s="1">
        <f t="shared" si="24"/>
        <v>0.14184397163120566</v>
      </c>
      <c r="F175" s="4">
        <f t="shared" si="28"/>
        <v>0.21671857954622453</v>
      </c>
    </row>
    <row r="176" spans="1:17" x14ac:dyDescent="0.3">
      <c r="A176" s="1">
        <f t="shared" si="22"/>
        <v>730280</v>
      </c>
      <c r="B176" s="1">
        <v>36.448999999999998</v>
      </c>
      <c r="C176" s="1">
        <f t="shared" si="23"/>
        <v>-0.19000000000000483</v>
      </c>
      <c r="D176" s="4">
        <f t="shared" si="33"/>
        <v>36.280437448822575</v>
      </c>
      <c r="E176" s="1">
        <f t="shared" si="24"/>
        <v>0.14184397163120566</v>
      </c>
      <c r="F176" s="4">
        <f t="shared" si="28"/>
        <v>0.16856255117742336</v>
      </c>
    </row>
    <row r="177" spans="1:17" x14ac:dyDescent="0.3">
      <c r="A177" s="1">
        <f t="shared" si="22"/>
        <v>730300</v>
      </c>
      <c r="B177" s="1">
        <v>36.225000000000001</v>
      </c>
      <c r="C177" s="1">
        <f t="shared" si="23"/>
        <v>-0.22399999999999665</v>
      </c>
      <c r="D177" s="4">
        <f t="shared" si="33"/>
        <v>36.138593477191371</v>
      </c>
      <c r="E177" s="1">
        <f t="shared" si="24"/>
        <v>0.14184397163120566</v>
      </c>
      <c r="F177" s="4">
        <f t="shared" si="28"/>
        <v>8.640652280863037E-2</v>
      </c>
    </row>
    <row r="178" spans="1:17" x14ac:dyDescent="0.3">
      <c r="A178" s="1">
        <f t="shared" si="22"/>
        <v>730320</v>
      </c>
      <c r="B178" s="1">
        <v>36</v>
      </c>
      <c r="C178" s="1">
        <f t="shared" si="23"/>
        <v>-0.22500000000000142</v>
      </c>
      <c r="D178" s="4">
        <f t="shared" si="33"/>
        <v>35.996749505560167</v>
      </c>
      <c r="E178" s="1">
        <f t="shared" si="24"/>
        <v>0.14184397163120566</v>
      </c>
      <c r="F178" s="4">
        <f t="shared" si="28"/>
        <v>3.2504944398326074E-3</v>
      </c>
    </row>
    <row r="179" spans="1:17" x14ac:dyDescent="0.3">
      <c r="A179" s="1"/>
      <c r="B179" s="1"/>
      <c r="C179" s="1"/>
      <c r="D179" s="1"/>
      <c r="E179" s="1"/>
      <c r="F179" s="1"/>
      <c r="G179" s="3" t="s">
        <v>17</v>
      </c>
      <c r="I179" s="3"/>
      <c r="N179">
        <f>1/N180</f>
        <v>9.9009900990099011E-3</v>
      </c>
      <c r="O179">
        <f>N179*20</f>
        <v>0.19801980198019803</v>
      </c>
      <c r="P179" t="s">
        <v>4</v>
      </c>
      <c r="Q179">
        <v>101</v>
      </c>
    </row>
    <row r="180" spans="1:17" x14ac:dyDescent="0.3">
      <c r="A180" s="1">
        <f>A178+20</f>
        <v>730340</v>
      </c>
      <c r="B180" s="1">
        <v>35.787999999999997</v>
      </c>
      <c r="C180" s="1">
        <f>B180-B178</f>
        <v>-0.2120000000000033</v>
      </c>
      <c r="D180" s="4">
        <f>D178-E180</f>
        <v>35.798729703579973</v>
      </c>
      <c r="E180" s="1">
        <f>O179</f>
        <v>0.19801980198019803</v>
      </c>
      <c r="F180" s="4">
        <f t="shared" ref="F180:F181" si="34">B180-D180</f>
        <v>-1.0729703579976047E-2</v>
      </c>
      <c r="G180">
        <f>A178</f>
        <v>730320</v>
      </c>
      <c r="H180">
        <f>A201</f>
        <v>730760</v>
      </c>
      <c r="I180">
        <f>H180-G180</f>
        <v>440</v>
      </c>
      <c r="J180" s="5">
        <f>D178</f>
        <v>35.996749505560167</v>
      </c>
      <c r="K180">
        <f>B201</f>
        <v>31.638000000000002</v>
      </c>
      <c r="L180" s="5">
        <f>K180-J180</f>
        <v>-4.3587495055601657</v>
      </c>
      <c r="M180">
        <f>I180/L180</f>
        <v>-100.94638369071711</v>
      </c>
      <c r="N180">
        <v>101</v>
      </c>
    </row>
    <row r="181" spans="1:17" x14ac:dyDescent="0.3">
      <c r="A181" s="1">
        <f t="shared" si="22"/>
        <v>730360</v>
      </c>
      <c r="B181" s="1">
        <v>35.569000000000003</v>
      </c>
      <c r="C181" s="1">
        <f t="shared" si="23"/>
        <v>-0.21899999999999409</v>
      </c>
      <c r="D181" s="4">
        <f>D180-E180</f>
        <v>35.600709901599778</v>
      </c>
      <c r="E181" s="1">
        <f t="shared" ref="E181" si="35">E180</f>
        <v>0.19801980198019803</v>
      </c>
      <c r="F181" s="4">
        <f t="shared" si="34"/>
        <v>-3.1709901599775492E-2</v>
      </c>
    </row>
    <row r="182" spans="1:17" x14ac:dyDescent="0.3">
      <c r="A182" s="1">
        <f t="shared" si="22"/>
        <v>730380</v>
      </c>
      <c r="B182" s="1">
        <v>35.378999999999998</v>
      </c>
      <c r="C182" s="1">
        <f t="shared" si="23"/>
        <v>-0.19000000000000483</v>
      </c>
      <c r="D182" s="4">
        <f t="shared" si="33"/>
        <v>35.402690099619583</v>
      </c>
      <c r="E182" s="1">
        <f t="shared" si="24"/>
        <v>0.19801980198019803</v>
      </c>
      <c r="F182" s="4">
        <f t="shared" si="28"/>
        <v>-2.3690099619585681E-2</v>
      </c>
    </row>
    <row r="183" spans="1:17" x14ac:dyDescent="0.3">
      <c r="A183" s="1">
        <f t="shared" si="22"/>
        <v>730400</v>
      </c>
      <c r="B183" s="1">
        <v>35.152000000000001</v>
      </c>
      <c r="C183" s="1">
        <f t="shared" si="23"/>
        <v>-0.22699999999999676</v>
      </c>
      <c r="D183" s="4">
        <f t="shared" si="33"/>
        <v>35.204670297639389</v>
      </c>
      <c r="E183" s="1">
        <f t="shared" si="24"/>
        <v>0.19801980198019803</v>
      </c>
      <c r="F183" s="4">
        <f t="shared" si="28"/>
        <v>-5.2670297639387798E-2</v>
      </c>
    </row>
    <row r="184" spans="1:17" x14ac:dyDescent="0.3">
      <c r="A184" s="1">
        <f t="shared" si="22"/>
        <v>730420</v>
      </c>
      <c r="B184" s="1">
        <v>35.008000000000003</v>
      </c>
      <c r="C184" s="1">
        <f t="shared" si="23"/>
        <v>-0.14399999999999835</v>
      </c>
      <c r="D184" s="4">
        <f t="shared" si="33"/>
        <v>35.006650495659194</v>
      </c>
      <c r="E184" s="1">
        <f t="shared" si="24"/>
        <v>0.19801980198019803</v>
      </c>
      <c r="F184" s="4">
        <f t="shared" si="28"/>
        <v>1.3495043408084939E-3</v>
      </c>
    </row>
    <row r="185" spans="1:17" x14ac:dyDescent="0.3">
      <c r="A185" s="1">
        <f t="shared" si="22"/>
        <v>730440</v>
      </c>
      <c r="B185" s="1">
        <v>34.844000000000001</v>
      </c>
      <c r="C185" s="1">
        <f t="shared" si="23"/>
        <v>-0.16400000000000148</v>
      </c>
      <c r="D185" s="4">
        <f t="shared" si="33"/>
        <v>34.808630693679</v>
      </c>
      <c r="E185" s="1">
        <f t="shared" si="24"/>
        <v>0.19801980198019803</v>
      </c>
      <c r="F185" s="4">
        <f t="shared" si="28"/>
        <v>3.5369306321001659E-2</v>
      </c>
    </row>
    <row r="186" spans="1:17" x14ac:dyDescent="0.3">
      <c r="A186" s="1">
        <f t="shared" si="22"/>
        <v>730460</v>
      </c>
      <c r="B186" s="1">
        <v>34.664999999999999</v>
      </c>
      <c r="C186" s="1">
        <f t="shared" si="23"/>
        <v>-0.17900000000000205</v>
      </c>
      <c r="D186" s="4">
        <f t="shared" si="33"/>
        <v>34.610610891698805</v>
      </c>
      <c r="E186" s="1">
        <f t="shared" si="24"/>
        <v>0.19801980198019803</v>
      </c>
      <c r="F186" s="4">
        <f t="shared" si="28"/>
        <v>5.4389108301194256E-2</v>
      </c>
    </row>
    <row r="187" spans="1:17" x14ac:dyDescent="0.3">
      <c r="A187" s="1">
        <f t="shared" si="22"/>
        <v>730480</v>
      </c>
      <c r="B187" s="1">
        <v>34.517000000000003</v>
      </c>
      <c r="C187" s="1">
        <f t="shared" si="23"/>
        <v>-0.14799999999999613</v>
      </c>
      <c r="D187" s="4">
        <f t="shared" si="33"/>
        <v>34.41259108971861</v>
      </c>
      <c r="E187" s="1">
        <f t="shared" si="24"/>
        <v>0.19801980198019803</v>
      </c>
      <c r="F187" s="4">
        <f t="shared" si="28"/>
        <v>0.10440891028139276</v>
      </c>
    </row>
    <row r="188" spans="1:17" x14ac:dyDescent="0.3">
      <c r="A188" s="1">
        <f t="shared" si="22"/>
        <v>730500</v>
      </c>
      <c r="B188" s="1">
        <v>34.337000000000003</v>
      </c>
      <c r="C188" s="1">
        <f t="shared" si="23"/>
        <v>-0.17999999999999972</v>
      </c>
      <c r="D188" s="4">
        <f t="shared" si="33"/>
        <v>34.214571287738416</v>
      </c>
      <c r="E188" s="1">
        <f t="shared" si="24"/>
        <v>0.19801980198019803</v>
      </c>
      <c r="F188" s="4">
        <f t="shared" si="28"/>
        <v>0.12242871226158769</v>
      </c>
    </row>
    <row r="189" spans="1:17" x14ac:dyDescent="0.3">
      <c r="A189" s="1">
        <f t="shared" si="22"/>
        <v>730520</v>
      </c>
      <c r="B189" s="1">
        <v>34.149000000000001</v>
      </c>
      <c r="C189" s="1">
        <f t="shared" si="23"/>
        <v>-0.18800000000000239</v>
      </c>
      <c r="D189" s="4">
        <f t="shared" si="33"/>
        <v>34.016551485758221</v>
      </c>
      <c r="E189" s="1">
        <f t="shared" si="24"/>
        <v>0.19801980198019803</v>
      </c>
      <c r="F189" s="4">
        <f t="shared" si="28"/>
        <v>0.13244851424177995</v>
      </c>
    </row>
    <row r="190" spans="1:17" x14ac:dyDescent="0.3">
      <c r="A190" s="1">
        <f t="shared" si="22"/>
        <v>730540</v>
      </c>
      <c r="B190" s="1">
        <v>33.929000000000002</v>
      </c>
      <c r="C190" s="1">
        <f t="shared" si="23"/>
        <v>-0.21999999999999886</v>
      </c>
      <c r="D190" s="4">
        <f t="shared" si="33"/>
        <v>33.818531683778026</v>
      </c>
      <c r="E190" s="1">
        <f t="shared" si="24"/>
        <v>0.19801980198019803</v>
      </c>
      <c r="F190" s="4">
        <f t="shared" si="28"/>
        <v>0.11046831622197573</v>
      </c>
    </row>
    <row r="191" spans="1:17" x14ac:dyDescent="0.3">
      <c r="A191" s="1">
        <f t="shared" si="22"/>
        <v>730560</v>
      </c>
      <c r="B191" s="1">
        <v>33.704999999999998</v>
      </c>
      <c r="C191" s="1">
        <f t="shared" si="23"/>
        <v>-0.22400000000000375</v>
      </c>
      <c r="D191" s="4">
        <f t="shared" si="33"/>
        <v>33.620511881797832</v>
      </c>
      <c r="E191" s="1">
        <f t="shared" si="24"/>
        <v>0.19801980198019803</v>
      </c>
      <c r="F191" s="4">
        <f t="shared" si="28"/>
        <v>8.4488118202166618E-2</v>
      </c>
    </row>
    <row r="192" spans="1:17" x14ac:dyDescent="0.3">
      <c r="A192" s="1">
        <f t="shared" si="22"/>
        <v>730580</v>
      </c>
      <c r="B192" s="1">
        <v>33.462000000000003</v>
      </c>
      <c r="C192" s="1">
        <f t="shared" si="23"/>
        <v>-0.242999999999995</v>
      </c>
      <c r="D192" s="4">
        <f t="shared" si="33"/>
        <v>33.422492079817637</v>
      </c>
      <c r="E192" s="1">
        <f t="shared" si="24"/>
        <v>0.19801980198019803</v>
      </c>
      <c r="F192" s="4">
        <f t="shared" si="28"/>
        <v>3.9507920182366263E-2</v>
      </c>
    </row>
    <row r="193" spans="1:17" x14ac:dyDescent="0.3">
      <c r="A193" s="1">
        <f t="shared" si="22"/>
        <v>730600</v>
      </c>
      <c r="B193" s="1">
        <v>33.228999999999999</v>
      </c>
      <c r="C193" s="1">
        <f t="shared" si="23"/>
        <v>-0.23300000000000409</v>
      </c>
      <c r="D193" s="4">
        <f t="shared" si="33"/>
        <v>33.224472277837442</v>
      </c>
      <c r="E193" s="1">
        <f t="shared" si="24"/>
        <v>0.19801980198019803</v>
      </c>
      <c r="F193" s="4">
        <f t="shared" si="28"/>
        <v>4.5277221625568131E-3</v>
      </c>
    </row>
    <row r="194" spans="1:17" x14ac:dyDescent="0.3">
      <c r="A194" s="1">
        <f t="shared" si="22"/>
        <v>730620</v>
      </c>
      <c r="B194" s="1">
        <v>33.018999999999998</v>
      </c>
      <c r="C194" s="1">
        <f t="shared" si="23"/>
        <v>-0.21000000000000085</v>
      </c>
      <c r="D194" s="4">
        <f t="shared" si="33"/>
        <v>33.026452475857248</v>
      </c>
      <c r="E194" s="1">
        <f t="shared" si="24"/>
        <v>0.19801980198019803</v>
      </c>
      <c r="F194" s="4">
        <f t="shared" si="28"/>
        <v>-7.4524758572493965E-3</v>
      </c>
    </row>
    <row r="195" spans="1:17" x14ac:dyDescent="0.3">
      <c r="A195" s="1">
        <f t="shared" si="22"/>
        <v>730640</v>
      </c>
      <c r="B195" s="1">
        <v>32.802</v>
      </c>
      <c r="C195" s="1">
        <f t="shared" si="23"/>
        <v>-0.21699999999999875</v>
      </c>
      <c r="D195" s="4">
        <f t="shared" si="33"/>
        <v>32.828432673877053</v>
      </c>
      <c r="E195" s="1">
        <f t="shared" si="24"/>
        <v>0.19801980198019803</v>
      </c>
      <c r="F195" s="4">
        <f t="shared" si="28"/>
        <v>-2.6432673877053503E-2</v>
      </c>
    </row>
    <row r="196" spans="1:17" x14ac:dyDescent="0.3">
      <c r="A196" s="1">
        <f t="shared" si="22"/>
        <v>730660</v>
      </c>
      <c r="B196" s="1">
        <v>32.634999999999998</v>
      </c>
      <c r="C196" s="1">
        <f t="shared" si="23"/>
        <v>-0.16700000000000159</v>
      </c>
      <c r="D196" s="4">
        <f t="shared" si="33"/>
        <v>32.630412871896858</v>
      </c>
      <c r="E196" s="1">
        <f t="shared" si="24"/>
        <v>0.19801980198019803</v>
      </c>
      <c r="F196" s="4">
        <f t="shared" si="28"/>
        <v>4.5871281031395483E-3</v>
      </c>
    </row>
    <row r="197" spans="1:17" x14ac:dyDescent="0.3">
      <c r="A197" s="1">
        <f t="shared" si="22"/>
        <v>730680</v>
      </c>
      <c r="B197" s="1">
        <v>32.468000000000004</v>
      </c>
      <c r="C197" s="1">
        <f t="shared" si="23"/>
        <v>-0.16699999999999449</v>
      </c>
      <c r="D197" s="4">
        <f t="shared" si="33"/>
        <v>32.432393069916664</v>
      </c>
      <c r="E197" s="1">
        <f t="shared" si="24"/>
        <v>0.19801980198019803</v>
      </c>
      <c r="F197" s="4">
        <f t="shared" si="28"/>
        <v>3.5606930083339705E-2</v>
      </c>
    </row>
    <row r="198" spans="1:17" x14ac:dyDescent="0.3">
      <c r="A198" s="1">
        <f t="shared" si="22"/>
        <v>730700</v>
      </c>
      <c r="B198" s="1">
        <v>32.28</v>
      </c>
      <c r="C198" s="1">
        <f t="shared" si="23"/>
        <v>-0.18800000000000239</v>
      </c>
      <c r="D198" s="4">
        <f t="shared" si="33"/>
        <v>32.234373267936469</v>
      </c>
      <c r="E198" s="1">
        <f t="shared" si="24"/>
        <v>0.19801980198019803</v>
      </c>
      <c r="F198" s="4">
        <f t="shared" si="28"/>
        <v>4.5626732063531961E-2</v>
      </c>
    </row>
    <row r="199" spans="1:17" x14ac:dyDescent="0.3">
      <c r="A199" s="1">
        <f t="shared" si="22"/>
        <v>730720</v>
      </c>
      <c r="B199" s="1">
        <v>32.031999999999996</v>
      </c>
      <c r="C199" s="1">
        <f t="shared" si="23"/>
        <v>-0.24800000000000466</v>
      </c>
      <c r="D199" s="4">
        <f t="shared" si="33"/>
        <v>32.036353465956275</v>
      </c>
      <c r="E199" s="1">
        <f t="shared" si="24"/>
        <v>0.19801980198019803</v>
      </c>
      <c r="F199" s="4">
        <f t="shared" si="28"/>
        <v>-4.3534659562780575E-3</v>
      </c>
    </row>
    <row r="200" spans="1:17" x14ac:dyDescent="0.3">
      <c r="A200" s="1">
        <f t="shared" si="22"/>
        <v>730740</v>
      </c>
      <c r="B200" s="1">
        <v>31.809000000000001</v>
      </c>
      <c r="C200" s="1">
        <f t="shared" si="23"/>
        <v>-0.22299999999999542</v>
      </c>
      <c r="D200" s="4">
        <f t="shared" si="33"/>
        <v>31.838333663976076</v>
      </c>
      <c r="E200" s="1">
        <f t="shared" si="24"/>
        <v>0.19801980198019803</v>
      </c>
      <c r="F200" s="4">
        <f t="shared" si="28"/>
        <v>-2.9333663976075286E-2</v>
      </c>
    </row>
    <row r="201" spans="1:17" x14ac:dyDescent="0.3">
      <c r="A201" s="1">
        <f t="shared" si="22"/>
        <v>730760</v>
      </c>
      <c r="B201" s="1">
        <v>31.638000000000002</v>
      </c>
      <c r="C201" s="1">
        <f t="shared" si="23"/>
        <v>-0.17099999999999937</v>
      </c>
      <c r="D201" s="4">
        <f t="shared" si="33"/>
        <v>31.640313861995878</v>
      </c>
      <c r="E201" s="1">
        <f t="shared" si="24"/>
        <v>0.19801980198019803</v>
      </c>
      <c r="F201" s="4">
        <f t="shared" si="28"/>
        <v>-2.313861995876465E-3</v>
      </c>
    </row>
    <row r="202" spans="1:17" x14ac:dyDescent="0.3">
      <c r="A202" s="1"/>
      <c r="B202" s="1"/>
      <c r="C202" s="1"/>
      <c r="D202" s="1"/>
      <c r="E202" s="1"/>
      <c r="F202" s="1"/>
      <c r="G202" s="3" t="s">
        <v>18</v>
      </c>
      <c r="I202" s="3"/>
      <c r="N202">
        <f>1/N203</f>
        <v>5.7803468208092483E-3</v>
      </c>
      <c r="O202">
        <f>N202*20</f>
        <v>0.11560693641618497</v>
      </c>
      <c r="P202" t="s">
        <v>4</v>
      </c>
      <c r="Q202">
        <v>173</v>
      </c>
    </row>
    <row r="203" spans="1:17" x14ac:dyDescent="0.3">
      <c r="A203" s="1">
        <f>A201+20</f>
        <v>730780</v>
      </c>
      <c r="B203" s="1">
        <v>31.545999999999999</v>
      </c>
      <c r="C203" s="1">
        <f>B203-B201</f>
        <v>-9.2000000000002302E-2</v>
      </c>
      <c r="D203" s="4">
        <f>D201-E203</f>
        <v>31.524706925579693</v>
      </c>
      <c r="E203" s="1">
        <f>O202</f>
        <v>0.11560693641618497</v>
      </c>
      <c r="F203" s="4">
        <f t="shared" ref="F203:F204" si="36">B203-D203</f>
        <v>2.1293074420306368E-2</v>
      </c>
      <c r="G203">
        <f>A201</f>
        <v>730760</v>
      </c>
      <c r="H203">
        <f>A242</f>
        <v>731560</v>
      </c>
      <c r="I203">
        <f>H203-G203</f>
        <v>800</v>
      </c>
      <c r="J203" s="5">
        <f>D201</f>
        <v>31.640313861995878</v>
      </c>
      <c r="K203">
        <f>B242</f>
        <v>27.02</v>
      </c>
      <c r="L203" s="5">
        <f>K203-J203</f>
        <v>-4.6203138619958786</v>
      </c>
      <c r="M203">
        <f>I203/L203</f>
        <v>-173.14841023687876</v>
      </c>
      <c r="N203">
        <v>173</v>
      </c>
    </row>
    <row r="204" spans="1:17" x14ac:dyDescent="0.3">
      <c r="A204" s="1">
        <f t="shared" si="22"/>
        <v>730800</v>
      </c>
      <c r="B204" s="1">
        <v>31.472000000000001</v>
      </c>
      <c r="C204" s="1">
        <f t="shared" si="23"/>
        <v>-7.3999999999998067E-2</v>
      </c>
      <c r="D204" s="4">
        <f>D203-E203</f>
        <v>31.409099989163508</v>
      </c>
      <c r="E204" s="1">
        <f t="shared" ref="E204" si="37">E203</f>
        <v>0.11560693641618497</v>
      </c>
      <c r="F204" s="4">
        <f t="shared" si="36"/>
        <v>6.2900010836493436E-2</v>
      </c>
    </row>
    <row r="205" spans="1:17" x14ac:dyDescent="0.3">
      <c r="A205" s="1">
        <f t="shared" si="22"/>
        <v>730820</v>
      </c>
      <c r="B205" s="1">
        <v>31.44</v>
      </c>
      <c r="C205" s="1">
        <f t="shared" si="23"/>
        <v>-3.2000000000000028E-2</v>
      </c>
      <c r="D205" s="4">
        <f t="shared" si="33"/>
        <v>31.293493052747323</v>
      </c>
      <c r="E205" s="1">
        <f t="shared" si="24"/>
        <v>0.11560693641618497</v>
      </c>
      <c r="F205" s="4">
        <f t="shared" si="28"/>
        <v>0.14650694725267854</v>
      </c>
    </row>
    <row r="206" spans="1:17" x14ac:dyDescent="0.3">
      <c r="A206" s="1">
        <f t="shared" si="22"/>
        <v>730840</v>
      </c>
      <c r="B206" s="1">
        <v>31.38</v>
      </c>
      <c r="C206" s="1">
        <f t="shared" si="23"/>
        <v>-6.0000000000002274E-2</v>
      </c>
      <c r="D206" s="4">
        <f t="shared" si="33"/>
        <v>31.177886116331138</v>
      </c>
      <c r="E206" s="1">
        <f t="shared" si="24"/>
        <v>0.11560693641618497</v>
      </c>
      <c r="F206" s="4">
        <f t="shared" si="28"/>
        <v>0.2021138836688614</v>
      </c>
    </row>
    <row r="207" spans="1:17" x14ac:dyDescent="0.3">
      <c r="A207" s="1">
        <f t="shared" si="22"/>
        <v>730860</v>
      </c>
      <c r="B207" s="1">
        <v>31.285</v>
      </c>
      <c r="C207" s="1">
        <f t="shared" si="23"/>
        <v>-9.4999999999998863E-2</v>
      </c>
      <c r="D207" s="4">
        <f t="shared" si="33"/>
        <v>31.062279179914952</v>
      </c>
      <c r="E207" s="1">
        <f t="shared" si="24"/>
        <v>0.11560693641618497</v>
      </c>
      <c r="F207" s="4">
        <f t="shared" si="28"/>
        <v>0.22272082008504768</v>
      </c>
    </row>
    <row r="208" spans="1:17" x14ac:dyDescent="0.3">
      <c r="A208" s="1">
        <f t="shared" ref="A208:A266" si="38">A207+20</f>
        <v>730880</v>
      </c>
      <c r="B208" s="1">
        <v>31.178999999999998</v>
      </c>
      <c r="C208" s="1">
        <f t="shared" ref="C208:C266" si="39">B208-B207</f>
        <v>-0.10600000000000165</v>
      </c>
      <c r="D208" s="4">
        <f t="shared" si="33"/>
        <v>30.946672243498767</v>
      </c>
      <c r="E208" s="1">
        <f t="shared" ref="E208:E266" si="40">E207</f>
        <v>0.11560693641618497</v>
      </c>
      <c r="F208" s="4">
        <f t="shared" si="28"/>
        <v>0.23232775650123116</v>
      </c>
    </row>
    <row r="209" spans="1:6" x14ac:dyDescent="0.3">
      <c r="A209" s="1">
        <f t="shared" si="38"/>
        <v>730900</v>
      </c>
      <c r="B209" s="1">
        <v>31.029</v>
      </c>
      <c r="C209" s="1">
        <f t="shared" si="39"/>
        <v>-0.14999999999999858</v>
      </c>
      <c r="D209" s="4">
        <f t="shared" si="33"/>
        <v>30.831065307082582</v>
      </c>
      <c r="E209" s="1">
        <f t="shared" si="40"/>
        <v>0.11560693641618497</v>
      </c>
      <c r="F209" s="4">
        <f t="shared" si="28"/>
        <v>0.19793469291741772</v>
      </c>
    </row>
    <row r="210" spans="1:6" x14ac:dyDescent="0.3">
      <c r="A210" s="1">
        <f t="shared" si="38"/>
        <v>730920</v>
      </c>
      <c r="B210" s="1">
        <v>30.856000000000002</v>
      </c>
      <c r="C210" s="1">
        <f t="shared" si="39"/>
        <v>-0.17299999999999827</v>
      </c>
      <c r="D210" s="4">
        <f t="shared" si="33"/>
        <v>30.715458370666397</v>
      </c>
      <c r="E210" s="1">
        <f t="shared" si="40"/>
        <v>0.11560693641618497</v>
      </c>
      <c r="F210" s="4">
        <f t="shared" ref="F210:F266" si="41">B210-D210</f>
        <v>0.14054162933360459</v>
      </c>
    </row>
    <row r="211" spans="1:6" x14ac:dyDescent="0.3">
      <c r="A211" s="1">
        <f t="shared" si="38"/>
        <v>730940</v>
      </c>
      <c r="B211" s="1">
        <v>30.683</v>
      </c>
      <c r="C211" s="1">
        <f t="shared" si="39"/>
        <v>-0.17300000000000182</v>
      </c>
      <c r="D211" s="4">
        <f t="shared" si="33"/>
        <v>30.599851434250212</v>
      </c>
      <c r="E211" s="1">
        <f t="shared" si="40"/>
        <v>0.11560693641618497</v>
      </c>
      <c r="F211" s="4">
        <f t="shared" si="41"/>
        <v>8.3148565749787906E-2</v>
      </c>
    </row>
    <row r="212" spans="1:6" x14ac:dyDescent="0.3">
      <c r="A212" s="1">
        <f t="shared" si="38"/>
        <v>730960</v>
      </c>
      <c r="B212" s="1">
        <v>30.521000000000001</v>
      </c>
      <c r="C212" s="1">
        <f t="shared" si="39"/>
        <v>-0.16199999999999903</v>
      </c>
      <c r="D212" s="4">
        <f t="shared" si="33"/>
        <v>30.484244497834027</v>
      </c>
      <c r="E212" s="1">
        <f t="shared" si="40"/>
        <v>0.11560693641618497</v>
      </c>
      <c r="F212" s="4">
        <f t="shared" si="41"/>
        <v>3.6755502165974008E-2</v>
      </c>
    </row>
    <row r="213" spans="1:6" x14ac:dyDescent="0.3">
      <c r="A213" s="1">
        <f t="shared" si="38"/>
        <v>730980</v>
      </c>
      <c r="B213" s="1">
        <v>30.375</v>
      </c>
      <c r="C213" s="1">
        <f t="shared" si="39"/>
        <v>-0.1460000000000008</v>
      </c>
      <c r="D213" s="4">
        <f t="shared" si="33"/>
        <v>30.368637561417842</v>
      </c>
      <c r="E213" s="1">
        <f t="shared" si="40"/>
        <v>0.11560693641618497</v>
      </c>
      <c r="F213" s="4">
        <f t="shared" si="41"/>
        <v>6.3624385821583473E-3</v>
      </c>
    </row>
    <row r="214" spans="1:6" x14ac:dyDescent="0.3">
      <c r="A214" s="1">
        <f t="shared" si="38"/>
        <v>731000</v>
      </c>
      <c r="B214" s="1">
        <v>30.254000000000001</v>
      </c>
      <c r="C214" s="1">
        <f t="shared" si="39"/>
        <v>-0.12099999999999866</v>
      </c>
      <c r="D214" s="4">
        <f t="shared" si="33"/>
        <v>30.253030625001657</v>
      </c>
      <c r="E214" s="1">
        <f t="shared" si="40"/>
        <v>0.11560693641618497</v>
      </c>
      <c r="F214" s="4">
        <f t="shared" si="41"/>
        <v>9.6937499834481855E-4</v>
      </c>
    </row>
    <row r="215" spans="1:6" x14ac:dyDescent="0.3">
      <c r="A215" s="1">
        <f t="shared" si="38"/>
        <v>731020</v>
      </c>
      <c r="B215" s="1">
        <v>30.158000000000001</v>
      </c>
      <c r="C215" s="1">
        <f t="shared" si="39"/>
        <v>-9.6000000000000085E-2</v>
      </c>
      <c r="D215" s="4">
        <f t="shared" si="33"/>
        <v>30.137423688585471</v>
      </c>
      <c r="E215" s="1">
        <f t="shared" si="40"/>
        <v>0.11560693641618497</v>
      </c>
      <c r="F215" s="4">
        <f t="shared" si="41"/>
        <v>2.0576311414529869E-2</v>
      </c>
    </row>
    <row r="216" spans="1:6" x14ac:dyDescent="0.3">
      <c r="A216" s="1">
        <f t="shared" si="38"/>
        <v>731040</v>
      </c>
      <c r="B216" s="1">
        <v>30.067</v>
      </c>
      <c r="C216" s="1">
        <f t="shared" si="39"/>
        <v>-9.100000000000108E-2</v>
      </c>
      <c r="D216" s="4">
        <f t="shared" si="33"/>
        <v>30.021816752169286</v>
      </c>
      <c r="E216" s="1">
        <f t="shared" si="40"/>
        <v>0.11560693641618497</v>
      </c>
      <c r="F216" s="4">
        <f t="shared" si="41"/>
        <v>4.5183247830713924E-2</v>
      </c>
    </row>
    <row r="217" spans="1:6" x14ac:dyDescent="0.3">
      <c r="A217" s="1">
        <f t="shared" si="38"/>
        <v>731060</v>
      </c>
      <c r="B217" s="1">
        <v>29.991</v>
      </c>
      <c r="C217" s="1">
        <f t="shared" si="39"/>
        <v>-7.6000000000000512E-2</v>
      </c>
      <c r="D217" s="4">
        <f t="shared" si="33"/>
        <v>29.906209815753101</v>
      </c>
      <c r="E217" s="1">
        <f t="shared" si="40"/>
        <v>0.11560693641618497</v>
      </c>
      <c r="F217" s="4">
        <f t="shared" si="41"/>
        <v>8.4790184246898548E-2</v>
      </c>
    </row>
    <row r="218" spans="1:6" x14ac:dyDescent="0.3">
      <c r="A218" s="1">
        <f t="shared" si="38"/>
        <v>731080</v>
      </c>
      <c r="B218" s="1">
        <v>29.875</v>
      </c>
      <c r="C218" s="1">
        <f t="shared" si="39"/>
        <v>-0.11599999999999966</v>
      </c>
      <c r="D218" s="4">
        <f t="shared" si="33"/>
        <v>29.790602879336916</v>
      </c>
      <c r="E218" s="1">
        <f t="shared" si="40"/>
        <v>0.11560693641618497</v>
      </c>
      <c r="F218" s="4">
        <f t="shared" si="41"/>
        <v>8.4397120663084024E-2</v>
      </c>
    </row>
    <row r="219" spans="1:6" x14ac:dyDescent="0.3">
      <c r="A219" s="1">
        <f t="shared" si="38"/>
        <v>731100</v>
      </c>
      <c r="B219" s="1">
        <v>29.747</v>
      </c>
      <c r="C219" s="1">
        <f t="shared" si="39"/>
        <v>-0.12800000000000011</v>
      </c>
      <c r="D219" s="4">
        <f t="shared" si="33"/>
        <v>29.674995942920731</v>
      </c>
      <c r="E219" s="1">
        <f t="shared" si="40"/>
        <v>0.11560693641618497</v>
      </c>
      <c r="F219" s="4">
        <f t="shared" si="41"/>
        <v>7.2004057079269046E-2</v>
      </c>
    </row>
    <row r="220" spans="1:6" x14ac:dyDescent="0.3">
      <c r="A220" s="1">
        <f t="shared" si="38"/>
        <v>731120</v>
      </c>
      <c r="B220" s="1">
        <v>29.631</v>
      </c>
      <c r="C220" s="1">
        <f t="shared" si="39"/>
        <v>-0.11599999999999966</v>
      </c>
      <c r="D220" s="4">
        <f t="shared" si="33"/>
        <v>29.559389006504546</v>
      </c>
      <c r="E220" s="1">
        <f t="shared" si="40"/>
        <v>0.11560693641618497</v>
      </c>
      <c r="F220" s="4">
        <f t="shared" si="41"/>
        <v>7.1610993495454522E-2</v>
      </c>
    </row>
    <row r="221" spans="1:6" x14ac:dyDescent="0.3">
      <c r="A221" s="1">
        <f t="shared" si="38"/>
        <v>731140</v>
      </c>
      <c r="B221" s="1">
        <v>29.545999999999999</v>
      </c>
      <c r="C221" s="1">
        <f t="shared" si="39"/>
        <v>-8.5000000000000853E-2</v>
      </c>
      <c r="D221" s="4">
        <f t="shared" si="33"/>
        <v>29.443782070088361</v>
      </c>
      <c r="E221" s="1">
        <f t="shared" si="40"/>
        <v>0.11560693641618497</v>
      </c>
      <c r="F221" s="4">
        <f t="shared" si="41"/>
        <v>0.10221792991163881</v>
      </c>
    </row>
    <row r="222" spans="1:6" x14ac:dyDescent="0.3">
      <c r="A222" s="1">
        <f t="shared" si="38"/>
        <v>731160</v>
      </c>
      <c r="B222" s="1">
        <v>29.497</v>
      </c>
      <c r="C222" s="1">
        <f t="shared" si="39"/>
        <v>-4.8999999999999488E-2</v>
      </c>
      <c r="D222" s="4">
        <f t="shared" si="33"/>
        <v>29.328175133672175</v>
      </c>
      <c r="E222" s="1">
        <f t="shared" si="40"/>
        <v>0.11560693641618497</v>
      </c>
      <c r="F222" s="4">
        <f t="shared" si="41"/>
        <v>0.16882486632782445</v>
      </c>
    </row>
    <row r="223" spans="1:6" x14ac:dyDescent="0.3">
      <c r="A223" s="1">
        <f t="shared" si="38"/>
        <v>731180</v>
      </c>
      <c r="B223" s="1">
        <v>29.420999999999999</v>
      </c>
      <c r="C223" s="1">
        <f t="shared" si="39"/>
        <v>-7.6000000000000512E-2</v>
      </c>
      <c r="D223" s="4">
        <f t="shared" si="33"/>
        <v>29.21256819725599</v>
      </c>
      <c r="E223" s="1">
        <f t="shared" si="40"/>
        <v>0.11560693641618497</v>
      </c>
      <c r="F223" s="4">
        <f t="shared" si="41"/>
        <v>0.20843180274400908</v>
      </c>
    </row>
    <row r="224" spans="1:6" x14ac:dyDescent="0.3">
      <c r="A224" s="1">
        <f t="shared" si="38"/>
        <v>731200</v>
      </c>
      <c r="B224" s="1">
        <v>29.349</v>
      </c>
      <c r="C224" s="1">
        <f t="shared" si="39"/>
        <v>-7.1999999999999176E-2</v>
      </c>
      <c r="D224" s="4">
        <f t="shared" si="33"/>
        <v>29.096961260839805</v>
      </c>
      <c r="E224" s="1">
        <f t="shared" si="40"/>
        <v>0.11560693641618497</v>
      </c>
      <c r="F224" s="4">
        <f t="shared" si="41"/>
        <v>0.25203873916019504</v>
      </c>
    </row>
    <row r="225" spans="1:6" x14ac:dyDescent="0.3">
      <c r="A225" s="1">
        <f t="shared" si="38"/>
        <v>731220</v>
      </c>
      <c r="B225" s="1">
        <v>29.247</v>
      </c>
      <c r="C225" s="1">
        <f t="shared" si="39"/>
        <v>-0.10200000000000031</v>
      </c>
      <c r="D225" s="4">
        <f t="shared" si="33"/>
        <v>28.98135432442362</v>
      </c>
      <c r="E225" s="1">
        <f t="shared" si="40"/>
        <v>0.11560693641618497</v>
      </c>
      <c r="F225" s="4">
        <f t="shared" si="41"/>
        <v>0.26564567557637986</v>
      </c>
    </row>
    <row r="226" spans="1:6" x14ac:dyDescent="0.3">
      <c r="A226" s="1">
        <f t="shared" si="38"/>
        <v>731240</v>
      </c>
      <c r="B226" s="1">
        <v>29.132000000000001</v>
      </c>
      <c r="C226" s="1">
        <f t="shared" si="39"/>
        <v>-0.11499999999999844</v>
      </c>
      <c r="D226" s="4">
        <f t="shared" si="33"/>
        <v>28.865747388007435</v>
      </c>
      <c r="E226" s="1">
        <f t="shared" si="40"/>
        <v>0.11560693641618497</v>
      </c>
      <c r="F226" s="4">
        <f t="shared" si="41"/>
        <v>0.26625261199256656</v>
      </c>
    </row>
    <row r="227" spans="1:6" x14ac:dyDescent="0.3">
      <c r="A227" s="1">
        <f t="shared" si="38"/>
        <v>731260</v>
      </c>
      <c r="B227" s="1">
        <v>28.998999999999999</v>
      </c>
      <c r="C227" s="1">
        <f t="shared" si="39"/>
        <v>-0.13300000000000267</v>
      </c>
      <c r="D227" s="4">
        <f t="shared" si="33"/>
        <v>28.75014045159125</v>
      </c>
      <c r="E227" s="1">
        <f t="shared" si="40"/>
        <v>0.11560693641618497</v>
      </c>
      <c r="F227" s="4">
        <f t="shared" si="41"/>
        <v>0.24885954840874902</v>
      </c>
    </row>
    <row r="228" spans="1:6" x14ac:dyDescent="0.3">
      <c r="A228" s="1">
        <f t="shared" si="38"/>
        <v>731280</v>
      </c>
      <c r="B228" s="1">
        <v>28.856999999999999</v>
      </c>
      <c r="C228" s="1">
        <f t="shared" si="39"/>
        <v>-0.14199999999999946</v>
      </c>
      <c r="D228" s="4">
        <f t="shared" si="33"/>
        <v>28.634533515175065</v>
      </c>
      <c r="E228" s="1">
        <f t="shared" si="40"/>
        <v>0.11560693641618497</v>
      </c>
      <c r="F228" s="4">
        <f t="shared" si="41"/>
        <v>0.2224664848249347</v>
      </c>
    </row>
    <row r="229" spans="1:6" x14ac:dyDescent="0.3">
      <c r="A229" s="1">
        <f t="shared" si="38"/>
        <v>731300</v>
      </c>
      <c r="B229" s="1">
        <v>28.722000000000001</v>
      </c>
      <c r="C229" s="1">
        <f t="shared" si="39"/>
        <v>-0.13499999999999801</v>
      </c>
      <c r="D229" s="4">
        <f t="shared" si="33"/>
        <v>28.518926578758879</v>
      </c>
      <c r="E229" s="1">
        <f t="shared" si="40"/>
        <v>0.11560693641618497</v>
      </c>
      <c r="F229" s="4">
        <f t="shared" si="41"/>
        <v>0.20307342124112182</v>
      </c>
    </row>
    <row r="230" spans="1:6" x14ac:dyDescent="0.3">
      <c r="A230" s="1">
        <f t="shared" si="38"/>
        <v>731320</v>
      </c>
      <c r="B230" s="1">
        <v>28.638999999999999</v>
      </c>
      <c r="C230" s="1">
        <f t="shared" si="39"/>
        <v>-8.3000000000001961E-2</v>
      </c>
      <c r="D230" s="4">
        <f t="shared" si="33"/>
        <v>28.403319642342694</v>
      </c>
      <c r="E230" s="1">
        <f t="shared" si="40"/>
        <v>0.11560693641618497</v>
      </c>
      <c r="F230" s="4">
        <f t="shared" si="41"/>
        <v>0.235680357657305</v>
      </c>
    </row>
    <row r="231" spans="1:6" x14ac:dyDescent="0.3">
      <c r="A231" s="1">
        <f t="shared" si="38"/>
        <v>731340</v>
      </c>
      <c r="B231" s="1">
        <v>28.516999999999999</v>
      </c>
      <c r="C231" s="1">
        <f t="shared" si="39"/>
        <v>-0.12199999999999989</v>
      </c>
      <c r="D231" s="4">
        <f t="shared" si="33"/>
        <v>28.287712705926509</v>
      </c>
      <c r="E231" s="1">
        <f t="shared" si="40"/>
        <v>0.11560693641618497</v>
      </c>
      <c r="F231" s="4">
        <f t="shared" si="41"/>
        <v>0.22928729407349024</v>
      </c>
    </row>
    <row r="232" spans="1:6" x14ac:dyDescent="0.3">
      <c r="A232" s="1">
        <f t="shared" si="38"/>
        <v>731360</v>
      </c>
      <c r="B232" s="1">
        <v>28.372</v>
      </c>
      <c r="C232" s="1">
        <f t="shared" si="39"/>
        <v>-0.14499999999999957</v>
      </c>
      <c r="D232" s="4">
        <f t="shared" si="33"/>
        <v>28.172105769510324</v>
      </c>
      <c r="E232" s="1">
        <f t="shared" si="40"/>
        <v>0.11560693641618497</v>
      </c>
      <c r="F232" s="4">
        <f t="shared" si="41"/>
        <v>0.19989423048967581</v>
      </c>
    </row>
    <row r="233" spans="1:6" x14ac:dyDescent="0.3">
      <c r="A233" s="1">
        <f t="shared" si="38"/>
        <v>731380</v>
      </c>
      <c r="B233" s="1">
        <v>28.236999999999998</v>
      </c>
      <c r="C233" s="1">
        <f t="shared" si="39"/>
        <v>-0.13500000000000156</v>
      </c>
      <c r="D233" s="4">
        <f t="shared" si="33"/>
        <v>28.056498833094139</v>
      </c>
      <c r="E233" s="1">
        <f t="shared" si="40"/>
        <v>0.11560693641618497</v>
      </c>
      <c r="F233" s="4">
        <f t="shared" si="41"/>
        <v>0.18050116690585938</v>
      </c>
    </row>
    <row r="234" spans="1:6" x14ac:dyDescent="0.3">
      <c r="A234" s="1">
        <f t="shared" si="38"/>
        <v>731400</v>
      </c>
      <c r="B234" s="1">
        <v>28.077999999999999</v>
      </c>
      <c r="C234" s="1">
        <f t="shared" si="39"/>
        <v>-0.15899999999999892</v>
      </c>
      <c r="D234" s="4">
        <f t="shared" si="33"/>
        <v>27.940891896677954</v>
      </c>
      <c r="E234" s="1">
        <f t="shared" si="40"/>
        <v>0.11560693641618497</v>
      </c>
      <c r="F234" s="4">
        <f t="shared" si="41"/>
        <v>0.13710810332204559</v>
      </c>
    </row>
    <row r="235" spans="1:6" x14ac:dyDescent="0.3">
      <c r="A235" s="1">
        <f t="shared" si="38"/>
        <v>731420</v>
      </c>
      <c r="B235" s="1">
        <v>27.937999999999999</v>
      </c>
      <c r="C235" s="1">
        <f t="shared" si="39"/>
        <v>-0.14000000000000057</v>
      </c>
      <c r="D235" s="4">
        <f t="shared" si="33"/>
        <v>27.825284960261769</v>
      </c>
      <c r="E235" s="1">
        <f t="shared" si="40"/>
        <v>0.11560693641618497</v>
      </c>
      <c r="F235" s="4">
        <f t="shared" si="41"/>
        <v>0.11271503973823016</v>
      </c>
    </row>
    <row r="236" spans="1:6" x14ac:dyDescent="0.3">
      <c r="A236" s="1">
        <f t="shared" si="38"/>
        <v>731440</v>
      </c>
      <c r="B236" s="1">
        <v>27.86</v>
      </c>
      <c r="C236" s="1">
        <f t="shared" si="39"/>
        <v>-7.7999999999999403E-2</v>
      </c>
      <c r="D236" s="4">
        <f t="shared" si="33"/>
        <v>27.709678023845584</v>
      </c>
      <c r="E236" s="1">
        <f t="shared" si="40"/>
        <v>0.11560693641618497</v>
      </c>
      <c r="F236" s="4">
        <f t="shared" si="41"/>
        <v>0.15032197615441589</v>
      </c>
    </row>
    <row r="237" spans="1:6" x14ac:dyDescent="0.3">
      <c r="A237" s="1">
        <f t="shared" si="38"/>
        <v>731460</v>
      </c>
      <c r="B237" s="1">
        <v>27.757999999999999</v>
      </c>
      <c r="C237" s="1">
        <f t="shared" si="39"/>
        <v>-0.10200000000000031</v>
      </c>
      <c r="D237" s="4">
        <f t="shared" ref="D237:D266" si="42">D236-E236</f>
        <v>27.594071087429398</v>
      </c>
      <c r="E237" s="1">
        <f t="shared" si="40"/>
        <v>0.11560693641618497</v>
      </c>
      <c r="F237" s="4">
        <f t="shared" si="41"/>
        <v>0.16392891257060072</v>
      </c>
    </row>
    <row r="238" spans="1:6" x14ac:dyDescent="0.3">
      <c r="A238" s="1">
        <f t="shared" si="38"/>
        <v>731480</v>
      </c>
      <c r="B238" s="1">
        <v>27.631</v>
      </c>
      <c r="C238" s="1">
        <f t="shared" si="39"/>
        <v>-0.12699999999999889</v>
      </c>
      <c r="D238" s="4">
        <f t="shared" si="42"/>
        <v>27.478464151013213</v>
      </c>
      <c r="E238" s="1">
        <f t="shared" si="40"/>
        <v>0.11560693641618497</v>
      </c>
      <c r="F238" s="4">
        <f t="shared" si="41"/>
        <v>0.15253584898678696</v>
      </c>
    </row>
    <row r="239" spans="1:6" x14ac:dyDescent="0.3">
      <c r="A239" s="1">
        <f t="shared" si="38"/>
        <v>731500</v>
      </c>
      <c r="B239" s="1">
        <v>27.495999999999999</v>
      </c>
      <c r="C239" s="1">
        <f t="shared" si="39"/>
        <v>-0.13500000000000156</v>
      </c>
      <c r="D239" s="4">
        <f t="shared" si="42"/>
        <v>27.362857214597028</v>
      </c>
      <c r="E239" s="1">
        <f t="shared" si="40"/>
        <v>0.11560693641618497</v>
      </c>
      <c r="F239" s="4">
        <f t="shared" si="41"/>
        <v>0.13314278540297053</v>
      </c>
    </row>
    <row r="240" spans="1:6" x14ac:dyDescent="0.3">
      <c r="A240" s="1">
        <f t="shared" si="38"/>
        <v>731520</v>
      </c>
      <c r="B240" s="1">
        <v>27.367000000000001</v>
      </c>
      <c r="C240" s="1">
        <f t="shared" si="39"/>
        <v>-0.12899999999999778</v>
      </c>
      <c r="D240" s="4">
        <f t="shared" si="42"/>
        <v>27.247250278180843</v>
      </c>
      <c r="E240" s="1">
        <f t="shared" si="40"/>
        <v>0.11560693641618497</v>
      </c>
      <c r="F240" s="4">
        <f t="shared" si="41"/>
        <v>0.11974972181915788</v>
      </c>
    </row>
    <row r="241" spans="1:17" x14ac:dyDescent="0.3">
      <c r="A241" s="1">
        <f t="shared" si="38"/>
        <v>731540</v>
      </c>
      <c r="B241" s="1">
        <v>27.198</v>
      </c>
      <c r="C241" s="1">
        <f t="shared" si="39"/>
        <v>-0.16900000000000048</v>
      </c>
      <c r="D241" s="4">
        <f t="shared" si="42"/>
        <v>27.131643341764658</v>
      </c>
      <c r="E241" s="1">
        <f t="shared" si="40"/>
        <v>0.11560693641618497</v>
      </c>
      <c r="F241" s="4">
        <f t="shared" si="41"/>
        <v>6.6356658235342536E-2</v>
      </c>
    </row>
    <row r="242" spans="1:17" x14ac:dyDescent="0.3">
      <c r="A242" s="1">
        <f t="shared" si="38"/>
        <v>731560</v>
      </c>
      <c r="B242" s="1">
        <v>27.02</v>
      </c>
      <c r="C242" s="1">
        <f t="shared" si="39"/>
        <v>-0.17800000000000082</v>
      </c>
      <c r="D242" s="4">
        <f t="shared" si="42"/>
        <v>27.016036405348473</v>
      </c>
      <c r="E242" s="1">
        <f t="shared" si="40"/>
        <v>0.11560693641618497</v>
      </c>
      <c r="F242" s="4">
        <f t="shared" si="41"/>
        <v>3.9635946515268472E-3</v>
      </c>
    </row>
    <row r="243" spans="1:17" x14ac:dyDescent="0.3">
      <c r="A243" s="1"/>
      <c r="B243" s="1"/>
      <c r="C243" s="1"/>
      <c r="D243" s="1"/>
      <c r="E243" s="1"/>
      <c r="F243" s="1"/>
      <c r="G243" s="3" t="s">
        <v>19</v>
      </c>
      <c r="I243" s="3"/>
      <c r="N243">
        <f>1/N244</f>
        <v>8.2644628099173556E-3</v>
      </c>
      <c r="O243">
        <f>N243*20</f>
        <v>0.16528925619834711</v>
      </c>
      <c r="P243" t="s">
        <v>4</v>
      </c>
      <c r="Q243">
        <v>121</v>
      </c>
    </row>
    <row r="244" spans="1:17" x14ac:dyDescent="0.3">
      <c r="A244" s="1">
        <f>A242+20</f>
        <v>731580</v>
      </c>
      <c r="B244" s="1">
        <v>26.841999999999999</v>
      </c>
      <c r="C244" s="1">
        <f>B244-B242</f>
        <v>-0.17800000000000082</v>
      </c>
      <c r="D244" s="4">
        <f>D242-E244</f>
        <v>26.850747149150127</v>
      </c>
      <c r="E244" s="1">
        <f>O243</f>
        <v>0.16528925619834711</v>
      </c>
      <c r="F244" s="4">
        <f t="shared" ref="F244:F245" si="43">B244-D244</f>
        <v>-8.7471491501283083E-3</v>
      </c>
      <c r="G244">
        <f>A242</f>
        <v>731560</v>
      </c>
      <c r="H244">
        <f>A266</f>
        <v>732020</v>
      </c>
      <c r="I244">
        <f>H244-G244</f>
        <v>460</v>
      </c>
      <c r="J244" s="5">
        <f>D242</f>
        <v>27.016036405348473</v>
      </c>
      <c r="K244">
        <f>B266</f>
        <v>23.2</v>
      </c>
      <c r="L244" s="5">
        <f>K244-J244</f>
        <v>-3.8160364053484734</v>
      </c>
      <c r="M244">
        <f>I244/L244</f>
        <v>-120.54392336385314</v>
      </c>
      <c r="N244">
        <v>121</v>
      </c>
    </row>
    <row r="245" spans="1:17" x14ac:dyDescent="0.3">
      <c r="A245" s="1">
        <f t="shared" si="38"/>
        <v>731600</v>
      </c>
      <c r="B245" s="1">
        <v>26.638000000000002</v>
      </c>
      <c r="C245" s="1">
        <f t="shared" si="39"/>
        <v>-0.20399999999999707</v>
      </c>
      <c r="D245" s="4">
        <f>D244-E244</f>
        <v>26.685457892951781</v>
      </c>
      <c r="E245" s="1">
        <f t="shared" ref="E245" si="44">E244</f>
        <v>0.16528925619834711</v>
      </c>
      <c r="F245" s="4">
        <f t="shared" si="43"/>
        <v>-4.7457892951779712E-2</v>
      </c>
    </row>
    <row r="246" spans="1:17" x14ac:dyDescent="0.3">
      <c r="A246" s="1">
        <f t="shared" si="38"/>
        <v>731620</v>
      </c>
      <c r="B246" s="1">
        <v>26.457999999999998</v>
      </c>
      <c r="C246" s="1">
        <f t="shared" si="39"/>
        <v>-0.18000000000000327</v>
      </c>
      <c r="D246" s="4">
        <f t="shared" si="42"/>
        <v>26.520168636753436</v>
      </c>
      <c r="E246" s="1">
        <f t="shared" si="40"/>
        <v>0.16528925619834711</v>
      </c>
      <c r="F246" s="4">
        <f t="shared" si="41"/>
        <v>-6.2168636753437312E-2</v>
      </c>
    </row>
    <row r="247" spans="1:17" x14ac:dyDescent="0.3">
      <c r="A247" s="1">
        <f t="shared" si="38"/>
        <v>731640</v>
      </c>
      <c r="B247" s="1">
        <v>26.259</v>
      </c>
      <c r="C247" s="1">
        <f t="shared" si="39"/>
        <v>-0.19899999999999807</v>
      </c>
      <c r="D247" s="4">
        <f t="shared" si="42"/>
        <v>26.35487938055509</v>
      </c>
      <c r="E247" s="1">
        <f t="shared" si="40"/>
        <v>0.16528925619834711</v>
      </c>
      <c r="F247" s="4">
        <f t="shared" si="41"/>
        <v>-9.587938055508971E-2</v>
      </c>
    </row>
    <row r="248" spans="1:17" x14ac:dyDescent="0.3">
      <c r="A248" s="1">
        <f t="shared" si="38"/>
        <v>731660</v>
      </c>
      <c r="B248" s="1">
        <v>26.103000000000002</v>
      </c>
      <c r="C248" s="1">
        <f t="shared" si="39"/>
        <v>-0.15599999999999881</v>
      </c>
      <c r="D248" s="4">
        <f t="shared" si="42"/>
        <v>26.189590124356744</v>
      </c>
      <c r="E248" s="1">
        <f t="shared" si="40"/>
        <v>0.16528925619834711</v>
      </c>
      <c r="F248" s="4">
        <f t="shared" si="41"/>
        <v>-8.6590124356742848E-2</v>
      </c>
    </row>
    <row r="249" spans="1:17" x14ac:dyDescent="0.3">
      <c r="A249" s="1">
        <f t="shared" si="38"/>
        <v>731680</v>
      </c>
      <c r="B249" s="1">
        <v>25.984999999999999</v>
      </c>
      <c r="C249" s="1">
        <f t="shared" si="39"/>
        <v>-0.1180000000000021</v>
      </c>
      <c r="D249" s="4">
        <f t="shared" si="42"/>
        <v>26.024300868158399</v>
      </c>
      <c r="E249" s="1">
        <f t="shared" si="40"/>
        <v>0.16528925619834711</v>
      </c>
      <c r="F249" s="4">
        <f t="shared" si="41"/>
        <v>-3.9300868158399282E-2</v>
      </c>
    </row>
    <row r="250" spans="1:17" x14ac:dyDescent="0.3">
      <c r="A250" s="1">
        <f t="shared" si="38"/>
        <v>731700</v>
      </c>
      <c r="B250" s="1">
        <v>25.856999999999999</v>
      </c>
      <c r="C250" s="1">
        <f t="shared" si="39"/>
        <v>-0.12800000000000011</v>
      </c>
      <c r="D250" s="4">
        <f t="shared" si="42"/>
        <v>25.859011611960053</v>
      </c>
      <c r="E250" s="1">
        <f t="shared" si="40"/>
        <v>0.16528925619834711</v>
      </c>
      <c r="F250" s="4">
        <f t="shared" si="41"/>
        <v>-2.0116119600537274E-3</v>
      </c>
    </row>
    <row r="251" spans="1:17" x14ac:dyDescent="0.3">
      <c r="A251" s="1">
        <f t="shared" si="38"/>
        <v>731720</v>
      </c>
      <c r="B251" s="1">
        <v>25.731999999999999</v>
      </c>
      <c r="C251" s="1">
        <f t="shared" si="39"/>
        <v>-0.125</v>
      </c>
      <c r="D251" s="4">
        <f t="shared" si="42"/>
        <v>25.693722355761707</v>
      </c>
      <c r="E251" s="1">
        <f t="shared" si="40"/>
        <v>0.16528925619834711</v>
      </c>
      <c r="F251" s="4">
        <f t="shared" si="41"/>
        <v>3.8277644238291941E-2</v>
      </c>
    </row>
    <row r="252" spans="1:17" x14ac:dyDescent="0.3">
      <c r="A252" s="1">
        <f t="shared" si="38"/>
        <v>731740</v>
      </c>
      <c r="B252" s="1">
        <v>25.617999999999999</v>
      </c>
      <c r="C252" s="1">
        <f t="shared" si="39"/>
        <v>-0.11400000000000077</v>
      </c>
      <c r="D252" s="4">
        <f t="shared" si="42"/>
        <v>25.528433099563362</v>
      </c>
      <c r="E252" s="1">
        <f t="shared" si="40"/>
        <v>0.16528925619834711</v>
      </c>
      <c r="F252" s="4">
        <f t="shared" si="41"/>
        <v>8.9566900436636843E-2</v>
      </c>
    </row>
    <row r="253" spans="1:17" x14ac:dyDescent="0.3">
      <c r="A253" s="1">
        <f t="shared" si="38"/>
        <v>731760</v>
      </c>
      <c r="B253" s="1">
        <v>25.436</v>
      </c>
      <c r="C253" s="1">
        <f t="shared" si="39"/>
        <v>-0.18199999999999861</v>
      </c>
      <c r="D253" s="4">
        <f t="shared" si="42"/>
        <v>25.363143843365016</v>
      </c>
      <c r="E253" s="1">
        <f t="shared" si="40"/>
        <v>0.16528925619834711</v>
      </c>
      <c r="F253" s="4">
        <f t="shared" si="41"/>
        <v>7.2856156634983904E-2</v>
      </c>
    </row>
    <row r="254" spans="1:17" x14ac:dyDescent="0.3">
      <c r="A254" s="1">
        <f t="shared" si="38"/>
        <v>731780</v>
      </c>
      <c r="B254" s="1">
        <v>25.286000000000001</v>
      </c>
      <c r="C254" s="1">
        <f t="shared" si="39"/>
        <v>-0.14999999999999858</v>
      </c>
      <c r="D254" s="4">
        <f t="shared" si="42"/>
        <v>25.19785458716667</v>
      </c>
      <c r="E254" s="1">
        <f t="shared" si="40"/>
        <v>0.16528925619834711</v>
      </c>
      <c r="F254" s="4">
        <f t="shared" si="41"/>
        <v>8.8145412833330994E-2</v>
      </c>
    </row>
    <row r="255" spans="1:17" x14ac:dyDescent="0.3">
      <c r="A255" s="1">
        <f t="shared" si="38"/>
        <v>731800</v>
      </c>
      <c r="B255" s="1">
        <v>25.091999999999999</v>
      </c>
      <c r="C255" s="1">
        <f t="shared" si="39"/>
        <v>-0.19400000000000261</v>
      </c>
      <c r="D255" s="4">
        <f t="shared" si="42"/>
        <v>25.032565330968325</v>
      </c>
      <c r="E255" s="1">
        <f t="shared" si="40"/>
        <v>0.16528925619834711</v>
      </c>
      <c r="F255" s="4">
        <f t="shared" si="41"/>
        <v>5.9434669031674048E-2</v>
      </c>
    </row>
    <row r="256" spans="1:17" x14ac:dyDescent="0.3">
      <c r="A256" s="1">
        <f t="shared" si="38"/>
        <v>731820</v>
      </c>
      <c r="B256" s="1">
        <v>24.853999999999999</v>
      </c>
      <c r="C256" s="1">
        <f t="shared" si="39"/>
        <v>-0.23799999999999955</v>
      </c>
      <c r="D256" s="4">
        <f t="shared" si="42"/>
        <v>24.867276074769979</v>
      </c>
      <c r="E256" s="1">
        <f t="shared" si="40"/>
        <v>0.16528925619834711</v>
      </c>
      <c r="F256" s="4">
        <f t="shared" si="41"/>
        <v>-1.3276074769979829E-2</v>
      </c>
    </row>
    <row r="257" spans="1:6" x14ac:dyDescent="0.3">
      <c r="A257" s="1">
        <f t="shared" si="38"/>
        <v>731840</v>
      </c>
      <c r="B257" s="1">
        <v>24.646999999999998</v>
      </c>
      <c r="C257" s="1">
        <f t="shared" si="39"/>
        <v>-0.20700000000000074</v>
      </c>
      <c r="D257" s="4">
        <f t="shared" si="42"/>
        <v>24.701986818571633</v>
      </c>
      <c r="E257" s="1">
        <f t="shared" si="40"/>
        <v>0.16528925619834711</v>
      </c>
      <c r="F257" s="4">
        <f t="shared" si="41"/>
        <v>-5.4986818571634899E-2</v>
      </c>
    </row>
    <row r="258" spans="1:6" x14ac:dyDescent="0.3">
      <c r="A258" s="1">
        <f t="shared" si="38"/>
        <v>731860</v>
      </c>
      <c r="B258" s="1">
        <v>24.419</v>
      </c>
      <c r="C258" s="1">
        <f t="shared" si="39"/>
        <v>-0.22799999999999798</v>
      </c>
      <c r="D258" s="4">
        <f t="shared" si="42"/>
        <v>24.536697562373288</v>
      </c>
      <c r="E258" s="1">
        <f t="shared" si="40"/>
        <v>0.16528925619834711</v>
      </c>
      <c r="F258" s="4">
        <f t="shared" si="41"/>
        <v>-0.11769756237328721</v>
      </c>
    </row>
    <row r="259" spans="1:6" x14ac:dyDescent="0.3">
      <c r="A259" s="1">
        <f t="shared" si="38"/>
        <v>731880</v>
      </c>
      <c r="B259" s="1">
        <v>24.17</v>
      </c>
      <c r="C259" s="1">
        <f t="shared" si="39"/>
        <v>-0.24899999999999878</v>
      </c>
      <c r="D259" s="4">
        <f t="shared" si="42"/>
        <v>24.371408306174942</v>
      </c>
      <c r="E259" s="1">
        <f t="shared" si="40"/>
        <v>0.16528925619834711</v>
      </c>
      <c r="F259" s="4">
        <f t="shared" si="41"/>
        <v>-0.20140830617494032</v>
      </c>
    </row>
    <row r="260" spans="1:6" x14ac:dyDescent="0.3">
      <c r="A260" s="1">
        <f t="shared" si="38"/>
        <v>731900</v>
      </c>
      <c r="B260" s="1">
        <v>23.968</v>
      </c>
      <c r="C260" s="1">
        <f t="shared" si="39"/>
        <v>-0.20200000000000173</v>
      </c>
      <c r="D260" s="4">
        <f t="shared" si="42"/>
        <v>24.206119049976596</v>
      </c>
      <c r="E260" s="1">
        <f t="shared" si="40"/>
        <v>0.16528925619834711</v>
      </c>
      <c r="F260" s="4">
        <f t="shared" si="41"/>
        <v>-0.23811904997659639</v>
      </c>
    </row>
    <row r="261" spans="1:6" x14ac:dyDescent="0.3">
      <c r="A261" s="1">
        <f t="shared" si="38"/>
        <v>731920</v>
      </c>
      <c r="B261" s="1">
        <v>23.783000000000001</v>
      </c>
      <c r="C261" s="1">
        <f t="shared" si="39"/>
        <v>-0.18499999999999872</v>
      </c>
      <c r="D261" s="4">
        <f t="shared" si="42"/>
        <v>24.040829793778251</v>
      </c>
      <c r="E261" s="1">
        <f t="shared" si="40"/>
        <v>0.16528925619834711</v>
      </c>
      <c r="F261" s="4">
        <f t="shared" si="41"/>
        <v>-0.25782979377824944</v>
      </c>
    </row>
    <row r="262" spans="1:6" x14ac:dyDescent="0.3">
      <c r="A262" s="1">
        <f t="shared" si="38"/>
        <v>731940</v>
      </c>
      <c r="B262" s="1">
        <v>23.649000000000001</v>
      </c>
      <c r="C262" s="1">
        <f t="shared" si="39"/>
        <v>-0.13400000000000034</v>
      </c>
      <c r="D262" s="4">
        <f t="shared" si="42"/>
        <v>23.875540537579905</v>
      </c>
      <c r="E262" s="1">
        <f t="shared" si="40"/>
        <v>0.16528925619834711</v>
      </c>
      <c r="F262" s="4">
        <f t="shared" si="41"/>
        <v>-0.22654053757990411</v>
      </c>
    </row>
    <row r="263" spans="1:6" x14ac:dyDescent="0.3">
      <c r="A263" s="1">
        <f t="shared" si="38"/>
        <v>731960</v>
      </c>
      <c r="B263" s="1">
        <v>23.516999999999999</v>
      </c>
      <c r="C263" s="1">
        <f t="shared" si="39"/>
        <v>-0.13200000000000145</v>
      </c>
      <c r="D263" s="4">
        <f t="shared" si="42"/>
        <v>23.710251281381559</v>
      </c>
      <c r="E263" s="1">
        <f t="shared" si="40"/>
        <v>0.16528925619834711</v>
      </c>
      <c r="F263" s="4">
        <f t="shared" si="41"/>
        <v>-0.19325128138155989</v>
      </c>
    </row>
    <row r="264" spans="1:6" x14ac:dyDescent="0.3">
      <c r="A264" s="1">
        <f t="shared" si="38"/>
        <v>731980</v>
      </c>
      <c r="B264" s="1">
        <v>23.401</v>
      </c>
      <c r="C264" s="1">
        <f t="shared" si="39"/>
        <v>-0.11599999999999966</v>
      </c>
      <c r="D264" s="4">
        <f t="shared" si="42"/>
        <v>23.544962025183214</v>
      </c>
      <c r="E264" s="1">
        <f t="shared" si="40"/>
        <v>0.16528925619834711</v>
      </c>
      <c r="F264" s="4">
        <f t="shared" si="41"/>
        <v>-0.14396202518321388</v>
      </c>
    </row>
    <row r="265" spans="1:6" x14ac:dyDescent="0.3">
      <c r="A265" s="1">
        <f t="shared" si="38"/>
        <v>732000</v>
      </c>
      <c r="B265" s="1">
        <v>23.265999999999998</v>
      </c>
      <c r="C265" s="1">
        <f t="shared" si="39"/>
        <v>-0.13500000000000156</v>
      </c>
      <c r="D265" s="4">
        <f t="shared" si="42"/>
        <v>23.379672768984868</v>
      </c>
      <c r="E265" s="1">
        <f t="shared" si="40"/>
        <v>0.16528925619834711</v>
      </c>
      <c r="F265" s="4">
        <f t="shared" si="41"/>
        <v>-0.11367276898486978</v>
      </c>
    </row>
    <row r="266" spans="1:6" x14ac:dyDescent="0.3">
      <c r="A266" s="1">
        <f t="shared" si="38"/>
        <v>732020</v>
      </c>
      <c r="B266" s="1">
        <v>23.2</v>
      </c>
      <c r="C266" s="1">
        <f t="shared" si="39"/>
        <v>-6.5999999999998948E-2</v>
      </c>
      <c r="D266" s="4">
        <f t="shared" si="42"/>
        <v>23.214383512786522</v>
      </c>
      <c r="E266" s="1">
        <f t="shared" si="40"/>
        <v>0.16528925619834711</v>
      </c>
      <c r="F266" s="4">
        <f t="shared" si="41"/>
        <v>-1.4383512786523056E-2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KIF_Chainage_Levels_2500km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 My Name</dc:creator>
  <cp:lastModifiedBy>Say My Name</cp:lastModifiedBy>
  <dcterms:created xsi:type="dcterms:W3CDTF">2026-06-09T16:28:47Z</dcterms:created>
  <dcterms:modified xsi:type="dcterms:W3CDTF">2026-06-09T16:28:49Z</dcterms:modified>
</cp:coreProperties>
</file>